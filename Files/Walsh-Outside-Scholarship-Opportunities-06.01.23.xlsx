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227"/>
  <workbookPr defaultThemeVersion="166925"/>
  <mc:AlternateContent xmlns:mc="http://schemas.openxmlformats.org/markup-compatibility/2006">
    <mc:Choice Requires="x15">
      <x15ac:absPath xmlns:x15ac="http://schemas.microsoft.com/office/spreadsheetml/2010/11/ac" url="G:\Finaid\Outside Scholarship Resources\"/>
    </mc:Choice>
  </mc:AlternateContent>
  <xr:revisionPtr revIDLastSave="0" documentId="13_ncr:1_{3403D102-BD4F-4587-ACFA-34A7ECAFEF02}" xr6:coauthVersionLast="47" xr6:coauthVersionMax="47" xr10:uidLastSave="{00000000-0000-0000-0000-000000000000}"/>
  <bookViews>
    <workbookView xWindow="-108" yWindow="-108" windowWidth="23256" windowHeight="12576" xr2:uid="{496EF9EE-1D5F-47BE-859D-9BBC610C0C2B}"/>
  </bookViews>
  <sheets>
    <sheet name="Search Process and Tips" sheetId="3" r:id="rId1"/>
    <sheet name="Scholarship Search Tools" sheetId="2" r:id="rId2"/>
    <sheet name="Scholarship Opportunities" sheetId="1"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12" i="2" l="1"/>
  <c r="B9" i="2"/>
  <c r="B8" i="2"/>
  <c r="B7" i="2"/>
  <c r="B6" i="2"/>
</calcChain>
</file>

<file path=xl/sharedStrings.xml><?xml version="1.0" encoding="utf-8"?>
<sst xmlns="http://schemas.openxmlformats.org/spreadsheetml/2006/main" count="164" uniqueCount="145">
  <si>
    <t>Amount Available:</t>
  </si>
  <si>
    <t>Eligibility:</t>
  </si>
  <si>
    <t>Deadline:</t>
  </si>
  <si>
    <t>Diet Spotlight Scholarship</t>
  </si>
  <si>
    <t>All Students</t>
  </si>
  <si>
    <t>Nitro Scholarship</t>
  </si>
  <si>
    <t>Discover Student Loan Scholarship</t>
  </si>
  <si>
    <t>Mesothelioma.com Scholarship</t>
  </si>
  <si>
    <t>Minimum GPA of 3.25, Full Time Enrollment in a MBA program, U.S. Citizen</t>
  </si>
  <si>
    <t>Castelli Law Scholarship</t>
  </si>
  <si>
    <t>Annually, on Memorial Day</t>
  </si>
  <si>
    <t>Current or honorably discharged veteran or parent, sibling, child or grandchild of a current or honorably discharged veteran.</t>
  </si>
  <si>
    <t>1st place: $4,000; 2nd place: $2,500</t>
  </si>
  <si>
    <t>U.S. citizen currently enrolled in college, minimum GPA of 3.00</t>
  </si>
  <si>
    <t>Pat Tillman Foundation Scholarship</t>
  </si>
  <si>
    <t>Average: $10,000 per academic year</t>
  </si>
  <si>
    <t>Veteran and active duty military service members from all branches of the U.S. Armed Forces, and their current spouses, including surviving spouses, enrolled full time</t>
  </si>
  <si>
    <t>Association on American Indian Affairs Scholarship</t>
  </si>
  <si>
    <t>Students who have been affected by cancer, Full Time Enrollment, U.S. Citizen, Minimum GPA of 3.2</t>
  </si>
  <si>
    <t xml:space="preserve">Enrolled with an American Indian Tribe, Enrolled full-time, minimum GPA of 2.5 </t>
  </si>
  <si>
    <t>Apps open: Feb 1 - May 31 (Yearly)</t>
  </si>
  <si>
    <t>Varies</t>
  </si>
  <si>
    <t>Scholarships (Click Name for Link):</t>
  </si>
  <si>
    <t>DAR - Mary Elizabeth Lockwood Beneventi MBA Scholarship</t>
  </si>
  <si>
    <t>Range from $2500 to $12,000</t>
  </si>
  <si>
    <t>U.S. citizen or permanent resident alien of Italian descent, first-generation college student, demonstrate financial need, minimum GPA of 3.5, NIAF membership</t>
  </si>
  <si>
    <t>National Italian American Foundation Scholarships</t>
  </si>
  <si>
    <t>Chairish "Design Your Future" Scholarship</t>
  </si>
  <si>
    <t>Minimum 3.0 GPA, at least 18 years of age, Permanent US citizen &amp; living in the US, enrolled or planning to enroll at accredited two-year, four-year, or technical/vocational college or university</t>
  </si>
  <si>
    <t>Patient Advocate Foundation Scholarship (Undergraduate)</t>
  </si>
  <si>
    <t>Patient Advocate Foundation Scholarship (Graduate)</t>
  </si>
  <si>
    <t>$3,000 per year ($1,500 in Fall and Spring) up to $12,000 or degree received</t>
  </si>
  <si>
    <t>$3,000 per year ($1,500 in Fall and Spring) up to $6,000 or degree received</t>
  </si>
  <si>
    <t>Diagnosed and/or have been treated for cancer or a chronic disease within the past five years, Pursuing an associate's degree or higher</t>
  </si>
  <si>
    <t>Diagnosed and/or have been treated for cancer or a chronic disease within the past ten years, Pursuing a Master's degree or higher</t>
  </si>
  <si>
    <t>Trudgers Fund</t>
  </si>
  <si>
    <t>Michigan Accountancy Foundation Final Year Scholarship Program</t>
  </si>
  <si>
    <t>Full-time accounting major with intention to become a Michigan CPA, Have completed 120 credit hours, Plan to take, or have passed the Michigan CPA Exam</t>
  </si>
  <si>
    <t>HS senior or Undergraduate student, Addiction struggles but currently sober</t>
  </si>
  <si>
    <t>Mental Health Importance Scholarship</t>
  </si>
  <si>
    <t>Believe mental health is important, HS senior, Undergraduate, or Graduate student, US citizen or permanent legal resident</t>
  </si>
  <si>
    <t>Outside Scholarship Search Tools</t>
  </si>
  <si>
    <t>Links:</t>
  </si>
  <si>
    <t>Information:</t>
  </si>
  <si>
    <t>Find community foundations in your area by clicking on a map. Explore community foundations for scholarship opportunities.</t>
  </si>
  <si>
    <t>Scholarship finder database sponsored by the U.S. Department of Labor. Also available as app on App Store and Google Play.</t>
  </si>
  <si>
    <t>Find scholarships, other financial aid and internships from more than 2,200 programs, totaling nearly $6 billion. Based on College Board's Annual Survey of Financial Aid Programs.</t>
  </si>
  <si>
    <t>Find and discover unique college scholarships, grants, internships, college tips and more. Also available as app on App Store and Google Play.</t>
  </si>
  <si>
    <t>SuperCollege</t>
  </si>
  <si>
    <t>Searchable database for scholarships and grants. Also offers a free Scholarship Match Service with weekly emails of scholarship matches as well as online guides.</t>
  </si>
  <si>
    <t>Massive scholarship database with access to $41 billion in funding. Also offers free guidance webinars for graduate students seeking scholarships.</t>
  </si>
  <si>
    <t>UNIGO</t>
  </si>
  <si>
    <t>Create a free account to save essay questions and complete applications quick and create a free profile to view personal scholarship results.</t>
  </si>
  <si>
    <t>Michigan Women's Tax Association</t>
  </si>
  <si>
    <t xml:space="preserve">Female pursuing degree in taxation </t>
  </si>
  <si>
    <t>Outside Scholarship Search Process and Tips</t>
  </si>
  <si>
    <t>Outside Scholarship Opportunities</t>
  </si>
  <si>
    <r>
      <rPr>
        <sz val="12"/>
        <color theme="1"/>
        <rFont val="Bahnschrift SemiBold SemiConden"/>
        <family val="2"/>
      </rPr>
      <t xml:space="preserve">3. Contact/search your local community foundation (Community Foundation Locator: </t>
    </r>
    <r>
      <rPr>
        <u/>
        <sz val="12"/>
        <color theme="10"/>
        <rFont val="Bahnschrift SemiBold SemiConden"/>
        <family val="2"/>
      </rPr>
      <t>https://cof.org/page/community-foundation-locator</t>
    </r>
    <r>
      <rPr>
        <sz val="12"/>
        <color theme="1"/>
        <rFont val="Bahnschrift SemiBold SemiConden"/>
        <family val="2"/>
      </rPr>
      <t xml:space="preserve">). Also, check with local Kiwanis, Lions, and Rotary clubs about potential scholarship opportunities. </t>
    </r>
  </si>
  <si>
    <t>Paying It Forward Scholarship</t>
  </si>
  <si>
    <t>Enrolled in or accepted at accredited College in the US, Minimum GPA of 3.0</t>
  </si>
  <si>
    <t>Bold.org</t>
  </si>
  <si>
    <t>Create a free account to browse and apply to various scholarships that match your personal eligibility.</t>
  </si>
  <si>
    <t>$250-$2,500</t>
  </si>
  <si>
    <t>Legal US resident, Enrolled full-time at accredited college in the US, Minumum GPA of 2.5</t>
  </si>
  <si>
    <r>
      <rPr>
        <b/>
        <sz val="12"/>
        <color rgb="FF000000"/>
        <rFont val="Bahnschrift SemiBold SemiConden"/>
        <family val="2"/>
      </rPr>
      <t>1.</t>
    </r>
    <r>
      <rPr>
        <sz val="12"/>
        <color rgb="FF000000"/>
        <rFont val="Bahnschrift SemiBold SemiConden"/>
        <family val="2"/>
      </rPr>
      <t xml:space="preserve"> Contact any outside organizations (not the college or university) that awarded you scholarships previously. Thank them and inquire about any additional scholarship opportunities.</t>
    </r>
  </si>
  <si>
    <t>Elevate Mental Health Awareness Scholarship</t>
  </si>
  <si>
    <t>Undergraduate or Graduate Student, You or someone close to you have faced mental health challenges</t>
  </si>
  <si>
    <t>Undergraduate or Graduate Student, Recognize the importance of mental health</t>
  </si>
  <si>
    <t>Ethel Hayes Destigmatization of Mental Health Scholarship</t>
  </si>
  <si>
    <t>$630 - 5 winners</t>
  </si>
  <si>
    <t>Pinnacle Project Management Scholarship</t>
  </si>
  <si>
    <t>Undergraduate or Graduate Student</t>
  </si>
  <si>
    <t>Addicted.org's Scholarship</t>
  </si>
  <si>
    <t>Full-time Undergraduate Students (Enrolled in 12 credits or more)</t>
  </si>
  <si>
    <r>
      <rPr>
        <b/>
        <sz val="12"/>
        <color rgb="FF000000"/>
        <rFont val="Bahnschrift SemiBold SemiConden"/>
        <family val="2"/>
      </rPr>
      <t>5.</t>
    </r>
    <r>
      <rPr>
        <sz val="12"/>
        <color rgb="FF000000"/>
        <rFont val="Bahnschrift SemiBold SemiConden"/>
        <family val="2"/>
      </rPr>
      <t xml:space="preserve"> Consider how your experiences and goals align with the mission of the organization you are interested in pursuing a scholarship with.</t>
    </r>
  </si>
  <si>
    <r>
      <rPr>
        <b/>
        <sz val="12"/>
        <color rgb="FF000000"/>
        <rFont val="Bahnschrift SemiBold SemiConden"/>
        <family val="2"/>
      </rPr>
      <t>6.</t>
    </r>
    <r>
      <rPr>
        <sz val="12"/>
        <color rgb="FF000000"/>
        <rFont val="Bahnschrift SemiBold SemiConden"/>
        <family val="2"/>
      </rPr>
      <t xml:space="preserve"> When searching a webpage with a long list of scholarships, use the browser's 'find' function (Ctrl+F) and search for keywords such as 'business,' 'accounting,' 'graduate,' 'professional,' etc.</t>
    </r>
  </si>
  <si>
    <r>
      <rPr>
        <b/>
        <sz val="12"/>
        <color rgb="FF000000"/>
        <rFont val="Bahnschrift SemiBold SemiConden"/>
        <family val="2"/>
      </rPr>
      <t>7.</t>
    </r>
    <r>
      <rPr>
        <sz val="12"/>
        <color rgb="FF000000"/>
        <rFont val="Bahnschrift SemiBold SemiConden"/>
        <family val="2"/>
      </rPr>
      <t xml:space="preserve"> Never pay for a scholarship search 'service' or scholarship 'fee' - these are scams.</t>
    </r>
  </si>
  <si>
    <t xml:space="preserve">8. Use good judgment when disclosing personal information in a scholarship application. (i.e. never disclose your Social Security number). If you are asked to provide an enrollment verification and/or an official or unofficial transcript, please consult Walsh Records and Registration regarding how to obtain the required documentation. </t>
  </si>
  <si>
    <r>
      <rPr>
        <b/>
        <sz val="12"/>
        <color rgb="FF000000"/>
        <rFont val="Bahnschrift SemiBold SemiConden"/>
        <family val="2"/>
      </rPr>
      <t>9.</t>
    </r>
    <r>
      <rPr>
        <sz val="12"/>
        <color rgb="FF000000"/>
        <rFont val="Bahnschrift SemiBold SemiConden"/>
        <family val="2"/>
      </rPr>
      <t xml:space="preserve"> Note application open dates and submission deadlines. Many run Nov/Dec through Feb/Mar. Apply early. If you feel you are a good candidate for a scholarship but the deadline has passed, make a note on your calendar to revisit the website as many scholarships are awarded annually. </t>
    </r>
  </si>
  <si>
    <r>
      <rPr>
        <b/>
        <sz val="12"/>
        <color rgb="FF000000"/>
        <rFont val="Bahnschrift SemiBold SemiConden"/>
        <family val="2"/>
      </rPr>
      <t>10.</t>
    </r>
    <r>
      <rPr>
        <sz val="12"/>
        <color rgb="FF000000"/>
        <rFont val="Bahnschrift SemiBold SemiConden"/>
        <family val="2"/>
      </rPr>
      <t xml:space="preserve"> When in doubt, contact the organization; the worst you can be told is 'no.'</t>
    </r>
  </si>
  <si>
    <r>
      <rPr>
        <b/>
        <sz val="12"/>
        <color rgb="FF000000"/>
        <rFont val="Bahnschrift SemiBold SemiConden"/>
        <family val="2"/>
      </rPr>
      <t>11.</t>
    </r>
    <r>
      <rPr>
        <sz val="12"/>
        <color rgb="FF000000"/>
        <rFont val="Bahnschrift SemiBold SemiConden"/>
        <family val="2"/>
      </rPr>
      <t xml:space="preserve"> If awarded, promptly send a note thanking the organization.</t>
    </r>
  </si>
  <si>
    <r>
      <rPr>
        <b/>
        <sz val="12"/>
        <color theme="1"/>
        <rFont val="Bahnschrift SemiBold SemiConden"/>
        <family val="2"/>
      </rPr>
      <t>12.</t>
    </r>
    <r>
      <rPr>
        <sz val="12"/>
        <color theme="1"/>
        <rFont val="Bahnschrift SemiBold SemiConden"/>
        <family val="2"/>
      </rPr>
      <t xml:space="preserve"> If you are awarded a scholarship or have questions, contact the Walsh Financial Aid Office.</t>
    </r>
  </si>
  <si>
    <r>
      <rPr>
        <b/>
        <sz val="12"/>
        <color rgb="FF000000"/>
        <rFont val="Bahnschrift SemiBold SemiConden"/>
        <family val="2"/>
      </rPr>
      <t>13.</t>
    </r>
    <r>
      <rPr>
        <sz val="12"/>
        <color rgb="FF000000"/>
        <rFont val="Bahnschrift SemiBold SemiConden"/>
        <family val="2"/>
      </rPr>
      <t xml:space="preserve"> Search/apply regularly. Holiday and semester breaks are the perfect opportunity!</t>
    </r>
  </si>
  <si>
    <r>
      <rPr>
        <sz val="12"/>
        <color theme="1"/>
        <rFont val="Bahnschrift SemiBold SemiConden"/>
        <family val="2"/>
      </rPr>
      <t>4. If you are a member of the Phi Theta Kappa Honor Society, check their scholarships page for potential opportunities</t>
    </r>
    <r>
      <rPr>
        <sz val="12"/>
        <color theme="10"/>
        <rFont val="Bahnschrift SemiBold SemiConden"/>
        <family val="2"/>
      </rPr>
      <t xml:space="preserve"> </t>
    </r>
    <r>
      <rPr>
        <u/>
        <sz val="12"/>
        <color theme="10"/>
        <rFont val="Bahnschrift SemiBold SemiConden"/>
        <family val="2"/>
      </rPr>
      <t>(https://www.ptk.org/scholarships/)</t>
    </r>
    <r>
      <rPr>
        <sz val="12"/>
        <color theme="1"/>
        <rFont val="Bahnschrift SemiBold SemiConden"/>
        <family val="2"/>
      </rPr>
      <t xml:space="preserve">. </t>
    </r>
  </si>
  <si>
    <t>Be the Boss Scholarship (For Women)</t>
  </si>
  <si>
    <t>Learner Math Lover Scholarship</t>
  </si>
  <si>
    <t>Learner Calculus Scholarship</t>
  </si>
  <si>
    <t>Learner Algebra Scholarship</t>
  </si>
  <si>
    <t>Undergraduate or Graduate Student, U.S. citizen or permanent legal resident, Loves math</t>
  </si>
  <si>
    <t>Undergraduate or Graduate Student, U.S. citizen or permanent legal resident, Studying in the STEM field</t>
  </si>
  <si>
    <t>Healthy Eating Scholarship</t>
  </si>
  <si>
    <t>Your Health Journey Scholarship</t>
  </si>
  <si>
    <t>Undergraduate or Graduate Student, U.S. citizen or permanent legal resident, Works towards a healthy lifestyle</t>
  </si>
  <si>
    <t>Undergraduate or Graduate Student, U.S. citizen or permanent legal resident, Recognizes the importance of healthy eating habits</t>
  </si>
  <si>
    <t>International Scholarships</t>
  </si>
  <si>
    <t>Searching for an international scholarship has never been more accessible with our comprehensive database of financial aid opportunities from around the world. We make it easy and convenient so that students like you can easily find what they need without spending hours searching.</t>
  </si>
  <si>
    <t>Undergraduate or Graduate Student, U.S. citizen or permanent legal resident</t>
  </si>
  <si>
    <t>Jobtest.org (Realign, Inc.) Career Search Scholarship</t>
  </si>
  <si>
    <t>Wellness Warriors Scholarship</t>
  </si>
  <si>
    <t>Undergraduate or Graduate Student, U.S. citizen or permanent legal resident, Strives to maintain physical and mental wellness</t>
  </si>
  <si>
    <t>$1000, $500, $250</t>
  </si>
  <si>
    <t>Legal resident of U.S., Part of a minority group, Enrolled full-time, Minimum GPA of 2.5</t>
  </si>
  <si>
    <t>Rehabs.org Scholarship</t>
  </si>
  <si>
    <t>Scholarship for Women Golfers</t>
  </si>
  <si>
    <t>Female student who plays golf in any capacity, U.S. citizen or permanent legal resident</t>
  </si>
  <si>
    <t>Annual Eco-Warrior Scholarship</t>
  </si>
  <si>
    <t>U.S. citizen or permanent legal resident</t>
  </si>
  <si>
    <t>Taylor Swift ‘1989’ Scholarship</t>
  </si>
  <si>
    <t>Fan of Taylor Swift's 1989 Album :)</t>
  </si>
  <si>
    <t>Renaissance Recovery Scholarship</t>
  </si>
  <si>
    <t>Attending in Fall 2023</t>
  </si>
  <si>
    <t>California Detox Scholarship</t>
  </si>
  <si>
    <t>All students</t>
  </si>
  <si>
    <t>Gratitude Lodge Scholarship</t>
  </si>
  <si>
    <t>FINCAD Women in Finance Scholarship</t>
  </si>
  <si>
    <t>Female graduate or doctoral student in a finance program, Enrolled full-time, Has less than 10 years of work experience and less than 5 years of experience in the financial field</t>
  </si>
  <si>
    <t>December 31st, 2023</t>
  </si>
  <si>
    <t>January 31st, 2024 (Opens November 1st, 2023)</t>
  </si>
  <si>
    <t>The last day of each month through 2023</t>
  </si>
  <si>
    <t>January 31st, 2024</t>
  </si>
  <si>
    <t>March 31st, 2024</t>
  </si>
  <si>
    <t>July 1st, 2023</t>
  </si>
  <si>
    <t>Cleanup Expert Scholarship Program</t>
  </si>
  <si>
    <t>Last day of February, annually</t>
  </si>
  <si>
    <t>March 1st, 2024</t>
  </si>
  <si>
    <t>January 1st and June 30th, annually</t>
  </si>
  <si>
    <t>June 4th, 2023</t>
  </si>
  <si>
    <t>November 1st, 2023</t>
  </si>
  <si>
    <t>23-24 Info Coming Soon</t>
  </si>
  <si>
    <t>Opens November, Closes end of January; anually</t>
  </si>
  <si>
    <t>Opens October, Closes in March; annually</t>
  </si>
  <si>
    <t>Addictions.com Fall 2023 Scholarship Contest</t>
  </si>
  <si>
    <t>August 1st, 2023 (Seems to be available every Fall and Spring)</t>
  </si>
  <si>
    <t>June 15th, 2023</t>
  </si>
  <si>
    <t>November 30th, 2023</t>
  </si>
  <si>
    <t>June 14th, 2023</t>
  </si>
  <si>
    <t>July 1st, annually</t>
  </si>
  <si>
    <t>December 1st, 2023</t>
  </si>
  <si>
    <t>Sep. 15 for Fall, March 15 for Spring; Annually</t>
  </si>
  <si>
    <t>Female college student who seeks to start their own business</t>
  </si>
  <si>
    <t>July 31st, 2023</t>
  </si>
  <si>
    <t>August 1st, 2023</t>
  </si>
  <si>
    <t>August 15th, 2023</t>
  </si>
  <si>
    <t>August 14th, 2023</t>
  </si>
  <si>
    <r>
      <rPr>
        <b/>
        <sz val="12"/>
        <color rgb="FF000000"/>
        <rFont val="Bahnschrift SemiBold SemiConden"/>
        <family val="2"/>
      </rPr>
      <t>2.</t>
    </r>
    <r>
      <rPr>
        <sz val="12"/>
        <color rgb="FF000000"/>
        <rFont val="Bahnschrift SemiBold SemiConden"/>
        <family val="2"/>
      </rPr>
      <t xml:space="preserve"> Contact civic, religious, professional organizations, banks and credit unions with which you or a family member are affiliated to inquire about potential scholarship opportunities.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</si>
</sst>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_);[Red]\(&quot;$&quot;#,##0\)"/>
    <numFmt numFmtId="164" formatCode="[$-F800]dddd\,\ mmmm\ dd\,\ yyyy"/>
    <numFmt numFmtId="165" formatCode="&quot;$&quot;#,##0.00"/>
  </numFmts>
  <fonts count="23" x14ac:knownFonts="1">
    <font>
      <sz val="11"/>
      <color theme="1"/>
      <name val="Calibri"/>
      <family val="2"/>
      <scheme val="minor"/>
    </font>
    <font>
      <sz val="36"/>
      <color theme="0"/>
      <name val="Calibri"/>
      <family val="2"/>
      <scheme val="minor"/>
    </font>
    <font>
      <b/>
      <sz val="36"/>
      <color theme="0"/>
      <name val="Bahnschrift SemiBold SemiConden"/>
      <family val="2"/>
    </font>
    <font>
      <sz val="20"/>
      <color theme="0"/>
      <name val="Bahnschrift SemiBold SemiConden"/>
      <family val="2"/>
    </font>
    <font>
      <u/>
      <sz val="11"/>
      <color theme="10"/>
      <name val="Calibri"/>
      <family val="2"/>
      <scheme val="minor"/>
    </font>
    <font>
      <sz val="11"/>
      <color theme="1"/>
      <name val="Bahnschrift SemiBold SemiConden"/>
      <family val="2"/>
    </font>
    <font>
      <sz val="11"/>
      <color rgb="FF000000"/>
      <name val="Bahnschrift SemiBold SemiConden"/>
      <family val="2"/>
    </font>
    <font>
      <sz val="11"/>
      <color theme="10"/>
      <name val="Bahnschrift SemiBold SemiConden"/>
      <family val="2"/>
    </font>
    <font>
      <sz val="11"/>
      <color theme="10"/>
      <name val="Calibri"/>
      <family val="2"/>
      <scheme val="minor"/>
    </font>
    <font>
      <b/>
      <u/>
      <sz val="14"/>
      <color rgb="FF0000FF"/>
      <name val="Bahnschrift SemiBold SemiConden"/>
      <family val="2"/>
    </font>
    <font>
      <sz val="14"/>
      <name val="Bahnschrift SemiBold SemiConden"/>
      <family val="2"/>
    </font>
    <font>
      <sz val="10"/>
      <name val="Arial"/>
    </font>
    <font>
      <sz val="12"/>
      <color rgb="FF000000"/>
      <name val="Bahnschrift SemiBold SemiConden"/>
      <family val="2"/>
    </font>
    <font>
      <b/>
      <sz val="12"/>
      <color rgb="FF000000"/>
      <name val="Bahnschrift SemiBold SemiConden"/>
      <family val="2"/>
    </font>
    <font>
      <sz val="14"/>
      <color rgb="FF000000"/>
      <name val="Calibri"/>
      <family val="2"/>
    </font>
    <font>
      <sz val="10"/>
      <name val="Arial"/>
      <family val="2"/>
    </font>
    <font>
      <sz val="12"/>
      <color theme="1"/>
      <name val="Bahnschrift SemiBold SemiConden"/>
      <family val="2"/>
    </font>
    <font>
      <b/>
      <sz val="12"/>
      <color theme="1"/>
      <name val="Bahnschrift SemiBold SemiConden"/>
      <family val="2"/>
    </font>
    <font>
      <u/>
      <sz val="12"/>
      <color theme="10"/>
      <name val="Bahnschrift SemiBold SemiConden"/>
      <family val="2"/>
    </font>
    <font>
      <sz val="12"/>
      <color theme="10"/>
      <name val="Bahnschrift SemiBold SemiConden"/>
      <family val="2"/>
    </font>
    <font>
      <b/>
      <sz val="14"/>
      <name val="Bahnschrift SemiBold SemiConden"/>
      <family val="2"/>
    </font>
    <font>
      <b/>
      <sz val="14"/>
      <color theme="1"/>
      <name val="Bahnschrift SemiBold SemiConden"/>
      <family val="2"/>
    </font>
    <font>
      <u/>
      <sz val="14"/>
      <color rgb="FF041FC2"/>
      <name val="Bahnschrift SemiBold Condensed"/>
      <family val="2"/>
    </font>
  </fonts>
  <fills count="4">
    <fill>
      <patternFill patternType="none"/>
    </fill>
    <fill>
      <patternFill patternType="gray125"/>
    </fill>
    <fill>
      <patternFill patternType="solid">
        <fgColor theme="4" tint="-0.249977111117893"/>
        <bgColor indexed="64"/>
      </patternFill>
    </fill>
    <fill>
      <patternFill patternType="solid">
        <fgColor theme="1" tint="4.9989318521683403E-2"/>
        <bgColor indexed="64"/>
      </patternFill>
    </fill>
  </fills>
  <borders count="12">
    <border>
      <left/>
      <right/>
      <top/>
      <bottom/>
      <diagonal/>
    </border>
    <border>
      <left style="medium">
        <color indexed="64"/>
      </left>
      <right style="medium">
        <color indexed="64"/>
      </right>
      <top style="medium">
        <color indexed="64"/>
      </top>
      <bottom style="medium">
        <color indexed="64"/>
      </bottom>
      <diagonal/>
    </border>
    <border>
      <left style="medium">
        <color theme="0"/>
      </left>
      <right/>
      <top/>
      <bottom/>
      <diagonal/>
    </border>
    <border>
      <left/>
      <right/>
      <top style="medium">
        <color indexed="64"/>
      </top>
      <bottom/>
      <diagonal/>
    </border>
    <border>
      <left/>
      <right style="medium">
        <color indexed="64"/>
      </right>
      <top/>
      <bottom/>
      <diagonal/>
    </border>
    <border>
      <left/>
      <right style="thin">
        <color rgb="FF000000"/>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bottom/>
      <diagonal/>
    </border>
    <border>
      <left/>
      <right style="thin">
        <color indexed="64"/>
      </right>
      <top/>
      <bottom/>
      <diagonal/>
    </border>
  </borders>
  <cellStyleXfs count="2">
    <xf numFmtId="0" fontId="0" fillId="0" borderId="0"/>
    <xf numFmtId="0" fontId="4" fillId="0" borderId="0" applyNumberFormat="0" applyFill="0" applyBorder="0" applyAlignment="0" applyProtection="0"/>
  </cellStyleXfs>
  <cellXfs count="51">
    <xf numFmtId="0" fontId="0" fillId="0" borderId="0" xfId="0"/>
    <xf numFmtId="0" fontId="0" fillId="2" borderId="0" xfId="0" applyFill="1"/>
    <xf numFmtId="0" fontId="3" fillId="3" borderId="0" xfId="0" applyFont="1" applyFill="1" applyAlignment="1">
      <alignment horizontal="center"/>
    </xf>
    <xf numFmtId="0" fontId="3" fillId="3" borderId="2" xfId="0" applyFont="1" applyFill="1" applyBorder="1" applyAlignment="1">
      <alignment horizontal="center"/>
    </xf>
    <xf numFmtId="164" fontId="3" fillId="3" borderId="2" xfId="0" applyNumberFormat="1" applyFont="1" applyFill="1" applyBorder="1" applyAlignment="1">
      <alignment horizontal="center"/>
    </xf>
    <xf numFmtId="164" fontId="0" fillId="2" borderId="0" xfId="0" applyNumberFormat="1" applyFill="1" applyAlignment="1">
      <alignment horizontal="center"/>
    </xf>
    <xf numFmtId="164" fontId="0" fillId="0" borderId="0" xfId="0" applyNumberFormat="1" applyAlignment="1">
      <alignment horizontal="center"/>
    </xf>
    <xf numFmtId="0" fontId="0" fillId="2" borderId="0" xfId="0" applyFill="1" applyAlignment="1">
      <alignment horizontal="center"/>
    </xf>
    <xf numFmtId="0" fontId="0" fillId="0" borderId="0" xfId="0" applyAlignment="1">
      <alignment horizontal="center"/>
    </xf>
    <xf numFmtId="6" fontId="5" fillId="0" borderId="1" xfId="0" applyNumberFormat="1" applyFont="1" applyBorder="1" applyAlignment="1">
      <alignment horizontal="center"/>
    </xf>
    <xf numFmtId="0" fontId="5" fillId="0" borderId="1" xfId="0" applyFont="1" applyBorder="1" applyAlignment="1">
      <alignment horizontal="center"/>
    </xf>
    <xf numFmtId="164" fontId="5" fillId="0" borderId="1" xfId="0" applyNumberFormat="1" applyFont="1" applyBorder="1" applyAlignment="1">
      <alignment horizontal="left"/>
    </xf>
    <xf numFmtId="0" fontId="7" fillId="0" borderId="1" xfId="1" applyFont="1" applyBorder="1" applyAlignment="1">
      <alignment horizontal="left"/>
    </xf>
    <xf numFmtId="0" fontId="8" fillId="2" borderId="0" xfId="1" applyFont="1" applyFill="1" applyAlignment="1">
      <alignment horizontal="left"/>
    </xf>
    <xf numFmtId="0" fontId="5" fillId="0" borderId="1" xfId="0" applyFont="1" applyBorder="1" applyAlignment="1">
      <alignment wrapText="1"/>
    </xf>
    <xf numFmtId="0" fontId="6" fillId="0" borderId="1" xfId="0" applyFont="1" applyBorder="1" applyAlignment="1">
      <alignment wrapText="1"/>
    </xf>
    <xf numFmtId="0" fontId="7" fillId="0" borderId="1" xfId="1" applyFont="1" applyFill="1" applyBorder="1" applyAlignment="1">
      <alignment horizontal="left"/>
    </xf>
    <xf numFmtId="0" fontId="0" fillId="2" borderId="4" xfId="0" applyFill="1" applyBorder="1"/>
    <xf numFmtId="0" fontId="5" fillId="0" borderId="1" xfId="0" applyFont="1" applyBorder="1" applyAlignment="1">
      <alignment horizontal="center" wrapText="1"/>
    </xf>
    <xf numFmtId="0" fontId="2" fillId="3" borderId="0" xfId="0" applyFont="1" applyFill="1" applyAlignment="1">
      <alignment horizontal="center"/>
    </xf>
    <xf numFmtId="0" fontId="9" fillId="0" borderId="1" xfId="0" applyFont="1" applyBorder="1" applyAlignment="1">
      <alignment horizontal="left" vertical="center"/>
    </xf>
    <xf numFmtId="165" fontId="10" fillId="0" borderId="1" xfId="0" applyNumberFormat="1" applyFont="1" applyBorder="1" applyAlignment="1">
      <alignment horizontal="left" vertical="center" wrapText="1"/>
    </xf>
    <xf numFmtId="0" fontId="10" fillId="0" borderId="1" xfId="0" applyFont="1" applyBorder="1" applyAlignment="1">
      <alignment horizontal="left" vertical="center" wrapText="1"/>
    </xf>
    <xf numFmtId="0" fontId="11" fillId="2" borderId="5" xfId="0" applyFont="1" applyFill="1" applyBorder="1"/>
    <xf numFmtId="0" fontId="15" fillId="2" borderId="5" xfId="0" applyFont="1" applyFill="1" applyBorder="1"/>
    <xf numFmtId="0" fontId="14" fillId="2" borderId="5" xfId="0" applyFont="1" applyFill="1" applyBorder="1" applyAlignment="1">
      <alignment vertical="center" wrapText="1"/>
    </xf>
    <xf numFmtId="0" fontId="12" fillId="0" borderId="7" xfId="0" applyFont="1" applyBorder="1" applyAlignment="1">
      <alignment vertical="center" wrapText="1"/>
    </xf>
    <xf numFmtId="0" fontId="12" fillId="0" borderId="6" xfId="0" applyFont="1" applyBorder="1" applyAlignment="1">
      <alignment vertical="center" wrapText="1"/>
    </xf>
    <xf numFmtId="0" fontId="12" fillId="0" borderId="1" xfId="0" applyFont="1" applyBorder="1" applyAlignment="1">
      <alignment vertical="center" wrapText="1"/>
    </xf>
    <xf numFmtId="0" fontId="0" fillId="2" borderId="3" xfId="0" applyFill="1" applyBorder="1"/>
    <xf numFmtId="0" fontId="8" fillId="2" borderId="3" xfId="1" applyFont="1" applyFill="1" applyBorder="1" applyAlignment="1">
      <alignment horizontal="left"/>
    </xf>
    <xf numFmtId="0" fontId="18" fillId="0" borderId="1" xfId="1" applyFont="1" applyBorder="1" applyAlignment="1">
      <alignment vertical="center" wrapText="1"/>
    </xf>
    <xf numFmtId="0" fontId="16" fillId="0" borderId="6" xfId="0" applyFont="1" applyBorder="1" applyAlignment="1">
      <alignment wrapText="1"/>
    </xf>
    <xf numFmtId="0" fontId="16" fillId="0" borderId="6" xfId="0" applyFont="1" applyBorder="1"/>
    <xf numFmtId="0" fontId="7" fillId="0" borderId="1" xfId="1" applyFont="1" applyBorder="1"/>
    <xf numFmtId="0" fontId="5" fillId="2" borderId="8" xfId="0" applyFont="1" applyFill="1" applyBorder="1" applyAlignment="1">
      <alignment horizontal="center"/>
    </xf>
    <xf numFmtId="6" fontId="5" fillId="0" borderId="6" xfId="0" applyNumberFormat="1" applyFont="1" applyBorder="1" applyAlignment="1">
      <alignment horizontal="center"/>
    </xf>
    <xf numFmtId="0" fontId="5" fillId="0" borderId="6" xfId="0" applyFont="1" applyBorder="1" applyAlignment="1">
      <alignment wrapText="1"/>
    </xf>
    <xf numFmtId="164" fontId="5" fillId="0" borderId="6" xfId="0" applyNumberFormat="1" applyFont="1" applyBorder="1" applyAlignment="1">
      <alignment horizontal="left"/>
    </xf>
    <xf numFmtId="0" fontId="0" fillId="0" borderId="9" xfId="0" applyBorder="1"/>
    <xf numFmtId="0" fontId="0" fillId="2" borderId="10" xfId="0" applyFill="1" applyBorder="1"/>
    <xf numFmtId="0" fontId="0" fillId="2" borderId="11" xfId="0" applyFill="1" applyBorder="1"/>
    <xf numFmtId="165" fontId="20" fillId="0" borderId="1" xfId="0" applyNumberFormat="1" applyFont="1" applyBorder="1" applyAlignment="1">
      <alignment horizontal="left" vertical="center" wrapText="1"/>
    </xf>
    <xf numFmtId="0" fontId="21" fillId="0" borderId="0" xfId="0" applyFont="1" applyAlignment="1">
      <alignment horizontal="left" vertical="center" wrapText="1"/>
    </xf>
    <xf numFmtId="164" fontId="5" fillId="0" borderId="1" xfId="0" applyNumberFormat="1" applyFont="1" applyBorder="1" applyAlignment="1">
      <alignment horizontal="left" wrapText="1"/>
    </xf>
    <xf numFmtId="0" fontId="7" fillId="0" borderId="6" xfId="1" applyFont="1" applyBorder="1" applyAlignment="1">
      <alignment horizontal="left"/>
    </xf>
    <xf numFmtId="0" fontId="7" fillId="0" borderId="0" xfId="1" applyFont="1" applyBorder="1" applyAlignment="1">
      <alignment horizontal="left"/>
    </xf>
    <xf numFmtId="164" fontId="5" fillId="0" borderId="6" xfId="0" applyNumberFormat="1" applyFont="1" applyBorder="1" applyAlignment="1">
      <alignment horizontal="left" wrapText="1"/>
    </xf>
    <xf numFmtId="0" fontId="2" fillId="3" borderId="0" xfId="0" applyFont="1" applyFill="1" applyAlignment="1">
      <alignment horizontal="center"/>
    </xf>
    <xf numFmtId="0" fontId="1" fillId="3" borderId="0" xfId="0" applyFont="1" applyFill="1" applyAlignment="1">
      <alignment horizontal="center"/>
    </xf>
    <xf numFmtId="0" fontId="22" fillId="0" borderId="1" xfId="1" applyFont="1" applyBorder="1" applyAlignment="1">
      <alignment horizontal="left" vertical="center"/>
    </xf>
  </cellXfs>
  <cellStyles count="2">
    <cellStyle name="Hyperlink" xfId="1" builtinId="8"/>
    <cellStyle name="Normal" xfId="0" builtinId="0"/>
  </cellStyles>
  <dxfs count="0"/>
  <tableStyles count="0" defaultTableStyle="TableStyleMedium2" defaultPivotStyle="PivotStyleLight16"/>
  <colors>
    <mruColors>
      <color rgb="FF041FC2"/>
      <color rgb="FF3902C4"/>
      <color rgb="FF3366CC"/>
      <color rgb="FFFF66FF"/>
      <color rgb="FFCC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ptk.org/scholarships/" TargetMode="External"/><Relationship Id="rId1" Type="http://schemas.openxmlformats.org/officeDocument/2006/relationships/hyperlink" Target="https://cof.org/page/community-foundation-locator"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internationalscholarships.com/" TargetMode="External"/><Relationship Id="rId2" Type="http://schemas.openxmlformats.org/officeDocument/2006/relationships/hyperlink" Target="https://www.unigo.com/" TargetMode="External"/><Relationship Id="rId1" Type="http://schemas.openxmlformats.org/officeDocument/2006/relationships/hyperlink" Target="https://www.supercollege.com/" TargetMode="Externa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3" Type="http://schemas.openxmlformats.org/officeDocument/2006/relationships/hyperlink" Target="https://www.patientadvocate.org/connect-with-services/apply-for-a-scholarship/" TargetMode="External"/><Relationship Id="rId18" Type="http://schemas.openxmlformats.org/officeDocument/2006/relationships/hyperlink" Target="https://www.whitelawpllc.com/scholarships/paying-it-forward/" TargetMode="External"/><Relationship Id="rId26" Type="http://schemas.openxmlformats.org/officeDocument/2006/relationships/hyperlink" Target="https://www.topnutritioncoaching.com/registered-dietitians" TargetMode="External"/><Relationship Id="rId39" Type="http://schemas.openxmlformats.org/officeDocument/2006/relationships/hyperlink" Target="https://www.gratitudelodge.com/scholarship/" TargetMode="External"/><Relationship Id="rId21" Type="http://schemas.openxmlformats.org/officeDocument/2006/relationships/hyperlink" Target="https://bold.org/scholarships/mental-health-importance-scholarship/" TargetMode="External"/><Relationship Id="rId34" Type="http://schemas.openxmlformats.org/officeDocument/2006/relationships/hyperlink" Target="https://primeputt.com/products/golf" TargetMode="External"/><Relationship Id="rId7" Type="http://schemas.openxmlformats.org/officeDocument/2006/relationships/hyperlink" Target="https://cleanup.expert/scholarship-for-2022-new/" TargetMode="External"/><Relationship Id="rId2" Type="http://schemas.openxmlformats.org/officeDocument/2006/relationships/hyperlink" Target="https://www.dar.org/national-society/scholarships/general-info" TargetMode="External"/><Relationship Id="rId16" Type="http://schemas.openxmlformats.org/officeDocument/2006/relationships/hyperlink" Target="https://pettable.com/" TargetMode="External"/><Relationship Id="rId20" Type="http://schemas.openxmlformats.org/officeDocument/2006/relationships/hyperlink" Target="https://bold.org/scholarships/elevate-mental-health-awareness-scholarship/" TargetMode="External"/><Relationship Id="rId29" Type="http://schemas.openxmlformats.org/officeDocument/2006/relationships/hyperlink" Target="https://bold.org/scholarships/learner-math-lover-scholarship/" TargetMode="External"/><Relationship Id="rId41" Type="http://schemas.openxmlformats.org/officeDocument/2006/relationships/printerSettings" Target="../printerSettings/printerSettings3.bin"/><Relationship Id="rId1" Type="http://schemas.openxmlformats.org/officeDocument/2006/relationships/hyperlink" Target="https://www.dietspotlight.com/scholarship/essay/" TargetMode="External"/><Relationship Id="rId6" Type="http://schemas.openxmlformats.org/officeDocument/2006/relationships/hyperlink" Target="https://www.castellilaw.com/anthony-castelli-attorneys-veterans-college-scholarship.html" TargetMode="External"/><Relationship Id="rId11" Type="http://schemas.openxmlformats.org/officeDocument/2006/relationships/hyperlink" Target="https://support.chairish.com/hc/en-us/articles/115012723768" TargetMode="External"/><Relationship Id="rId24" Type="http://schemas.openxmlformats.org/officeDocument/2006/relationships/hyperlink" Target="https://www.addicted.org/scholarship.html" TargetMode="External"/><Relationship Id="rId32" Type="http://schemas.openxmlformats.org/officeDocument/2006/relationships/hyperlink" Target="https://ensosuperfoods.com/blogs/supergreens/best-super-greens-powders" TargetMode="External"/><Relationship Id="rId37" Type="http://schemas.openxmlformats.org/officeDocument/2006/relationships/hyperlink" Target="https://www.renaissancerecovery.com/renaissance-recovery-scholarship/" TargetMode="External"/><Relationship Id="rId40" Type="http://schemas.openxmlformats.org/officeDocument/2006/relationships/hyperlink" Target="https://fincad.com/about" TargetMode="External"/><Relationship Id="rId5" Type="http://schemas.openxmlformats.org/officeDocument/2006/relationships/hyperlink" Target="https://www.mesothelioma.com/scholarship/" TargetMode="External"/><Relationship Id="rId15" Type="http://schemas.openxmlformats.org/officeDocument/2006/relationships/hyperlink" Target="https://www.thiswaytocpa.com/education/scholarship-search/michigan-accountancy-foundation-fifthgraduate-year-scholarship-program/" TargetMode="External"/><Relationship Id="rId23" Type="http://schemas.openxmlformats.org/officeDocument/2006/relationships/hyperlink" Target="https://www.pinnaclemanagement.com/project-management-scholarship" TargetMode="External"/><Relationship Id="rId28" Type="http://schemas.openxmlformats.org/officeDocument/2006/relationships/hyperlink" Target="https://bold.org/scholarships/learner-calculus-scholarship/" TargetMode="External"/><Relationship Id="rId36" Type="http://schemas.openxmlformats.org/officeDocument/2006/relationships/hyperlink" Target="https://bold.org/scholarships/taylor-swift-1989-scholarship/" TargetMode="External"/><Relationship Id="rId10" Type="http://schemas.openxmlformats.org/officeDocument/2006/relationships/hyperlink" Target="https://www.niaf.org/programs/scholarships/" TargetMode="External"/><Relationship Id="rId19" Type="http://schemas.openxmlformats.org/officeDocument/2006/relationships/hyperlink" Target="https://www.addictions.com/scholarship/" TargetMode="External"/><Relationship Id="rId31" Type="http://schemas.openxmlformats.org/officeDocument/2006/relationships/hyperlink" Target="https://www.jobtest.org/scholarship" TargetMode="External"/><Relationship Id="rId4" Type="http://schemas.openxmlformats.org/officeDocument/2006/relationships/hyperlink" Target="https://www.discover.com/student-loans/college-planning/scholarships/award" TargetMode="External"/><Relationship Id="rId9" Type="http://schemas.openxmlformats.org/officeDocument/2006/relationships/hyperlink" Target="https://webportalapp.com/sp/login/aicf_scholarships" TargetMode="External"/><Relationship Id="rId14" Type="http://schemas.openxmlformats.org/officeDocument/2006/relationships/hyperlink" Target="https://bold.org/scholarships/trudgers-fund/" TargetMode="External"/><Relationship Id="rId22" Type="http://schemas.openxmlformats.org/officeDocument/2006/relationships/hyperlink" Target="https://bold.org/scholarships/ethel-hayes-destigmatization-of-mental-health-scholarship/" TargetMode="External"/><Relationship Id="rId27" Type="http://schemas.openxmlformats.org/officeDocument/2006/relationships/hyperlink" Target="https://www.topnutritioncoaching.com/weight-loss-nutritionists" TargetMode="External"/><Relationship Id="rId30" Type="http://schemas.openxmlformats.org/officeDocument/2006/relationships/hyperlink" Target="https://bold.org/scholarships/learner-algebra-scholarship/" TargetMode="External"/><Relationship Id="rId35" Type="http://schemas.openxmlformats.org/officeDocument/2006/relationships/hyperlink" Target="https://heysunday.com/pages/eco-warrior-scholarship" TargetMode="External"/><Relationship Id="rId8" Type="http://schemas.openxmlformats.org/officeDocument/2006/relationships/hyperlink" Target="https://pattillmanfoundation.org/apply/" TargetMode="External"/><Relationship Id="rId3" Type="http://schemas.openxmlformats.org/officeDocument/2006/relationships/hyperlink" Target="https://www.nitrocollege.com/nitro-scholarship-application?utm_source=cpc&amp;utm_medium=schol360&amp;utm_campaign=schol360_2K_main" TargetMode="External"/><Relationship Id="rId12" Type="http://schemas.openxmlformats.org/officeDocument/2006/relationships/hyperlink" Target="https://www.patientadvocate.org/connect-with-services/apply-for-a-scholarship/" TargetMode="External"/><Relationship Id="rId17" Type="http://schemas.openxmlformats.org/officeDocument/2006/relationships/hyperlink" Target="https://miwomen.tax/page-1830598" TargetMode="External"/><Relationship Id="rId25" Type="http://schemas.openxmlformats.org/officeDocument/2006/relationships/hyperlink" Target="https://www.goskills.com/scholarship" TargetMode="External"/><Relationship Id="rId33" Type="http://schemas.openxmlformats.org/officeDocument/2006/relationships/hyperlink" Target="https://rehabs.org/scholarship/" TargetMode="External"/><Relationship Id="rId38" Type="http://schemas.openxmlformats.org/officeDocument/2006/relationships/hyperlink" Target="https://californiadetox.com/scholarshi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C1DCE4-397E-4AA8-A58C-9D99CEA6E4D7}">
  <dimension ref="A1:C17"/>
  <sheetViews>
    <sheetView tabSelected="1" workbookViewId="0">
      <selection activeCell="B4" sqref="B4"/>
    </sheetView>
  </sheetViews>
  <sheetFormatPr defaultRowHeight="14.4" x14ac:dyDescent="0.3"/>
  <cols>
    <col min="1" max="1" width="2.77734375" customWidth="1"/>
    <col min="2" max="2" width="192.6640625" customWidth="1"/>
    <col min="3" max="3" width="2.77734375" customWidth="1"/>
  </cols>
  <sheetData>
    <row r="1" spans="1:3" ht="15" customHeight="1" x14ac:dyDescent="0.3">
      <c r="A1" s="1"/>
      <c r="B1" s="1"/>
      <c r="C1" s="1"/>
    </row>
    <row r="2" spans="1:3" ht="44.4" thickBot="1" x14ac:dyDescent="0.7">
      <c r="A2" s="1"/>
      <c r="B2" s="19" t="s">
        <v>55</v>
      </c>
      <c r="C2" s="1"/>
    </row>
    <row r="3" spans="1:3" ht="15" thickBot="1" x14ac:dyDescent="0.35">
      <c r="A3" s="1"/>
      <c r="B3" s="29"/>
      <c r="C3" s="1"/>
    </row>
    <row r="4" spans="1:3" ht="25.8" customHeight="1" thickBot="1" x14ac:dyDescent="0.35">
      <c r="A4" s="17"/>
      <c r="B4" s="28" t="s">
        <v>64</v>
      </c>
      <c r="C4" s="23"/>
    </row>
    <row r="5" spans="1:3" ht="25.8" customHeight="1" thickBot="1" x14ac:dyDescent="0.35">
      <c r="A5" s="1"/>
      <c r="B5" s="26" t="s">
        <v>144</v>
      </c>
      <c r="C5" s="24"/>
    </row>
    <row r="6" spans="1:3" ht="33" customHeight="1" thickBot="1" x14ac:dyDescent="0.35">
      <c r="A6" s="1"/>
      <c r="B6" s="31" t="s">
        <v>57</v>
      </c>
      <c r="C6" s="24"/>
    </row>
    <row r="7" spans="1:3" ht="26.4" customHeight="1" thickBot="1" x14ac:dyDescent="0.35">
      <c r="A7" s="1"/>
      <c r="B7" s="31" t="s">
        <v>83</v>
      </c>
      <c r="C7" s="24"/>
    </row>
    <row r="8" spans="1:3" ht="24" customHeight="1" thickBot="1" x14ac:dyDescent="0.35">
      <c r="A8" s="1"/>
      <c r="B8" s="28" t="s">
        <v>74</v>
      </c>
      <c r="C8" s="24"/>
    </row>
    <row r="9" spans="1:3" ht="28.2" customHeight="1" thickBot="1" x14ac:dyDescent="0.35">
      <c r="A9" s="1"/>
      <c r="B9" s="28" t="s">
        <v>75</v>
      </c>
      <c r="C9" s="25"/>
    </row>
    <row r="10" spans="1:3" ht="23.4" customHeight="1" thickBot="1" x14ac:dyDescent="0.35">
      <c r="A10" s="1"/>
      <c r="B10" s="26" t="s">
        <v>76</v>
      </c>
      <c r="C10" s="24"/>
    </row>
    <row r="11" spans="1:3" ht="36" customHeight="1" thickBot="1" x14ac:dyDescent="0.35">
      <c r="A11" s="1"/>
      <c r="B11" s="32" t="s">
        <v>77</v>
      </c>
      <c r="C11" s="24"/>
    </row>
    <row r="12" spans="1:3" ht="37.799999999999997" customHeight="1" thickBot="1" x14ac:dyDescent="0.35">
      <c r="A12" s="1"/>
      <c r="B12" s="28" t="s">
        <v>78</v>
      </c>
      <c r="C12" s="24"/>
    </row>
    <row r="13" spans="1:3" ht="22.2" customHeight="1" thickBot="1" x14ac:dyDescent="0.35">
      <c r="A13" s="1"/>
      <c r="B13" s="26" t="s">
        <v>79</v>
      </c>
      <c r="C13" s="24"/>
    </row>
    <row r="14" spans="1:3" ht="25.2" customHeight="1" thickBot="1" x14ac:dyDescent="0.35">
      <c r="A14" s="1"/>
      <c r="B14" s="27" t="s">
        <v>80</v>
      </c>
      <c r="C14" s="24"/>
    </row>
    <row r="15" spans="1:3" ht="24.6" customHeight="1" thickBot="1" x14ac:dyDescent="0.35">
      <c r="A15" s="1"/>
      <c r="B15" s="33" t="s">
        <v>81</v>
      </c>
      <c r="C15" s="24"/>
    </row>
    <row r="16" spans="1:3" ht="24.6" customHeight="1" thickBot="1" x14ac:dyDescent="0.35">
      <c r="A16" s="1"/>
      <c r="B16" s="28" t="s">
        <v>82</v>
      </c>
      <c r="C16" s="24"/>
    </row>
    <row r="17" spans="1:3" ht="15" customHeight="1" x14ac:dyDescent="0.3">
      <c r="A17" s="1"/>
      <c r="B17" s="30"/>
      <c r="C17" s="1"/>
    </row>
  </sheetData>
  <hyperlinks>
    <hyperlink ref="B6" r:id="rId1" display="3. Contact/search your local community foundation (Community Foundation Locator: https://cof.org/page/community-foundation-locator). Also, check with local Kiwanis, Lions, and Rotary clubs as well as the state and county medical society for possible scholarships. " xr:uid="{30DE375C-5CA5-4C73-9A84-19BFAAC80A12}"/>
    <hyperlink ref="B7" r:id="rId2" xr:uid="{FF41EBBF-F49D-4D66-B1B9-43591C9703F0}"/>
  </hyperlinks>
  <pageMargins left="0.7" right="0.7" top="0.75" bottom="0.75" header="0.3" footer="0.3"/>
  <pageSetup orientation="portrait" horizontalDpi="300" verticalDpi="300"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8BDFE-5980-490E-87DC-C14733CA8918}">
  <dimension ref="A1:D15"/>
  <sheetViews>
    <sheetView workbookViewId="0">
      <selection activeCell="C6" sqref="C6"/>
    </sheetView>
  </sheetViews>
  <sheetFormatPr defaultRowHeight="14.4" x14ac:dyDescent="0.3"/>
  <cols>
    <col min="1" max="1" width="2.77734375" customWidth="1"/>
    <col min="2" max="2" width="56.33203125" customWidth="1"/>
    <col min="3" max="3" width="136.5546875" customWidth="1"/>
    <col min="4" max="4" width="2.77734375" customWidth="1"/>
  </cols>
  <sheetData>
    <row r="1" spans="1:4" x14ac:dyDescent="0.3">
      <c r="A1" s="1"/>
      <c r="B1" s="1"/>
      <c r="C1" s="7"/>
      <c r="D1" s="1"/>
    </row>
    <row r="2" spans="1:4" ht="43.8" x14ac:dyDescent="0.65">
      <c r="A2" s="1"/>
      <c r="B2" s="48" t="s">
        <v>41</v>
      </c>
      <c r="C2" s="48"/>
      <c r="D2" s="1"/>
    </row>
    <row r="3" spans="1:4" x14ac:dyDescent="0.3">
      <c r="A3" s="1"/>
      <c r="B3" s="1"/>
      <c r="C3" s="7"/>
      <c r="D3" s="1"/>
    </row>
    <row r="4" spans="1:4" ht="24.6" x14ac:dyDescent="0.4">
      <c r="A4" s="1"/>
      <c r="B4" s="2" t="s">
        <v>42</v>
      </c>
      <c r="C4" s="3" t="s">
        <v>43</v>
      </c>
      <c r="D4" s="1"/>
    </row>
    <row r="5" spans="1:4" ht="15" thickBot="1" x14ac:dyDescent="0.35">
      <c r="A5" s="1"/>
      <c r="B5" s="1"/>
      <c r="C5" s="7"/>
      <c r="D5" s="1"/>
    </row>
    <row r="6" spans="1:4" ht="29.4" customHeight="1" thickBot="1" x14ac:dyDescent="0.35">
      <c r="A6" s="1"/>
      <c r="B6" s="20" t="str">
        <f>HYPERLINK("https://www.cof.org/community-foundation-locator","Community Foundation Locator")</f>
        <v>Community Foundation Locator</v>
      </c>
      <c r="C6" s="21" t="s">
        <v>44</v>
      </c>
      <c r="D6" s="1"/>
    </row>
    <row r="7" spans="1:4" ht="20.399999999999999" customHeight="1" thickBot="1" x14ac:dyDescent="0.35">
      <c r="A7" s="1"/>
      <c r="B7" s="20" t="str">
        <f>HYPERLINK("https://www.careeronestop.org/Toolkit/Training/find-scholarships.aspx","Career One Stop")</f>
        <v>Career One Stop</v>
      </c>
      <c r="C7" s="21" t="s">
        <v>45</v>
      </c>
      <c r="D7" s="1"/>
    </row>
    <row r="8" spans="1:4" ht="39.6" customHeight="1" thickBot="1" x14ac:dyDescent="0.35">
      <c r="A8" s="1"/>
      <c r="B8" s="20" t="str">
        <f>HYPERLINK("https://bigfuture.collegeboard.org/scholarship-search","College Board")</f>
        <v>College Board</v>
      </c>
      <c r="C8" s="21" t="s">
        <v>46</v>
      </c>
      <c r="D8" s="1"/>
    </row>
    <row r="9" spans="1:4" ht="37.200000000000003" customHeight="1" thickBot="1" x14ac:dyDescent="0.35">
      <c r="A9" s="1"/>
      <c r="B9" s="20" t="str">
        <f>HYPERLINK("https://www.fastweb.com/ppc-fastweb?utm_source=bing&amp;utm_medium=ppc&amp;utm_campaign=brandexact","Fastweb")</f>
        <v>Fastweb</v>
      </c>
      <c r="C9" s="42" t="s">
        <v>47</v>
      </c>
      <c r="D9" s="1"/>
    </row>
    <row r="10" spans="1:4" ht="58.8" customHeight="1" thickBot="1" x14ac:dyDescent="0.35">
      <c r="A10" s="1"/>
      <c r="B10" s="50" t="s">
        <v>94</v>
      </c>
      <c r="C10" s="43" t="s">
        <v>95</v>
      </c>
      <c r="D10" s="1"/>
    </row>
    <row r="11" spans="1:4" ht="36.6" customHeight="1" thickBot="1" x14ac:dyDescent="0.35">
      <c r="A11" s="1"/>
      <c r="B11" s="20" t="s">
        <v>48</v>
      </c>
      <c r="C11" s="22" t="s">
        <v>49</v>
      </c>
      <c r="D11" s="1"/>
    </row>
    <row r="12" spans="1:4" ht="37.200000000000003" customHeight="1" thickBot="1" x14ac:dyDescent="0.35">
      <c r="A12" s="1"/>
      <c r="B12" s="20" t="str">
        <f>HYPERLINK("https://www.tuitionfundingsources.com/","Tuition Funding Sources")</f>
        <v>Tuition Funding Sources</v>
      </c>
      <c r="C12" s="22" t="s">
        <v>50</v>
      </c>
      <c r="D12" s="1"/>
    </row>
    <row r="13" spans="1:4" ht="36.6" customHeight="1" thickBot="1" x14ac:dyDescent="0.35">
      <c r="A13" s="1"/>
      <c r="B13" s="20" t="s">
        <v>51</v>
      </c>
      <c r="C13" s="22" t="s">
        <v>52</v>
      </c>
      <c r="D13" s="1"/>
    </row>
    <row r="14" spans="1:4" ht="24" customHeight="1" thickBot="1" x14ac:dyDescent="0.35">
      <c r="A14" s="1"/>
      <c r="B14" s="20" t="s">
        <v>60</v>
      </c>
      <c r="C14" s="22" t="s">
        <v>61</v>
      </c>
      <c r="D14" s="1"/>
    </row>
    <row r="15" spans="1:4" ht="15" thickBot="1" x14ac:dyDescent="0.35">
      <c r="A15" s="1"/>
      <c r="B15" s="13"/>
      <c r="C15" s="35"/>
      <c r="D15" s="1"/>
    </row>
  </sheetData>
  <mergeCells count="1">
    <mergeCell ref="B2:C2"/>
  </mergeCells>
  <hyperlinks>
    <hyperlink ref="B11" r:id="rId1" xr:uid="{EE8B307B-F018-4B71-8DE3-38E0CF8CBC17}"/>
    <hyperlink ref="B13" r:id="rId2" xr:uid="{17C017A1-7012-4386-8C0E-BD7071E13F29}"/>
    <hyperlink ref="B10" r:id="rId3" xr:uid="{3D4FB54A-5DBA-4FE9-BA69-B34233116D02}"/>
  </hyperlinks>
  <pageMargins left="0.7" right="0.7" top="0.75" bottom="0.75" header="0.3" footer="0.3"/>
  <pageSetup orientation="portrait"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08A581-0A95-475C-949D-580799BFD02C}">
  <dimension ref="A1:F46"/>
  <sheetViews>
    <sheetView workbookViewId="0">
      <selection activeCell="D49" sqref="D49"/>
    </sheetView>
  </sheetViews>
  <sheetFormatPr defaultRowHeight="14.4" x14ac:dyDescent="0.3"/>
  <cols>
    <col min="1" max="1" width="2.77734375" customWidth="1"/>
    <col min="2" max="2" width="56" customWidth="1"/>
    <col min="3" max="3" width="31.77734375" style="8" customWidth="1"/>
    <col min="4" max="4" width="72.77734375" customWidth="1"/>
    <col min="5" max="5" width="32.44140625" style="6" customWidth="1"/>
    <col min="6" max="6" width="2.77734375" customWidth="1"/>
  </cols>
  <sheetData>
    <row r="1" spans="1:6" ht="15" customHeight="1" x14ac:dyDescent="0.3">
      <c r="A1" s="1"/>
      <c r="B1" s="1"/>
      <c r="C1" s="7"/>
      <c r="D1" s="1"/>
      <c r="E1" s="5"/>
      <c r="F1" s="1"/>
    </row>
    <row r="2" spans="1:6" ht="46.2" x14ac:dyDescent="0.85">
      <c r="A2" s="1"/>
      <c r="B2" s="48" t="s">
        <v>56</v>
      </c>
      <c r="C2" s="49"/>
      <c r="D2" s="49"/>
      <c r="E2" s="49"/>
      <c r="F2" s="1"/>
    </row>
    <row r="3" spans="1:6" ht="15" customHeight="1" x14ac:dyDescent="0.3">
      <c r="A3" s="1"/>
      <c r="B3" s="1"/>
      <c r="C3" s="7"/>
      <c r="D3" s="1"/>
      <c r="E3" s="5"/>
      <c r="F3" s="1"/>
    </row>
    <row r="4" spans="1:6" ht="29.4" customHeight="1" x14ac:dyDescent="0.4">
      <c r="A4" s="1"/>
      <c r="B4" s="2" t="s">
        <v>22</v>
      </c>
      <c r="C4" s="3" t="s">
        <v>0</v>
      </c>
      <c r="D4" s="3" t="s">
        <v>1</v>
      </c>
      <c r="E4" s="4" t="s">
        <v>2</v>
      </c>
      <c r="F4" s="1"/>
    </row>
    <row r="5" spans="1:6" ht="15" thickBot="1" x14ac:dyDescent="0.35">
      <c r="A5" s="1"/>
      <c r="B5" s="1"/>
      <c r="C5" s="7"/>
      <c r="D5" s="1"/>
      <c r="E5" s="5"/>
      <c r="F5" s="1"/>
    </row>
    <row r="6" spans="1:6" ht="15" thickBot="1" x14ac:dyDescent="0.35">
      <c r="A6" s="1"/>
      <c r="B6" s="12" t="s">
        <v>3</v>
      </c>
      <c r="C6" s="9">
        <v>2000</v>
      </c>
      <c r="D6" s="14" t="s">
        <v>4</v>
      </c>
      <c r="E6" s="11" t="s">
        <v>116</v>
      </c>
      <c r="F6" s="1"/>
    </row>
    <row r="7" spans="1:6" ht="28.8" thickBot="1" x14ac:dyDescent="0.35">
      <c r="A7" s="1"/>
      <c r="B7" s="16" t="s">
        <v>23</v>
      </c>
      <c r="C7" s="9">
        <v>2000</v>
      </c>
      <c r="D7" s="14" t="s">
        <v>8</v>
      </c>
      <c r="E7" s="44" t="s">
        <v>117</v>
      </c>
      <c r="F7" s="1"/>
    </row>
    <row r="8" spans="1:6" ht="15" thickBot="1" x14ac:dyDescent="0.35">
      <c r="A8" s="1"/>
      <c r="B8" s="12" t="s">
        <v>5</v>
      </c>
      <c r="C8" s="9">
        <v>2000</v>
      </c>
      <c r="D8" s="14" t="s">
        <v>4</v>
      </c>
      <c r="E8" s="11" t="s">
        <v>118</v>
      </c>
      <c r="F8" s="1"/>
    </row>
    <row r="9" spans="1:6" ht="15" thickBot="1" x14ac:dyDescent="0.35">
      <c r="A9" s="1"/>
      <c r="B9" s="12" t="s">
        <v>6</v>
      </c>
      <c r="C9" s="9">
        <v>5000</v>
      </c>
      <c r="D9" s="14" t="s">
        <v>4</v>
      </c>
      <c r="E9" s="11" t="s">
        <v>119</v>
      </c>
      <c r="F9" s="1"/>
    </row>
    <row r="10" spans="1:6" ht="28.8" thickBot="1" x14ac:dyDescent="0.35">
      <c r="A10" s="1"/>
      <c r="B10" s="12" t="s">
        <v>7</v>
      </c>
      <c r="C10" s="9">
        <v>4000</v>
      </c>
      <c r="D10" s="14" t="s">
        <v>18</v>
      </c>
      <c r="E10" s="11" t="s">
        <v>120</v>
      </c>
      <c r="F10" s="1"/>
    </row>
    <row r="11" spans="1:6" ht="28.8" thickBot="1" x14ac:dyDescent="0.35">
      <c r="A11" s="1"/>
      <c r="B11" s="12" t="s">
        <v>9</v>
      </c>
      <c r="C11" s="9">
        <v>500</v>
      </c>
      <c r="D11" s="14" t="s">
        <v>11</v>
      </c>
      <c r="E11" s="11" t="s">
        <v>10</v>
      </c>
      <c r="F11" s="1"/>
    </row>
    <row r="12" spans="1:6" ht="15" thickBot="1" x14ac:dyDescent="0.35">
      <c r="A12" s="1"/>
      <c r="B12" s="12" t="s">
        <v>122</v>
      </c>
      <c r="C12" s="10" t="s">
        <v>12</v>
      </c>
      <c r="D12" s="14" t="s">
        <v>13</v>
      </c>
      <c r="E12" s="11" t="s">
        <v>121</v>
      </c>
      <c r="F12" s="1"/>
    </row>
    <row r="13" spans="1:6" ht="31.2" customHeight="1" thickBot="1" x14ac:dyDescent="0.35">
      <c r="A13" s="1"/>
      <c r="B13" s="12" t="s">
        <v>14</v>
      </c>
      <c r="C13" s="10" t="s">
        <v>15</v>
      </c>
      <c r="D13" s="14" t="s">
        <v>16</v>
      </c>
      <c r="E13" s="11" t="s">
        <v>123</v>
      </c>
      <c r="F13" s="1"/>
    </row>
    <row r="14" spans="1:6" ht="15" thickBot="1" x14ac:dyDescent="0.35">
      <c r="A14" s="1"/>
      <c r="B14" s="12" t="s">
        <v>17</v>
      </c>
      <c r="C14" s="10" t="s">
        <v>21</v>
      </c>
      <c r="D14" s="15" t="s">
        <v>19</v>
      </c>
      <c r="E14" s="11" t="s">
        <v>20</v>
      </c>
      <c r="F14" s="1"/>
    </row>
    <row r="15" spans="1:6" ht="28.8" thickBot="1" x14ac:dyDescent="0.35">
      <c r="A15" s="1"/>
      <c r="B15" s="12" t="s">
        <v>26</v>
      </c>
      <c r="C15" s="10" t="s">
        <v>24</v>
      </c>
      <c r="D15" s="14" t="s">
        <v>25</v>
      </c>
      <c r="E15" s="11" t="s">
        <v>124</v>
      </c>
      <c r="F15" s="1"/>
    </row>
    <row r="16" spans="1:6" ht="42.6" thickBot="1" x14ac:dyDescent="0.35">
      <c r="A16" s="1"/>
      <c r="B16" s="34" t="s">
        <v>27</v>
      </c>
      <c r="C16" s="9">
        <v>2500</v>
      </c>
      <c r="D16" s="14" t="s">
        <v>28</v>
      </c>
      <c r="E16" s="11" t="s">
        <v>125</v>
      </c>
      <c r="F16" s="1"/>
    </row>
    <row r="17" spans="1:6" ht="42.6" thickBot="1" x14ac:dyDescent="0.35">
      <c r="A17" s="1"/>
      <c r="B17" s="12" t="s">
        <v>29</v>
      </c>
      <c r="C17" s="18" t="s">
        <v>31</v>
      </c>
      <c r="D17" s="14" t="s">
        <v>33</v>
      </c>
      <c r="E17" s="44" t="s">
        <v>130</v>
      </c>
      <c r="F17" s="1"/>
    </row>
    <row r="18" spans="1:6" ht="42.6" thickBot="1" x14ac:dyDescent="0.35">
      <c r="A18" s="1"/>
      <c r="B18" s="12" t="s">
        <v>30</v>
      </c>
      <c r="C18" s="18" t="s">
        <v>32</v>
      </c>
      <c r="D18" s="14" t="s">
        <v>34</v>
      </c>
      <c r="E18" s="44" t="s">
        <v>130</v>
      </c>
      <c r="F18" s="1"/>
    </row>
    <row r="19" spans="1:6" ht="15" thickBot="1" x14ac:dyDescent="0.35">
      <c r="A19" s="1"/>
      <c r="B19" s="12" t="s">
        <v>35</v>
      </c>
      <c r="C19" s="9">
        <v>1000</v>
      </c>
      <c r="D19" s="14" t="s">
        <v>38</v>
      </c>
      <c r="E19" s="11" t="s">
        <v>126</v>
      </c>
      <c r="F19" s="1"/>
    </row>
    <row r="20" spans="1:6" ht="28.8" thickBot="1" x14ac:dyDescent="0.35">
      <c r="A20" s="1"/>
      <c r="B20" s="16" t="s">
        <v>36</v>
      </c>
      <c r="C20" s="9">
        <v>5000</v>
      </c>
      <c r="D20" s="14" t="s">
        <v>37</v>
      </c>
      <c r="E20" s="44" t="s">
        <v>129</v>
      </c>
      <c r="F20" s="1"/>
    </row>
    <row r="21" spans="1:6" ht="28.8" thickBot="1" x14ac:dyDescent="0.35">
      <c r="A21" s="1"/>
      <c r="B21" s="12" t="s">
        <v>39</v>
      </c>
      <c r="C21" s="9">
        <v>1000</v>
      </c>
      <c r="D21" s="14" t="s">
        <v>40</v>
      </c>
      <c r="E21" s="11" t="s">
        <v>127</v>
      </c>
      <c r="F21" s="1"/>
    </row>
    <row r="22" spans="1:6" ht="15" thickBot="1" x14ac:dyDescent="0.35">
      <c r="A22" s="1"/>
      <c r="B22" s="12" t="s">
        <v>53</v>
      </c>
      <c r="C22" s="9">
        <v>2000</v>
      </c>
      <c r="D22" s="14" t="s">
        <v>54</v>
      </c>
      <c r="E22" s="11" t="s">
        <v>128</v>
      </c>
      <c r="F22" s="1"/>
    </row>
    <row r="23" spans="1:6" ht="15" thickBot="1" x14ac:dyDescent="0.35">
      <c r="A23" s="1"/>
      <c r="B23" s="12" t="s">
        <v>58</v>
      </c>
      <c r="C23" s="9">
        <v>2500</v>
      </c>
      <c r="D23" s="14" t="s">
        <v>59</v>
      </c>
      <c r="E23" s="11" t="s">
        <v>133</v>
      </c>
      <c r="F23" s="1"/>
    </row>
    <row r="24" spans="1:6" ht="28.8" thickBot="1" x14ac:dyDescent="0.35">
      <c r="A24" s="1"/>
      <c r="B24" s="45" t="s">
        <v>131</v>
      </c>
      <c r="C24" s="36" t="s">
        <v>62</v>
      </c>
      <c r="D24" s="37" t="s">
        <v>63</v>
      </c>
      <c r="E24" s="47" t="s">
        <v>132</v>
      </c>
      <c r="F24" s="1"/>
    </row>
    <row r="25" spans="1:6" ht="28.8" thickBot="1" x14ac:dyDescent="0.35">
      <c r="A25" s="1"/>
      <c r="B25" s="12" t="s">
        <v>65</v>
      </c>
      <c r="C25" s="9">
        <v>500</v>
      </c>
      <c r="D25" s="14" t="s">
        <v>66</v>
      </c>
      <c r="E25" s="11" t="s">
        <v>134</v>
      </c>
      <c r="F25" s="1"/>
    </row>
    <row r="26" spans="1:6" ht="15" thickBot="1" x14ac:dyDescent="0.35">
      <c r="A26" s="1"/>
      <c r="B26" s="12" t="s">
        <v>39</v>
      </c>
      <c r="C26" s="9">
        <v>1000</v>
      </c>
      <c r="D26" s="14" t="s">
        <v>67</v>
      </c>
      <c r="E26" s="11" t="s">
        <v>127</v>
      </c>
      <c r="F26" s="1"/>
    </row>
    <row r="27" spans="1:6" ht="28.8" thickBot="1" x14ac:dyDescent="0.35">
      <c r="A27" s="1"/>
      <c r="B27" s="12" t="s">
        <v>68</v>
      </c>
      <c r="C27" s="9" t="s">
        <v>69</v>
      </c>
      <c r="D27" s="14" t="s">
        <v>66</v>
      </c>
      <c r="E27" s="11" t="s">
        <v>135</v>
      </c>
      <c r="F27" s="1"/>
    </row>
    <row r="28" spans="1:6" s="39" customFormat="1" ht="15" thickBot="1" x14ac:dyDescent="0.35">
      <c r="A28" s="40"/>
      <c r="B28" s="46" t="s">
        <v>70</v>
      </c>
      <c r="C28" s="36">
        <v>500</v>
      </c>
      <c r="D28" s="37" t="s">
        <v>71</v>
      </c>
      <c r="E28" s="11" t="s">
        <v>128</v>
      </c>
      <c r="F28" s="41"/>
    </row>
    <row r="29" spans="1:6" ht="15" thickBot="1" x14ac:dyDescent="0.35">
      <c r="A29" s="1"/>
      <c r="B29" s="45" t="s">
        <v>72</v>
      </c>
      <c r="C29" s="36">
        <v>1000</v>
      </c>
      <c r="D29" s="37" t="s">
        <v>73</v>
      </c>
      <c r="E29" s="38" t="s">
        <v>136</v>
      </c>
      <c r="F29" s="1"/>
    </row>
    <row r="30" spans="1:6" ht="28.8" thickBot="1" x14ac:dyDescent="0.35">
      <c r="A30" s="1"/>
      <c r="B30" s="45" t="s">
        <v>84</v>
      </c>
      <c r="C30" s="36">
        <v>2000</v>
      </c>
      <c r="D30" s="37" t="s">
        <v>139</v>
      </c>
      <c r="E30" s="47" t="s">
        <v>138</v>
      </c>
      <c r="F30" s="1"/>
    </row>
    <row r="31" spans="1:6" ht="15" thickBot="1" x14ac:dyDescent="0.35">
      <c r="A31" s="1"/>
      <c r="B31" s="12" t="s">
        <v>85</v>
      </c>
      <c r="C31" s="9">
        <v>500</v>
      </c>
      <c r="D31" s="14" t="s">
        <v>88</v>
      </c>
      <c r="E31" s="11" t="s">
        <v>140</v>
      </c>
      <c r="F31" s="1"/>
    </row>
    <row r="32" spans="1:6" ht="15" thickBot="1" x14ac:dyDescent="0.35">
      <c r="A32" s="1"/>
      <c r="B32" s="12" t="s">
        <v>87</v>
      </c>
      <c r="C32" s="9">
        <v>500</v>
      </c>
      <c r="D32" s="14" t="s">
        <v>88</v>
      </c>
      <c r="E32" s="11" t="s">
        <v>140</v>
      </c>
      <c r="F32" s="1"/>
    </row>
    <row r="33" spans="1:6" ht="28.8" thickBot="1" x14ac:dyDescent="0.35">
      <c r="A33" s="1"/>
      <c r="B33" s="12" t="s">
        <v>86</v>
      </c>
      <c r="C33" s="9">
        <v>500</v>
      </c>
      <c r="D33" s="14" t="s">
        <v>89</v>
      </c>
      <c r="E33" s="11" t="s">
        <v>140</v>
      </c>
      <c r="F33" s="1"/>
    </row>
    <row r="34" spans="1:6" ht="28.8" thickBot="1" x14ac:dyDescent="0.35">
      <c r="A34" s="1"/>
      <c r="B34" s="12" t="s">
        <v>91</v>
      </c>
      <c r="C34" s="9">
        <v>500</v>
      </c>
      <c r="D34" s="14" t="s">
        <v>92</v>
      </c>
      <c r="E34" s="11" t="s">
        <v>140</v>
      </c>
      <c r="F34" s="1"/>
    </row>
    <row r="35" spans="1:6" ht="28.8" thickBot="1" x14ac:dyDescent="0.35">
      <c r="A35" s="1"/>
      <c r="B35" s="12" t="s">
        <v>90</v>
      </c>
      <c r="C35" s="9">
        <v>500</v>
      </c>
      <c r="D35" s="14" t="s">
        <v>93</v>
      </c>
      <c r="E35" s="11" t="s">
        <v>140</v>
      </c>
      <c r="F35" s="1"/>
    </row>
    <row r="36" spans="1:6" ht="15" thickBot="1" x14ac:dyDescent="0.35">
      <c r="A36" s="1"/>
      <c r="B36" s="12" t="s">
        <v>97</v>
      </c>
      <c r="C36" s="9">
        <v>1000</v>
      </c>
      <c r="D36" s="14" t="s">
        <v>96</v>
      </c>
      <c r="E36" s="11" t="s">
        <v>121</v>
      </c>
      <c r="F36" s="1"/>
    </row>
    <row r="37" spans="1:6" ht="28.8" thickBot="1" x14ac:dyDescent="0.35">
      <c r="A37" s="1"/>
      <c r="B37" s="45" t="s">
        <v>98</v>
      </c>
      <c r="C37" s="36">
        <v>500</v>
      </c>
      <c r="D37" s="37" t="s">
        <v>99</v>
      </c>
      <c r="E37" s="11" t="s">
        <v>121</v>
      </c>
      <c r="F37" s="1"/>
    </row>
    <row r="38" spans="1:6" ht="15" thickBot="1" x14ac:dyDescent="0.35">
      <c r="A38" s="1"/>
      <c r="B38" s="12" t="s">
        <v>102</v>
      </c>
      <c r="C38" s="9" t="s">
        <v>100</v>
      </c>
      <c r="D38" s="14" t="s">
        <v>101</v>
      </c>
      <c r="E38" s="11" t="s">
        <v>141</v>
      </c>
      <c r="F38" s="1"/>
    </row>
    <row r="39" spans="1:6" ht="15" thickBot="1" x14ac:dyDescent="0.35">
      <c r="A39" s="1"/>
      <c r="B39" s="12" t="s">
        <v>103</v>
      </c>
      <c r="C39" s="9">
        <v>1000</v>
      </c>
      <c r="D39" s="14" t="s">
        <v>104</v>
      </c>
      <c r="E39" s="11" t="s">
        <v>137</v>
      </c>
      <c r="F39" s="1"/>
    </row>
    <row r="40" spans="1:6" ht="15" thickBot="1" x14ac:dyDescent="0.35">
      <c r="A40" s="1"/>
      <c r="B40" s="12" t="s">
        <v>105</v>
      </c>
      <c r="C40" s="9">
        <v>1000</v>
      </c>
      <c r="D40" s="14" t="s">
        <v>106</v>
      </c>
      <c r="E40" s="11" t="s">
        <v>137</v>
      </c>
      <c r="F40" s="1"/>
    </row>
    <row r="41" spans="1:6" ht="15" thickBot="1" x14ac:dyDescent="0.35">
      <c r="A41" s="1"/>
      <c r="B41" s="12" t="s">
        <v>107</v>
      </c>
      <c r="C41" s="9">
        <v>1989</v>
      </c>
      <c r="D41" s="14" t="s">
        <v>108</v>
      </c>
      <c r="E41" s="11" t="s">
        <v>141</v>
      </c>
      <c r="F41" s="1"/>
    </row>
    <row r="42" spans="1:6" ht="15" thickBot="1" x14ac:dyDescent="0.35">
      <c r="A42" s="1"/>
      <c r="B42" s="12" t="s">
        <v>109</v>
      </c>
      <c r="C42" s="9">
        <v>1000</v>
      </c>
      <c r="D42" s="14" t="s">
        <v>110</v>
      </c>
      <c r="E42" s="11" t="s">
        <v>142</v>
      </c>
      <c r="F42" s="1"/>
    </row>
    <row r="43" spans="1:6" ht="15" thickBot="1" x14ac:dyDescent="0.35">
      <c r="A43" s="1"/>
      <c r="B43" s="12" t="s">
        <v>111</v>
      </c>
      <c r="C43" s="9">
        <v>1000</v>
      </c>
      <c r="D43" s="14" t="s">
        <v>112</v>
      </c>
      <c r="E43" s="11" t="s">
        <v>143</v>
      </c>
      <c r="F43" s="1"/>
    </row>
    <row r="44" spans="1:6" ht="15" thickBot="1" x14ac:dyDescent="0.35">
      <c r="A44" s="1"/>
      <c r="B44" s="12" t="s">
        <v>113</v>
      </c>
      <c r="C44" s="9">
        <v>1000</v>
      </c>
      <c r="D44" s="14" t="s">
        <v>112</v>
      </c>
      <c r="E44" s="11" t="s">
        <v>143</v>
      </c>
      <c r="F44" s="1"/>
    </row>
    <row r="45" spans="1:6" ht="28.8" thickBot="1" x14ac:dyDescent="0.35">
      <c r="A45" s="1"/>
      <c r="B45" s="12" t="s">
        <v>114</v>
      </c>
      <c r="C45" s="9">
        <v>20000</v>
      </c>
      <c r="D45" s="14" t="s">
        <v>115</v>
      </c>
      <c r="E45" s="11" t="s">
        <v>128</v>
      </c>
      <c r="F45" s="1"/>
    </row>
    <row r="46" spans="1:6" x14ac:dyDescent="0.3">
      <c r="A46" s="1"/>
      <c r="B46" s="1"/>
      <c r="C46" s="7"/>
      <c r="D46" s="1"/>
      <c r="E46" s="5"/>
      <c r="F46" s="1"/>
    </row>
  </sheetData>
  <mergeCells count="1">
    <mergeCell ref="B2:E2"/>
  </mergeCells>
  <hyperlinks>
    <hyperlink ref="B6" r:id="rId1" xr:uid="{ACCA6AAE-5002-43CC-BD19-93AF41DC1719}"/>
    <hyperlink ref="B7" r:id="rId2" display="Daughters of the American Revolution - Mary Elizabeth Lockwood Beneventi MBA Scholarship" xr:uid="{1D7FE7A2-8A51-4E6F-918C-07B37296C4E8}"/>
    <hyperlink ref="B8" r:id="rId3" xr:uid="{F87C480A-B494-4F4E-83CD-8527987A6910}"/>
    <hyperlink ref="B9" r:id="rId4" xr:uid="{DB671BDD-12F8-44B7-AA65-CD4D15CA77DD}"/>
    <hyperlink ref="B10" r:id="rId5" location="scholarship-application" xr:uid="{61B184A8-6BDF-489A-8FAE-C9FBFC30CD96}"/>
    <hyperlink ref="B11" r:id="rId6" xr:uid="{C4959235-3D62-439E-9F73-7FD22B570CBF}"/>
    <hyperlink ref="B12" r:id="rId7" display="2022 Cleanup Expert Scholarship Program" xr:uid="{16FED895-3989-47BB-88E3-6938BBA032DB}"/>
    <hyperlink ref="B13" r:id="rId8" xr:uid="{02F09A66-3FEC-4BD7-B9AD-39ECEA613E50}"/>
    <hyperlink ref="B14" r:id="rId9" xr:uid="{186580D9-268C-45CA-8633-60FCC3FAE08A}"/>
    <hyperlink ref="B15" r:id="rId10" display="Emanuele Gianturco Memorial Scholarship" xr:uid="{C41F609C-F36A-4CA1-AAE8-A02D4C75F71B}"/>
    <hyperlink ref="B16" r:id="rId11" xr:uid="{122B19FD-162E-4E7F-877A-6B5B6BC15AE3}"/>
    <hyperlink ref="B17" r:id="rId12" xr:uid="{C2A69BE8-1E48-4B42-9199-8EFA4C69F44B}"/>
    <hyperlink ref="B18" r:id="rId13" xr:uid="{9690D115-ED0A-4F89-B2ED-85963827F405}"/>
    <hyperlink ref="B19" r:id="rId14" xr:uid="{DD231ED6-8FF1-4240-B8C4-BDDAFA6A7C13}"/>
    <hyperlink ref="B20" r:id="rId15" xr:uid="{265C6EA3-0B1C-496F-9613-3D20CE9C5110}"/>
    <hyperlink ref="B21" r:id="rId16" location="scholarship" xr:uid="{7D5B0D6C-728D-4548-A38C-9A1363A79FF2}"/>
    <hyperlink ref="B22" r:id="rId17" xr:uid="{F5B080B1-2F44-4D4A-A036-E2763C846607}"/>
    <hyperlink ref="B23" r:id="rId18" xr:uid="{AED3F9C6-FC89-4BA3-AA7E-F4F45ED55505}"/>
    <hyperlink ref="B24" r:id="rId19" display="Addictions.com Fall 2022 Scholarship Contest" xr:uid="{B2598C26-73C2-4DD5-8A98-434199F52868}"/>
    <hyperlink ref="B25" r:id="rId20" xr:uid="{93484A7E-7E23-415B-930F-BF9DDA41B80C}"/>
    <hyperlink ref="B26" r:id="rId21" xr:uid="{8B68FA66-43E1-43A8-AF4C-38EDDAF9629D}"/>
    <hyperlink ref="B27" r:id="rId22" xr:uid="{E103E087-7F2C-498A-9578-D30060CE0E5E}"/>
    <hyperlink ref="B28" r:id="rId23" xr:uid="{47CE1C2F-C7BE-4082-A1B7-4BA7B9EF41B4}"/>
    <hyperlink ref="B29" r:id="rId24" xr:uid="{7A88B1BE-DEFF-47E0-B223-1C7480A254DC}"/>
    <hyperlink ref="B30" r:id="rId25" xr:uid="{DF444C53-F9D9-4E35-BEB0-2204C64E8E71}"/>
    <hyperlink ref="B35" r:id="rId26" location="scholarship" xr:uid="{99B10803-4747-4032-B75B-8BEED9048E6C}"/>
    <hyperlink ref="B34" r:id="rId27" location="scholarship" xr:uid="{41FCFE12-5C0B-470C-8DD0-2A303E4E2F5B}"/>
    <hyperlink ref="B33" r:id="rId28" xr:uid="{EA43955E-C098-47F7-9E9E-48587D5A68A4}"/>
    <hyperlink ref="B32" r:id="rId29" xr:uid="{ADE1E049-7B67-426F-ABFE-2C02A08DF409}"/>
    <hyperlink ref="B31" r:id="rId30" xr:uid="{623EDFB0-BE00-4531-ABB3-E9C4B7AF5A42}"/>
    <hyperlink ref="B36" r:id="rId31" xr:uid="{4CC1EA3F-4D35-4ECF-BCB9-837D48D04D24}"/>
    <hyperlink ref="B37" r:id="rId32" location="wellness-warrior-scholarship" xr:uid="{DCB38D2C-666E-4468-8689-DDB0BE467D7F}"/>
    <hyperlink ref="B38" r:id="rId33" xr:uid="{C97478FF-5BDD-4921-934C-03C4B6171881}"/>
    <hyperlink ref="B39" r:id="rId34" location="scholarship" xr:uid="{4FE836ED-2B02-4334-B51C-12432423D80D}"/>
    <hyperlink ref="B40" r:id="rId35" xr:uid="{39710B05-BD85-421B-B96B-EFC94BD55710}"/>
    <hyperlink ref="B41" r:id="rId36" xr:uid="{D54F93A1-FA8E-4E68-BD78-6CD693457B28}"/>
    <hyperlink ref="B42" r:id="rId37" xr:uid="{C69EE564-3FBE-4A9B-A679-63B2EBB1A860}"/>
    <hyperlink ref="B43" r:id="rId38" xr:uid="{E4D3B818-7BA6-4A8D-AFE1-5DB05396C81E}"/>
    <hyperlink ref="B44" r:id="rId39" xr:uid="{98D0278D-F12E-4718-A2CA-47A383BE29EC}"/>
    <hyperlink ref="B45" r:id="rId40" location="women-in-finance" xr:uid="{2D9B4C73-8B50-447D-A0B9-32B031C85EEA}"/>
  </hyperlinks>
  <pageMargins left="0.7" right="0.7" top="0.75" bottom="0.75" header="0.3" footer="0.3"/>
  <pageSetup orientation="portrait" horizontalDpi="300" verticalDpi="300" r:id="rId4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Search Process and Tips</vt:lpstr>
      <vt:lpstr>Scholarship Search Tools</vt:lpstr>
      <vt:lpstr>Scholarship Opportunities</vt:lpstr>
    </vt:vector>
  </TitlesOfParts>
  <Company>Walsh College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Almendarez</dc:creator>
  <cp:lastModifiedBy>Jeremy Jones</cp:lastModifiedBy>
  <dcterms:created xsi:type="dcterms:W3CDTF">2022-08-22T15:59:01Z</dcterms:created>
  <dcterms:modified xsi:type="dcterms:W3CDTF">2023-06-01T15:37:11Z</dcterms:modified>
</cp:coreProperties>
</file>