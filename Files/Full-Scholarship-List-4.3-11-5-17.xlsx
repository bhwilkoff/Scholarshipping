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101"/>
  <workbookPr/>
  <mc:AlternateContent xmlns:mc="http://schemas.openxmlformats.org/markup-compatibility/2006">
    <mc:Choice Requires="x15">
      <x15ac:absPath xmlns:x15ac="http://schemas.microsoft.com/office/spreadsheetml/2010/11/ac" url="/Users/debbie/Dropbox/Road2College/Spreadsheets/"/>
    </mc:Choice>
  </mc:AlternateContent>
  <bookViews>
    <workbookView xWindow="0" yWindow="460" windowWidth="23860" windowHeight="9360"/>
  </bookViews>
  <sheets>
    <sheet name="Full Scholarship List" sheetId="1" r:id="rId1"/>
    <sheet name="Update Log" sheetId="2" r:id="rId2"/>
  </sheets>
  <definedNames>
    <definedName name="_xlnm._FilterDatabase" localSheetId="0" hidden="1">'Full Scholarship List'!$A$2:$U$1136</definedName>
  </definedNames>
  <calcPr calcId="152511" concurrentCalc="0"/>
  <extLst>
    <ext xmlns:mx="http://schemas.microsoft.com/office/mac/excel/2008/main" uri="{7523E5D3-25F3-A5E0-1632-64F254C22452}">
      <mx:ArchID Flags="2"/>
    </ext>
  </extLst>
</workbook>
</file>

<file path=xl/calcChain.xml><?xml version="1.0" encoding="utf-8"?>
<calcChain xmlns="http://schemas.openxmlformats.org/spreadsheetml/2006/main">
  <c r="O1136" i="1" l="1"/>
  <c r="O1131" i="1"/>
  <c r="O1130" i="1"/>
  <c r="O1129" i="1"/>
  <c r="O1128" i="1"/>
  <c r="O1127" i="1"/>
  <c r="O1126"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2" i="1"/>
  <c r="O1081" i="1"/>
  <c r="O1080" i="1"/>
  <c r="O1079" i="1"/>
  <c r="O1078" i="1"/>
  <c r="O1075" i="1"/>
  <c r="O1074" i="1"/>
  <c r="O1073" i="1"/>
  <c r="O1072" i="1"/>
  <c r="O1071" i="1"/>
  <c r="O1070" i="1"/>
  <c r="O1069" i="1"/>
  <c r="O1068" i="1"/>
  <c r="O1067" i="1"/>
  <c r="O1066" i="1"/>
  <c r="O1065" i="1"/>
  <c r="O1063" i="1"/>
  <c r="O1062" i="1"/>
  <c r="O1061" i="1"/>
  <c r="O1060" i="1"/>
  <c r="O1059" i="1"/>
  <c r="O1058" i="1"/>
  <c r="O1057" i="1"/>
  <c r="O1056" i="1"/>
  <c r="O1055" i="1"/>
  <c r="O1050" i="1"/>
  <c r="O1049" i="1"/>
  <c r="O1048" i="1"/>
  <c r="O1047" i="1"/>
  <c r="O1046" i="1"/>
  <c r="O1045" i="1"/>
  <c r="O1044" i="1"/>
  <c r="O1043" i="1"/>
  <c r="O1042" i="1"/>
  <c r="O1041" i="1"/>
  <c r="O1040" i="1"/>
  <c r="O1039" i="1"/>
  <c r="O1038" i="1"/>
  <c r="O1036" i="1"/>
  <c r="O1035" i="1"/>
  <c r="O1033" i="1"/>
  <c r="O1032" i="1"/>
  <c r="O1031" i="1"/>
  <c r="O1030" i="1"/>
  <c r="O1027" i="1"/>
  <c r="O1026" i="1"/>
  <c r="O1021" i="1"/>
  <c r="O1020" i="1"/>
  <c r="O1019" i="1"/>
  <c r="O1018" i="1"/>
  <c r="O1017" i="1"/>
  <c r="O1016" i="1"/>
  <c r="O1014" i="1"/>
  <c r="O1013" i="1"/>
  <c r="O1012" i="1"/>
  <c r="O1011" i="1"/>
  <c r="O1010" i="1"/>
  <c r="O1009" i="1"/>
  <c r="O1008" i="1"/>
  <c r="O1007" i="1"/>
  <c r="O1006" i="1"/>
  <c r="O1005" i="1"/>
  <c r="O1003" i="1"/>
  <c r="O1002" i="1"/>
  <c r="O1000" i="1"/>
  <c r="O999" i="1"/>
  <c r="O998" i="1"/>
  <c r="O997" i="1"/>
  <c r="O996" i="1"/>
  <c r="O995" i="1"/>
  <c r="O993" i="1"/>
  <c r="O992" i="1"/>
  <c r="O990" i="1"/>
  <c r="O989" i="1"/>
  <c r="O988" i="1"/>
  <c r="O986" i="1"/>
  <c r="O985" i="1"/>
  <c r="O984" i="1"/>
  <c r="O983" i="1"/>
  <c r="O982" i="1"/>
  <c r="O981" i="1"/>
  <c r="O980" i="1"/>
  <c r="O978" i="1"/>
  <c r="O977" i="1"/>
  <c r="O976" i="1"/>
  <c r="O975" i="1"/>
  <c r="O974" i="1"/>
  <c r="O973" i="1"/>
  <c r="O972" i="1"/>
  <c r="O970" i="1"/>
  <c r="O969" i="1"/>
  <c r="O967" i="1"/>
  <c r="O966" i="1"/>
  <c r="O965" i="1"/>
  <c r="O964" i="1"/>
  <c r="O963" i="1"/>
  <c r="O962" i="1"/>
  <c r="O959" i="1"/>
  <c r="O958" i="1"/>
  <c r="O957" i="1"/>
  <c r="O956" i="1"/>
  <c r="O955" i="1"/>
  <c r="O954" i="1"/>
  <c r="O953" i="1"/>
  <c r="O952" i="1"/>
  <c r="O951" i="1"/>
  <c r="O949" i="1"/>
  <c r="O948" i="1"/>
  <c r="O947" i="1"/>
  <c r="O946" i="1"/>
  <c r="O945" i="1"/>
  <c r="O944" i="1"/>
  <c r="O943" i="1"/>
  <c r="O942" i="1"/>
  <c r="O941" i="1"/>
  <c r="O938" i="1"/>
  <c r="O937" i="1"/>
  <c r="O936" i="1"/>
  <c r="O935" i="1"/>
  <c r="O934" i="1"/>
  <c r="O933" i="1"/>
  <c r="O932" i="1"/>
  <c r="O931" i="1"/>
  <c r="O930" i="1"/>
  <c r="O929" i="1"/>
  <c r="O928" i="1"/>
  <c r="O927" i="1"/>
  <c r="O926" i="1"/>
  <c r="O925" i="1"/>
  <c r="O924" i="1"/>
  <c r="O923" i="1"/>
  <c r="O922" i="1"/>
  <c r="O921" i="1"/>
  <c r="O920" i="1"/>
  <c r="O919" i="1"/>
  <c r="O918" i="1"/>
  <c r="O917" i="1"/>
  <c r="O915" i="1"/>
  <c r="O914" i="1"/>
  <c r="O913" i="1"/>
  <c r="O912" i="1"/>
  <c r="O911" i="1"/>
  <c r="O910" i="1"/>
  <c r="O909" i="1"/>
  <c r="O908" i="1"/>
  <c r="O907" i="1"/>
  <c r="O906" i="1"/>
  <c r="O905" i="1"/>
  <c r="O904" i="1"/>
  <c r="O903" i="1"/>
  <c r="O902" i="1"/>
  <c r="O897" i="1"/>
  <c r="O895" i="1"/>
  <c r="O894" i="1"/>
  <c r="O892" i="1"/>
  <c r="O891" i="1"/>
  <c r="O890" i="1"/>
  <c r="O889" i="1"/>
  <c r="O888" i="1"/>
  <c r="O887" i="1"/>
  <c r="O886" i="1"/>
  <c r="O885" i="1"/>
  <c r="O884" i="1"/>
  <c r="O883" i="1"/>
  <c r="O882" i="1"/>
  <c r="O881" i="1"/>
  <c r="O880" i="1"/>
  <c r="O878" i="1"/>
  <c r="O877" i="1"/>
  <c r="O876" i="1"/>
  <c r="O874" i="1"/>
  <c r="O873" i="1"/>
  <c r="O872" i="1"/>
  <c r="O871" i="1"/>
  <c r="O870" i="1"/>
  <c r="O869" i="1"/>
  <c r="O868" i="1"/>
  <c r="O867" i="1"/>
  <c r="O866" i="1"/>
  <c r="O865" i="1"/>
  <c r="O863" i="1"/>
  <c r="O862" i="1"/>
  <c r="O861" i="1"/>
  <c r="O860" i="1"/>
  <c r="O859" i="1"/>
  <c r="O858" i="1"/>
  <c r="O856" i="1"/>
  <c r="O855" i="1"/>
  <c r="O854" i="1"/>
  <c r="O853" i="1"/>
  <c r="O852"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3" i="1"/>
  <c r="O822" i="1"/>
  <c r="O821" i="1"/>
  <c r="O820" i="1"/>
  <c r="O819" i="1"/>
  <c r="O818" i="1"/>
  <c r="O817" i="1"/>
  <c r="O816" i="1"/>
  <c r="O811" i="1"/>
  <c r="O810" i="1"/>
  <c r="O809" i="1"/>
  <c r="O807" i="1"/>
  <c r="O801" i="1"/>
  <c r="O800" i="1"/>
  <c r="O799" i="1"/>
  <c r="O798" i="1"/>
  <c r="O797" i="1"/>
  <c r="O796" i="1"/>
  <c r="O795" i="1"/>
  <c r="O794" i="1"/>
  <c r="O784" i="1"/>
  <c r="O783" i="1"/>
  <c r="O782" i="1"/>
  <c r="O781" i="1"/>
  <c r="O780" i="1"/>
  <c r="O779" i="1"/>
  <c r="O778" i="1"/>
  <c r="O777" i="1"/>
  <c r="O776" i="1"/>
  <c r="O775" i="1"/>
  <c r="O774" i="1"/>
  <c r="O773" i="1"/>
  <c r="O772" i="1"/>
  <c r="O771" i="1"/>
  <c r="O770" i="1"/>
  <c r="O769" i="1"/>
  <c r="O767" i="1"/>
  <c r="O766" i="1"/>
  <c r="O765" i="1"/>
  <c r="O764" i="1"/>
  <c r="O763" i="1"/>
  <c r="O762" i="1"/>
  <c r="O759" i="1"/>
  <c r="O758" i="1"/>
  <c r="O756" i="1"/>
  <c r="O754" i="1"/>
  <c r="O753" i="1"/>
  <c r="O752" i="1"/>
  <c r="O751" i="1"/>
  <c r="O750" i="1"/>
  <c r="O749" i="1"/>
  <c r="O746" i="1"/>
  <c r="O740" i="1"/>
  <c r="O739" i="1"/>
  <c r="O738" i="1"/>
  <c r="O737" i="1"/>
  <c r="O736" i="1"/>
  <c r="O733" i="1"/>
  <c r="O732" i="1"/>
  <c r="O731" i="1"/>
  <c r="O730" i="1"/>
  <c r="O729" i="1"/>
  <c r="O728" i="1"/>
  <c r="O727" i="1"/>
  <c r="O725" i="1"/>
  <c r="O724" i="1"/>
  <c r="O721" i="1"/>
  <c r="O720" i="1"/>
  <c r="O719" i="1"/>
  <c r="O718" i="1"/>
  <c r="O717" i="1"/>
  <c r="O716" i="1"/>
  <c r="O715" i="1"/>
  <c r="O714" i="1"/>
  <c r="O713" i="1"/>
  <c r="O712" i="1"/>
  <c r="O711" i="1"/>
  <c r="O710" i="1"/>
  <c r="O709" i="1"/>
  <c r="O708" i="1"/>
  <c r="O707" i="1"/>
  <c r="O705" i="1"/>
  <c r="O704" i="1"/>
  <c r="O703" i="1"/>
  <c r="O702" i="1"/>
  <c r="O700" i="1"/>
  <c r="O699" i="1"/>
  <c r="O698" i="1"/>
  <c r="O696" i="1"/>
  <c r="O695" i="1"/>
  <c r="O694" i="1"/>
  <c r="O693" i="1"/>
  <c r="O692" i="1"/>
  <c r="O691" i="1"/>
  <c r="O690" i="1"/>
  <c r="O689" i="1"/>
  <c r="O688" i="1"/>
  <c r="O685" i="1"/>
  <c r="O684" i="1"/>
  <c r="O683" i="1"/>
  <c r="O681" i="1"/>
  <c r="O680" i="1"/>
  <c r="O679" i="1"/>
  <c r="O678" i="1"/>
  <c r="O677" i="1"/>
  <c r="O676" i="1"/>
  <c r="O675" i="1"/>
  <c r="O674" i="1"/>
  <c r="O673" i="1"/>
  <c r="O672" i="1"/>
  <c r="O670" i="1"/>
  <c r="O669" i="1"/>
  <c r="O668" i="1"/>
  <c r="O666" i="1"/>
  <c r="O665" i="1"/>
  <c r="O664" i="1"/>
  <c r="O663" i="1"/>
  <c r="O662" i="1"/>
  <c r="O661" i="1"/>
  <c r="O660" i="1"/>
  <c r="O659" i="1"/>
  <c r="O658" i="1"/>
  <c r="O657" i="1"/>
  <c r="O656" i="1"/>
  <c r="O655" i="1"/>
  <c r="O654" i="1"/>
  <c r="O653" i="1"/>
  <c r="O652" i="1"/>
  <c r="O650" i="1"/>
  <c r="O649" i="1"/>
  <c r="O648" i="1"/>
  <c r="O647" i="1"/>
  <c r="O646" i="1"/>
  <c r="O645" i="1"/>
  <c r="O644" i="1"/>
  <c r="O643" i="1"/>
  <c r="O642" i="1"/>
  <c r="O641" i="1"/>
  <c r="O640" i="1"/>
  <c r="O639" i="1"/>
  <c r="O638" i="1"/>
  <c r="O637" i="1"/>
  <c r="O636" i="1"/>
  <c r="O635" i="1"/>
  <c r="O634" i="1"/>
  <c r="O633" i="1"/>
  <c r="O632" i="1"/>
  <c r="O630" i="1"/>
  <c r="O629" i="1"/>
  <c r="O628" i="1"/>
  <c r="O627" i="1"/>
  <c r="O626" i="1"/>
  <c r="O625" i="1"/>
  <c r="O624" i="1"/>
  <c r="O623" i="1"/>
  <c r="O622" i="1"/>
  <c r="O618" i="1"/>
  <c r="O617" i="1"/>
  <c r="O616" i="1"/>
  <c r="O615" i="1"/>
  <c r="O614" i="1"/>
  <c r="O613" i="1"/>
  <c r="O612" i="1"/>
  <c r="O611" i="1"/>
  <c r="O610" i="1"/>
  <c r="O609" i="1"/>
  <c r="O608"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7" i="1"/>
  <c r="O576" i="1"/>
  <c r="O575" i="1"/>
  <c r="O572" i="1"/>
  <c r="O571" i="1"/>
  <c r="O570" i="1"/>
  <c r="O569" i="1"/>
  <c r="O568" i="1"/>
  <c r="O566" i="1"/>
  <c r="O565" i="1"/>
  <c r="O564" i="1"/>
  <c r="O563" i="1"/>
  <c r="O562" i="1"/>
  <c r="O561" i="1"/>
  <c r="O560" i="1"/>
  <c r="O559" i="1"/>
  <c r="O558" i="1"/>
  <c r="O557" i="1"/>
  <c r="O555" i="1"/>
  <c r="O554" i="1"/>
  <c r="O551" i="1"/>
  <c r="O550" i="1"/>
  <c r="O549" i="1"/>
  <c r="O548" i="1"/>
  <c r="O545"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3"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8" i="1"/>
  <c r="O477" i="1"/>
  <c r="O474" i="1"/>
  <c r="O473" i="1"/>
  <c r="O472" i="1"/>
  <c r="O471" i="1"/>
  <c r="O470" i="1"/>
  <c r="O469" i="1"/>
  <c r="O468" i="1"/>
  <c r="O467" i="1"/>
  <c r="O466" i="1"/>
  <c r="O464" i="1"/>
  <c r="O463" i="1"/>
  <c r="O459" i="1"/>
  <c r="O458" i="1"/>
  <c r="O455" i="1"/>
  <c r="O454" i="1"/>
  <c r="O453" i="1"/>
  <c r="O452" i="1"/>
  <c r="O451" i="1"/>
  <c r="O450" i="1"/>
  <c r="O449" i="1"/>
  <c r="O447" i="1"/>
  <c r="O446" i="1"/>
  <c r="O445" i="1"/>
  <c r="O442" i="1"/>
  <c r="O441" i="1"/>
  <c r="O440" i="1"/>
  <c r="O439" i="1"/>
  <c r="O438" i="1"/>
  <c r="O437" i="1"/>
  <c r="O436" i="1"/>
  <c r="O435" i="1"/>
  <c r="O434" i="1"/>
  <c r="O433" i="1"/>
  <c r="O432" i="1"/>
  <c r="O431" i="1"/>
  <c r="O430" i="1"/>
  <c r="O429" i="1"/>
  <c r="O428" i="1"/>
  <c r="O427" i="1"/>
  <c r="O426" i="1"/>
  <c r="O425" i="1"/>
  <c r="O424" i="1"/>
  <c r="O423" i="1"/>
  <c r="O419" i="1"/>
  <c r="O418" i="1"/>
  <c r="O417" i="1"/>
  <c r="O416" i="1"/>
  <c r="O408" i="1"/>
  <c r="O407" i="1"/>
  <c r="O406" i="1"/>
  <c r="O405" i="1"/>
  <c r="O404" i="1"/>
  <c r="O403" i="1"/>
  <c r="O402" i="1"/>
  <c r="O401" i="1"/>
  <c r="O400" i="1"/>
  <c r="O399" i="1"/>
  <c r="O398" i="1"/>
  <c r="O397" i="1"/>
  <c r="O396" i="1"/>
  <c r="O395" i="1"/>
  <c r="O392" i="1"/>
  <c r="O391" i="1"/>
  <c r="O390" i="1"/>
  <c r="O389" i="1"/>
  <c r="O388" i="1"/>
  <c r="O387" i="1"/>
  <c r="O386" i="1"/>
  <c r="O385" i="1"/>
  <c r="O383" i="1"/>
  <c r="O382" i="1"/>
  <c r="O381" i="1"/>
  <c r="O380" i="1"/>
  <c r="O379" i="1"/>
  <c r="O378" i="1"/>
  <c r="O377" i="1"/>
  <c r="O376" i="1"/>
  <c r="O375" i="1"/>
  <c r="O374" i="1"/>
  <c r="O373" i="1"/>
  <c r="O372" i="1"/>
  <c r="O371" i="1"/>
  <c r="O369"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7" i="1"/>
  <c r="O336" i="1"/>
  <c r="O335" i="1"/>
  <c r="O334" i="1"/>
  <c r="O333" i="1"/>
  <c r="O332" i="1"/>
  <c r="O331" i="1"/>
  <c r="O330" i="1"/>
  <c r="O329" i="1"/>
  <c r="O328" i="1"/>
  <c r="O327" i="1"/>
  <c r="O324" i="1"/>
  <c r="O323" i="1"/>
  <c r="O322" i="1"/>
  <c r="O321" i="1"/>
  <c r="O319" i="1"/>
  <c r="O318" i="1"/>
  <c r="O317" i="1"/>
  <c r="O316" i="1"/>
  <c r="O315" i="1"/>
  <c r="O314" i="1"/>
  <c r="O311" i="1"/>
  <c r="O310" i="1"/>
  <c r="O309" i="1"/>
  <c r="O308" i="1"/>
  <c r="O306" i="1"/>
  <c r="O305" i="1"/>
  <c r="O304" i="1"/>
  <c r="O303" i="1"/>
  <c r="O302" i="1"/>
  <c r="O301" i="1"/>
  <c r="O299" i="1"/>
  <c r="O298" i="1"/>
  <c r="O297" i="1"/>
  <c r="O296" i="1"/>
  <c r="O295" i="1"/>
  <c r="O292" i="1"/>
  <c r="O290" i="1"/>
  <c r="O289" i="1"/>
  <c r="O288" i="1"/>
  <c r="O287" i="1"/>
  <c r="O286" i="1"/>
  <c r="O285" i="1"/>
  <c r="O284" i="1"/>
  <c r="O283" i="1"/>
  <c r="O281" i="1"/>
  <c r="O280" i="1"/>
  <c r="O279" i="1"/>
  <c r="O276" i="1"/>
  <c r="O274" i="1"/>
  <c r="O272" i="1"/>
  <c r="O271" i="1"/>
  <c r="O270" i="1"/>
  <c r="O268" i="1"/>
  <c r="O267" i="1"/>
  <c r="O266" i="1"/>
  <c r="O264" i="1"/>
  <c r="O263" i="1"/>
  <c r="O262" i="1"/>
  <c r="O261" i="1"/>
  <c r="O260" i="1"/>
  <c r="O259" i="1"/>
  <c r="O258" i="1"/>
  <c r="O257" i="1"/>
  <c r="O256" i="1"/>
  <c r="O255" i="1"/>
  <c r="O254" i="1"/>
  <c r="O253" i="1"/>
  <c r="O252" i="1"/>
  <c r="O251" i="1"/>
  <c r="O250" i="1"/>
  <c r="O249" i="1"/>
  <c r="O248" i="1"/>
  <c r="O247" i="1"/>
  <c r="O245" i="1"/>
  <c r="O244" i="1"/>
  <c r="O243" i="1"/>
  <c r="O242" i="1"/>
  <c r="O241" i="1"/>
  <c r="O240" i="1"/>
  <c r="O239" i="1"/>
  <c r="O238" i="1"/>
  <c r="O237" i="1"/>
  <c r="O236" i="1"/>
  <c r="O235" i="1"/>
  <c r="O233" i="1"/>
  <c r="O232" i="1"/>
  <c r="O231" i="1"/>
  <c r="O228" i="1"/>
  <c r="O227" i="1"/>
  <c r="O224" i="1"/>
  <c r="O222" i="1"/>
  <c r="O221" i="1"/>
  <c r="O220" i="1"/>
  <c r="O219" i="1"/>
  <c r="O218" i="1"/>
  <c r="O217" i="1"/>
  <c r="O216" i="1"/>
  <c r="O215" i="1"/>
  <c r="O214" i="1"/>
  <c r="O213" i="1"/>
  <c r="O212" i="1"/>
  <c r="O211" i="1"/>
  <c r="O210" i="1"/>
  <c r="O209" i="1"/>
  <c r="O208" i="1"/>
  <c r="O207" i="1"/>
  <c r="O206" i="1"/>
  <c r="O204" i="1"/>
  <c r="O203" i="1"/>
  <c r="O201" i="1"/>
  <c r="O200" i="1"/>
  <c r="O199" i="1"/>
  <c r="O198" i="1"/>
  <c r="O197" i="1"/>
  <c r="O196" i="1"/>
  <c r="O195" i="1"/>
  <c r="O194" i="1"/>
  <c r="O193" i="1"/>
  <c r="O192" i="1"/>
  <c r="O191" i="1"/>
  <c r="O190" i="1"/>
  <c r="O189" i="1"/>
  <c r="O188" i="1"/>
  <c r="O187" i="1"/>
  <c r="O184" i="1"/>
  <c r="O183" i="1"/>
  <c r="O182" i="1"/>
  <c r="O181" i="1"/>
  <c r="O180" i="1"/>
  <c r="O179" i="1"/>
  <c r="O178" i="1"/>
  <c r="O177" i="1"/>
  <c r="O176" i="1"/>
  <c r="O175" i="1"/>
  <c r="O174" i="1"/>
  <c r="O171" i="1"/>
  <c r="O170" i="1"/>
  <c r="O169" i="1"/>
  <c r="O168" i="1"/>
  <c r="O167" i="1"/>
  <c r="O166" i="1"/>
  <c r="O165" i="1"/>
  <c r="O164" i="1"/>
  <c r="O163" i="1"/>
  <c r="O161" i="1"/>
  <c r="O160" i="1"/>
  <c r="O159" i="1"/>
  <c r="O158" i="1"/>
  <c r="O157" i="1"/>
  <c r="O156" i="1"/>
  <c r="O155" i="1"/>
  <c r="O154" i="1"/>
  <c r="O150" i="1"/>
  <c r="O149" i="1"/>
  <c r="O147" i="1"/>
  <c r="O146" i="1"/>
  <c r="O144" i="1"/>
  <c r="O143" i="1"/>
  <c r="O142" i="1"/>
  <c r="O141" i="1"/>
  <c r="O140" i="1"/>
  <c r="O136" i="1"/>
  <c r="O135" i="1"/>
  <c r="O134" i="1"/>
  <c r="O133" i="1"/>
  <c r="O132" i="1"/>
  <c r="O131" i="1"/>
  <c r="O130" i="1"/>
  <c r="O129" i="1"/>
  <c r="O128" i="1"/>
  <c r="O125" i="1"/>
  <c r="O124" i="1"/>
  <c r="O123" i="1"/>
  <c r="O122" i="1"/>
  <c r="O119" i="1"/>
  <c r="O115" i="1"/>
  <c r="O114" i="1"/>
  <c r="O113" i="1"/>
  <c r="O112" i="1"/>
  <c r="O108" i="1"/>
  <c r="O107" i="1"/>
  <c r="O106" i="1"/>
  <c r="O100" i="1"/>
  <c r="O99" i="1"/>
  <c r="O98" i="1"/>
  <c r="O97" i="1"/>
  <c r="O96" i="1"/>
  <c r="O95" i="1"/>
  <c r="O94" i="1"/>
  <c r="O93" i="1"/>
  <c r="O92" i="1"/>
  <c r="O91" i="1"/>
  <c r="O88" i="1"/>
  <c r="O87" i="1"/>
  <c r="O86" i="1"/>
  <c r="O85" i="1"/>
  <c r="O84" i="1"/>
  <c r="O82" i="1"/>
  <c r="O81" i="1"/>
  <c r="O77" i="1"/>
  <c r="O72" i="1"/>
  <c r="O71" i="1"/>
  <c r="O70" i="1"/>
  <c r="O69" i="1"/>
  <c r="O68" i="1"/>
  <c r="O66" i="1"/>
  <c r="O65" i="1"/>
  <c r="O62" i="1"/>
  <c r="O61" i="1"/>
  <c r="O60" i="1"/>
  <c r="O59" i="1"/>
  <c r="O58" i="1"/>
  <c r="O57" i="1"/>
  <c r="O56" i="1"/>
  <c r="O55" i="1"/>
  <c r="O54" i="1"/>
  <c r="O51" i="1"/>
  <c r="O50" i="1"/>
  <c r="O49" i="1"/>
  <c r="O48" i="1"/>
  <c r="O47" i="1"/>
  <c r="O46" i="1"/>
  <c r="O45" i="1"/>
  <c r="O44" i="1"/>
  <c r="O43" i="1"/>
  <c r="O42" i="1"/>
  <c r="O41" i="1"/>
  <c r="O40" i="1"/>
  <c r="O39" i="1"/>
  <c r="O38" i="1"/>
  <c r="O37" i="1"/>
  <c r="O36" i="1"/>
  <c r="O31" i="1"/>
  <c r="O30" i="1"/>
  <c r="O29" i="1"/>
  <c r="O25" i="1"/>
  <c r="O24" i="1"/>
  <c r="O23" i="1"/>
  <c r="O22" i="1"/>
  <c r="O21" i="1"/>
  <c r="O20" i="1"/>
  <c r="O19" i="1"/>
  <c r="O18" i="1"/>
  <c r="O14" i="1"/>
  <c r="O13" i="1"/>
  <c r="O12" i="1"/>
  <c r="O11" i="1"/>
  <c r="O10" i="1"/>
  <c r="O9" i="1"/>
  <c r="O8" i="1"/>
  <c r="O7" i="1"/>
  <c r="O6" i="1"/>
  <c r="C1" i="1"/>
</calcChain>
</file>

<file path=xl/sharedStrings.xml><?xml version="1.0" encoding="utf-8"?>
<sst xmlns="http://schemas.openxmlformats.org/spreadsheetml/2006/main" count="12697" uniqueCount="3529">
  <si>
    <t>FULL SCHOLARSHIP LIST 4.3</t>
  </si>
  <si>
    <t>Update Log</t>
  </si>
  <si>
    <t>Added 3 scholarships for Huntingdon College</t>
  </si>
  <si>
    <t>Added Virginia Tech ROTC scholarships</t>
  </si>
  <si>
    <t>Added University of Alaska - Fairbanks Nanook Gold scholarship</t>
  </si>
  <si>
    <t>Added Montana State University Presidential and Provost Scholarships</t>
  </si>
  <si>
    <t>Added Montana State University ROTC scholarships</t>
  </si>
  <si>
    <t>Added University of Montana Presidential Leadership Scholarship</t>
  </si>
  <si>
    <t>Removed Lyon College (AR) Brown Scholarship, Anderson Scholarship, Honors Day Scholarship as they are no longer listed</t>
  </si>
  <si>
    <t>To filter, click on the arrow in the top right corner of a column header</t>
  </si>
  <si>
    <t>Added Lyon College (AR) Dean's/President's/Trustee scholarship</t>
  </si>
  <si>
    <t>Added Lyon College (AR) Fellowship Program</t>
  </si>
  <si>
    <t>Removed University of Arkansas - Little Rock Chancellor's Academic Distinction Scholarship applicable to National Merit Finalists as this is no longer listed.  Also updated Chancellor's Academic Distinction Scholarship to be In State residents only.</t>
  </si>
  <si>
    <t>State</t>
  </si>
  <si>
    <t>Removed University of Arkansas - Little Rock Chancellor's Leadership Corps Scholarship as it is now an amount less than 1/2 tuition</t>
  </si>
  <si>
    <t>Removed University of Arkansas - Little Rock East Scholarship as it is now an amount less than 1/2 tuition</t>
  </si>
  <si>
    <t>Removed University of Arkansas - Little Rock Provost's Academic Excellence Scholarship applicable to National Merit Semi-Finalists as this is no longer listed. Also updated the Provost's Academic Excellence scholarship to be In State residents only.</t>
  </si>
  <si>
    <t>Added University of Arizona Arizona Excellence Scholarship for out-of-state students</t>
  </si>
  <si>
    <t>Added University of Arizona Wildcats Excellence Scholarship for in-state students</t>
  </si>
  <si>
    <t>Updated criteria for Pacific Union College Maxwell Scholarship Program</t>
  </si>
  <si>
    <t>Removed St Mary's College of CA MAPS Scholarship as it is no longer listed</t>
  </si>
  <si>
    <t>Removed Robert Morris University Elite Academic Scholar Scholarship as it no longer covers 80% of tuition (amount is lower)</t>
  </si>
  <si>
    <t>School</t>
  </si>
  <si>
    <t>Removed Mansfield University of PA A. Frazier Science Scholarship as it is no longer listed</t>
  </si>
  <si>
    <t>Removed Castleton State College (VT) Valedictorian scholarship for International students as the link is no longer working, can't find a new page for International student scholarships</t>
  </si>
  <si>
    <t>Added Menlo College Valedictorian scholarship</t>
  </si>
  <si>
    <t>Added Albany State University Presidential Scholarship</t>
  </si>
  <si>
    <t>Public/Private</t>
  </si>
  <si>
    <t>Residency Requirement?</t>
  </si>
  <si>
    <t>Yearly Scholarship Amount</t>
  </si>
  <si>
    <t>Scholarship Type</t>
  </si>
  <si>
    <t>For International Students</t>
  </si>
  <si>
    <t>Scholarship Eligibility</t>
  </si>
  <si>
    <t># of Awards</t>
  </si>
  <si>
    <t>Scholarship Details</t>
  </si>
  <si>
    <t>Added Indiana State University Rural Health Scholarship</t>
  </si>
  <si>
    <t>Added Indiana University of PA Board of Governors Scholarship</t>
  </si>
  <si>
    <t>Added scholarships from Jackson State University</t>
  </si>
  <si>
    <t>Added Middle TN State U Buchanan Fellowship</t>
  </si>
  <si>
    <t>Added Morgan State University ROTC Scholarship</t>
  </si>
  <si>
    <t>Added Portland State University Presidential Scholarship</t>
  </si>
  <si>
    <t>Added Regent University Scholarships</t>
  </si>
  <si>
    <t>Added Texas Southern University Music Scholarship</t>
  </si>
  <si>
    <t>Required ACT</t>
  </si>
  <si>
    <t>Added Trinity International University (IL) Scholarships</t>
  </si>
  <si>
    <t>Required SAT</t>
  </si>
  <si>
    <t>SAT Score Type</t>
  </si>
  <si>
    <t>Added University of Nebraska - Omaha Regents Scholarship &amp; Distinguished Scholarship</t>
  </si>
  <si>
    <t>Required GPA</t>
  </si>
  <si>
    <t>Link</t>
  </si>
  <si>
    <t>Added University of New Orleans Homer Hitt Scholarship</t>
  </si>
  <si>
    <t>School's Tuition &amp; Fees</t>
  </si>
  <si>
    <t>School's Acceptance Rate</t>
  </si>
  <si>
    <t>School's Mid-50% ACT Scores</t>
  </si>
  <si>
    <t>School's Mid-50% SAT Scores
(Old SAT)</t>
  </si>
  <si>
    <t>School's Mid-50% SAT Scores
(New SAT)</t>
  </si>
  <si>
    <t>School's Average Admitted Freshman GPA</t>
  </si>
  <si>
    <t>AK</t>
  </si>
  <si>
    <t>University of Alaska - Fairbanks</t>
  </si>
  <si>
    <t>Public</t>
  </si>
  <si>
    <t>Full Tuition</t>
  </si>
  <si>
    <t>Automatic</t>
  </si>
  <si>
    <t>GPA/Test Scores</t>
  </si>
  <si>
    <t>Unlimited</t>
  </si>
  <si>
    <t>Nanook Gold Scholarship is offered to first-time freshman with the specified criteria.</t>
  </si>
  <si>
    <t>http://www.uaf.edu/finaid/scholarships/</t>
  </si>
  <si>
    <t>In-state: $7,184
Out-of-state: $21,854</t>
  </si>
  <si>
    <t>19-26</t>
  </si>
  <si>
    <t xml:space="preserve">SAT Math- 470-610 
SAT Critical Reading - 480-620 
SAT Writing - 440-570 </t>
  </si>
  <si>
    <t>AL</t>
  </si>
  <si>
    <t>Alabama A&amp;M</t>
  </si>
  <si>
    <t>US Citizen</t>
  </si>
  <si>
    <t>Competitive</t>
  </si>
  <si>
    <t>GPA/Test Score</t>
  </si>
  <si>
    <t>Unknown</t>
  </si>
  <si>
    <t>Merit Scholarship - 3.25 GPA, 23 ACT/1590 SAT, US citizen or legal resident, graduating high school senior, fully admitted to AAMU</t>
  </si>
  <si>
    <t>EBRW+M</t>
  </si>
  <si>
    <t>http://www.aamu.edu/admissions/fincialaid/documents/academicscholarshipbrochure1819x.pdf</t>
  </si>
  <si>
    <t>$9,608 
(in-state) 
$17,738 
(out-of-state)</t>
  </si>
  <si>
    <t>16-19</t>
  </si>
  <si>
    <t>SAT Math: 370-470
SAT Writing: 370-450
SAT Reading: 380-470</t>
  </si>
  <si>
    <t>Not Reported</t>
  </si>
  <si>
    <t>Full Ride Plus</t>
  </si>
  <si>
    <t>Presidential Scholarship - 3.75 GPA, 28 ACT/1860 SAT, US citizen or legal resident, graduating high school senior, fully admitted to AAMU</t>
  </si>
  <si>
    <t>Alabama State University</t>
  </si>
  <si>
    <t>PRESIDENTIAL ACADEMIC SCHOLARSHIP
The Presidential Scholarship pays full tuition, books, required fees and on-campus room and board for a maximum of eight (8) semesters for freshmen and a maximum of six (6) semesters for college transfer students.
Freshmen: 
High school applicants must have a grade point average of 3.76 or above on a 4.0 scale in academic subjects and an ACT score of 26 or above (comparable SAT score of 1170-1200 in critical reading and math).</t>
  </si>
  <si>
    <t>$9,220 in-state
$16,156 out-of-state</t>
  </si>
  <si>
    <t>SAT Math 380-480
SAT Critical Reading 380-470
SAT Writing not reported</t>
  </si>
  <si>
    <t>Full Tuition Plus</t>
  </si>
  <si>
    <t>ACADEMIC EXCELLENCE SCHOLARSHIP 
The Academic Scholarship pays full tuition, required fee, and books for a maximum of eight (8) semesters for freshmen and a maximum of six (6) semesters for college transfer students. 
Freshmen: 
High school applicants must have a minimum grade point average within the range of 3.51 – 3.75 on a 4.0 scale in academic subjects and an ACT score of 22 or above (comparable SAT score of 1090-1120 in critical reading and math).</t>
  </si>
  <si>
    <t>ACADEMIC INCENTIVE SCHOLARSHIP 
The Incentive Scholarship pays full tuition and $500 book award for a maximum of eight (8) semesters for freshmen and a maximum of six (6) semesters for college transfer students. 
Freshmen: 
High school applicants must have a minimum academic grade point average within the range of 3.0 – 3.5 on a 4.0 scale in academic subjects and an ACT score of 20 (comparable SAT score of 940-970 in critical reading and math).</t>
  </si>
  <si>
    <t>Auburn University</t>
  </si>
  <si>
    <t>National Merit/Achievement</t>
  </si>
  <si>
    <t>National Merit Status</t>
  </si>
  <si>
    <t>Auburn University recognizes the scholastic achievement associated with being named a National Scholar. This honor exemplifies students’ dedication to academic excellence and their efforts to prepare for the future. National Merit Finalists will receive a National Scholars Presidential Scholarship.</t>
  </si>
  <si>
    <t>$10,696 in-state
$28,840 out-of-state</t>
  </si>
  <si>
    <t>24-30</t>
  </si>
  <si>
    <t>SAT Math 530-645
SAT Critical Reading 520-630 
SAT Writing 520-610</t>
  </si>
  <si>
    <t>In-state</t>
  </si>
  <si>
    <t>Presidential Scholarship is one of the three Spirit of Auburn Scholarships that are awarded among Alabama resident students from October to February, based on academic achievement as demonstrated by standardized test scores and high school GPA.</t>
  </si>
  <si>
    <t>Birmingham-Southern College</t>
  </si>
  <si>
    <t>Private</t>
  </si>
  <si>
    <t>Up to full Tuition</t>
  </si>
  <si>
    <t>Overall Academic Achievement</t>
  </si>
  <si>
    <t>Distinguished Scholars Awards. These competitive scholarships valued up to full tuition are based on outstanding achievement in and out of the classroom. Recipients will receive consideration for the invitation-only scholarship competition held in early spring. Students must submit an application for admission no later than February 1. Scholarships are awarded based on academic achievement as indicated by high school transcripts, standardized test scores, extracurricular activities, and the interview and essay completed during the Scholarship Day event.</t>
  </si>
  <si>
    <t>23-29</t>
  </si>
  <si>
    <t>SAT Math: 510-610
SAT Writing: 490-583 
SAT Critical Reading: 500-610</t>
  </si>
  <si>
    <t>Concordia College</t>
  </si>
  <si>
    <t>Presidential Scholarship. This scholarship is awarded to students with the highest academic achievement. Students receiving this scholarship must have a GPA of 3.9 on a 4.0 scale or be the high school Valedictorian and have an ACT score of 26, SAT score of . Demonstrated community service and participation in extra curricular activities is required. The scholarship is only available to graduating high school seniors and is renewable annually as long as the recipient maintains a GPA of 3.5.</t>
  </si>
  <si>
    <t>not reported</t>
  </si>
  <si>
    <t>Faulkner University</t>
  </si>
  <si>
    <t>Full Ride</t>
  </si>
  <si>
    <t>National Merit Finalists will receive funding equal to full tuition, room, board, and mandatory fees when coordinated with federal, state, and institutional scholarships and awards.</t>
  </si>
  <si>
    <t>18-22</t>
  </si>
  <si>
    <t xml:space="preserve">SAT Math - 440-520
SAT Critical Reading - 440-510 
SAT Writing - 430-520 </t>
  </si>
  <si>
    <t>National Merit Semi-Finalists will receive funding equal to full tuition when coordinated with federal, state, and institutional scholarships and awards.</t>
  </si>
  <si>
    <t>SAT Math - 440-520
SAT Critical Reading - 440-510 
SAT Writing - 430-521</t>
  </si>
  <si>
    <t>Huntingdon College</t>
  </si>
  <si>
    <r>
      <t xml:space="preserve">Limited number of Bellingrath Scholarship are awarded each year. This requires merit scholarship application and campus residency. </t>
    </r>
    <r>
      <rPr>
        <sz val="11"/>
        <color rgb="FFFF0000"/>
        <rFont val="Calibri"/>
      </rPr>
      <t>Listed for 2017-2018 and site says 2018-2019 scholarships coming soon.</t>
    </r>
  </si>
  <si>
    <t>http://www.huntingdon.edu/wp-content/uploads/2017-18_FinancialAid.pdf</t>
  </si>
  <si>
    <t>20-24</t>
  </si>
  <si>
    <t>SAT Math - 450-530 
 SAT Critical Reading - 460-560 
 SAT Writing - Not reported</t>
  </si>
  <si>
    <t>Chemistry, Biology, or Math Majors; Overall Academic Achievement</t>
  </si>
  <si>
    <r>
      <t xml:space="preserve">Limited number of Edwin H. &amp; Mae Rousseau Teague Scholarship is awarded annually to Chemistry, biology, or mathematics majors. Merit scholarship application and campus residency a re required.  </t>
    </r>
    <r>
      <rPr>
        <sz val="11"/>
        <color rgb="FFFF0000"/>
        <rFont val="Calibri"/>
      </rPr>
      <t>Listed for 2017-2018 and site says 2018-2019 scholarships coming soon.</t>
    </r>
  </si>
  <si>
    <t>20-25</t>
  </si>
  <si>
    <r>
      <t xml:space="preserve">A limited number of Walter J. Knabe Memorial Scholarship is awarded annually. Merit scholarship application and campus residency are required.  </t>
    </r>
    <r>
      <rPr>
        <sz val="11"/>
        <color rgb="FFFF0000"/>
        <rFont val="Calibri"/>
      </rPr>
      <t>Listed for 2017-2018 and site says 2018-2019 scholarships coming soon.</t>
    </r>
  </si>
  <si>
    <t>20-26</t>
  </si>
  <si>
    <t>Judson College</t>
  </si>
  <si>
    <t>Indian Tribe</t>
  </si>
  <si>
    <t>AIAC/Judson College Scholarship. Scholarship made possible through the joint efforts of the Alabama Indian Affairs Commission and Judson College. One full tuition scholarship to a student with a minimum ACT score of 29 or 30 and 3.5 grade point average who is enrolled in a federal or state recognized tribe.Apply directly to the Alabama Indian Affairs Commission.</t>
  </si>
  <si>
    <t>19-25</t>
  </si>
  <si>
    <t>SAT Math: 550-560
SAT Writing: 570-650 
SAT Critical Reading: 580-660</t>
  </si>
  <si>
    <t>$8,000-Full tuition</t>
  </si>
  <si>
    <t>1 full tuition, 5 partial tuition</t>
  </si>
  <si>
    <t>Competitive Honor Scholarship awards are based on student high school grades, ACT scores, and scores on the competitive examinations given by Judson College on Preview &amp; Scholarship Days. Renewal is based on maintaining satisfactory academic progress.
Competitive honor scholarships include one full tuition scholarship, two $10,000 partial tuition scholarships, and three $8,000 partial tuition scholarships (values based on four-year enrollment period).</t>
  </si>
  <si>
    <t>Oakwood University</t>
  </si>
  <si>
    <t>Up to Full Tuition Plus</t>
  </si>
  <si>
    <t>NATIONAL MERIT SCHOLARSHIPS 
National Merit Finalist = Tuition &amp; Room for 4 years 
National Semi-Finalist = Tuition for 4 years 
National Commended = 80% Tuition for 4 years</t>
  </si>
  <si>
    <t>16-21</t>
  </si>
  <si>
    <t>SAT Math 380-500
SAT Critical Reading 410-530
SAT Writing not reported</t>
  </si>
  <si>
    <t>Spring Hill College</t>
  </si>
  <si>
    <t>Spring Hill Scholars
Full tuition and fees scholarship offered to five students per year. Requires a separate application, cover letter, leadership and service resume and on-campus interview. Limited to students with a 3.5+ GPA and 27+ ACT. Award is renewable for all four years and does replace all Spring Hill College aid offered.</t>
  </si>
  <si>
    <t>22-27</t>
  </si>
  <si>
    <t>SAT Math - 480-595 range of middle 50%; SAT Critical Reading - 470-600 range of middle 50%; SAT Writing - Not reported</t>
  </si>
  <si>
    <t>Troy University</t>
  </si>
  <si>
    <t>ROTC</t>
  </si>
  <si>
    <t>The Army ROTC Four-Year Scholarship program is available to students who have graduated from high school or possess an equivalent certificate before September of the year they enter college. Students are awarded U.S. Army ROTC 4-year scholarships through a highly competitive national selection process. Scholarships pay full college tuition and mandatory educational fees, OR room and board, whichever is chosen by the student.</t>
  </si>
  <si>
    <t>in-state: $9,646, out-of-state: $18,256</t>
  </si>
  <si>
    <t>Not reported</t>
  </si>
  <si>
    <t>The Chancellor's Award 
Pays full tuition. Requirements are 28 ACT and/or 1260 Old SAT 1 (CR &amp; M only) or 1320 New SAT and 3.5 GPA (4.0 scale).</t>
  </si>
  <si>
    <t>The Millennium Scholar's Award 
Pays full tuition, room and board. Requirements are 32 ACT and/or 1420 Old SAT 1 (CR &amp; M only) or 1470 New SAT and 3.7 GPA (4.0 scale) or a National Merit Finalist.</t>
  </si>
  <si>
    <t xml:space="preserve">The Millennium Scholar's Award for National Merit Finalists.
Pays full tuition, room and board. </t>
  </si>
  <si>
    <t>Tuskegee University</t>
  </si>
  <si>
    <t>Distinguished Presidential Academic Scholarship</t>
  </si>
  <si>
    <t>https://www.tuskegee.edu/programs-courses/scholarships/freshman-scholarships</t>
  </si>
  <si>
    <t>17-22</t>
  </si>
  <si>
    <t>SAT Math - 390-500 range of middle 50% 
SAT Critical Reading - 400-500 range of middle 50% 
SAT Writing - Not reported</t>
  </si>
  <si>
    <t>ROTC Participation</t>
  </si>
  <si>
    <t>ROTC Scholarships 
These Scholarships are available to students who are interested in joining the military. The scholarship would cover the tuition as well as room and board. Scholarships are currently available for Army, Air Force and Naval R.O.T.C. students.</t>
  </si>
  <si>
    <t>https://www.tuskegee.edu/programs-courses/scholarships/rotc-scholarships</t>
  </si>
  <si>
    <t>University Merit Academic Scholarship</t>
  </si>
  <si>
    <t>University of Alabama</t>
  </si>
  <si>
    <t>GPA/Test Score and Leadership</t>
  </si>
  <si>
    <t>Crimson Scholarships are the premier scholarships administered by the National Alumni Association. To be considered for Crimson Scholarships, an applicant must be a first-time freshman, have a minimum 3.8 cumulative GPA (4.0 scale), a minimum 32 ACT or 1400 SAT [critical reading and math scores only], and demonstrate extensive leadership. While not a requirement, we prefer an applicant is ranked in the top 2% of their high school graduating class.</t>
  </si>
  <si>
    <t>$10,470 in-state
$26,950 out-of-state</t>
  </si>
  <si>
    <t>22-31</t>
  </si>
  <si>
    <t>SAT Math 500-630
SAT Critical Reading 490-620 
SAT Writing 480-600</t>
  </si>
  <si>
    <t>To be considered for the Academic Elite Scholarships, a student must be accepted as a member of the University Fellows Experience. The student must maintain membership in the UFE to continue holding an Academic Elite Scholarship.
Seven Academic Elite Scholarship recipients will receive:
Tuition
One year of on-campus housing at regular room rate**
$8,500 stipend per year*
$1,000 one time technology stipend
The top Academic Elite Scholarship recipient will receive:
Tuition
One year of on-campus housing at regular room rate**
$8,500 stipend for the first year*
$18,500 stipend for years 2-4*
$5,000 study abroad stipend (to be used after at least one academic year is completed)
$1,000 one time technology stipend</t>
  </si>
  <si>
    <t>Academic Elite Scholarship - Same as above, but lower qualifications if nominated:
A student eligible for the Honors College (ACT of 28 or SAT score of 1310 [evidence-based reading and writing plus math] and a high school GPA of 3.5) may be nominated for consideration by a high school representative or a UA faculty member if he/she does not meet the general requirements for UFE consideration. The online nomination form (including the student's full contact information and letter of recommendation) must be completed by a high school representative or UA faculty member.</t>
  </si>
  <si>
    <t>Presidential Elite Scholar - A student with a 4.0 GPA and a 36 ACT or 1600 SAT will be selected as a Presidential Elite Scholar and will receive:
Value of tuition for up to four years for degree-seeking undergraduate and graduate or law studies
One year of on-campus housing at regular room rate
$1,000 per year stipend for four years
$2,000 one-time allowance for use in summer research or international study (after completing one year of study at UA)
$1,000 one-time technology stipend</t>
  </si>
  <si>
    <t>http://scholarships.ua.edu/types/in-state.php</t>
  </si>
  <si>
    <t>Presidential Scholar -A student with a 32-36 ACT or 1450-1600 SAT score and at least a 3.5 GPA will be selected as a Presidential Scholar and will receive the value of tuition, or $41,800 over four years ($10,470 per year). Students graduating with remaining tuition scholarship semester(s) may use these monies toward graduate school and/or law school study at UA.</t>
  </si>
  <si>
    <t>Out-of-state</t>
  </si>
  <si>
    <t>http://scholarships.ua.edu/types/out-of-state.php</t>
  </si>
  <si>
    <t>Close to full out-of-state tuition</t>
  </si>
  <si>
    <t>Presidential Scholar - A student with a 33-36 ACT or 1490-1600 SAT score and at least a 3.5 GPA will be selected as a Presidential Scholar and will receive $100,000 over four years ($25,000 per year). Students graduating with remaining scholarship semester(s) may use these monies toward graduate school and/or law school study at UA.</t>
  </si>
  <si>
    <t>National Merit Finalist Package
Value of tuition for up to five years or 10 semesters for degree-seeking undergraduate and graduate (or law) studies
One year of on-campus housing at regular room rate* (based on assignment by Housing and Residential Communities)
A $3,500 per year Merit Scholarship stipend for four years. If a corporate-sponsored scholarship from the National Merit Corporation is received, the total value cannot exceed $3,500. (For example, if you receive a corporate-sponsored scholarship of $2,000 per year, UA will contribute $1,500 per year to reach the total stipend amount of $3,500.)
One-time allowance of $2,000 for use in summer research or international study (after completing one year of study at UA)
Technology Enrichment Allowance $1000</t>
  </si>
  <si>
    <t>Full tuition</t>
  </si>
  <si>
    <t>National Merit Semifinalists are offered a Presidential Scholarship, which pays the value of tuition for four years or eight semesters.</t>
  </si>
  <si>
    <t>University of Alabama--Birmingham</t>
  </si>
  <si>
    <t>Presidential Recognition is an ACT &amp; GPA based scholarship for in-state students.</t>
  </si>
  <si>
    <t>$10,386 in-state
$23,294 out-of-state</t>
  </si>
  <si>
    <t>21-27</t>
  </si>
  <si>
    <t>3.66 (based on weighted GPAs)</t>
  </si>
  <si>
    <t>UAB recognize National Merit Finalists and National Hispanic Recognition Program Scholars with the UAB Presidential Scholarship for National Scholars</t>
  </si>
  <si>
    <t>University of Alabama--Huntsville</t>
  </si>
  <si>
    <t>Yes</t>
  </si>
  <si>
    <t>Charger Distinction Merit Scholarship</t>
  </si>
  <si>
    <t>$9,842 in-state
$20,612 out-of-state</t>
  </si>
  <si>
    <t>SAT Math 530-650
SAT Critical Reading 520-670
SAT Writing not reported</t>
  </si>
  <si>
    <t>Charger Excellence Merit Scholarship</t>
  </si>
  <si>
    <t>Up to Full Ride</t>
  </si>
  <si>
    <t>Students who are selected as National Merit Finalists, National Achievement Finalists, or National Hispanic Recognition Program Scholars qualify for the Platinum Award of Academic Distinction. This 4-year award is valued at full tuition (up to 18 credit hours per semester), and also includes a $500 course fee stipend, $500 book stipend, an on-campus housing allowance, and a meal plan allowance. Renewal is based on satisfactory academic progress and full-time student status.</t>
  </si>
  <si>
    <t>Students who are selected as National Merit or National Achievement Semi-Finalists qualify for the UAH Gold Award of Academic Distinction. This 4-year award is valued at full tuition (up to 18 credit hours per semester), a $500 course fee stipend and a $500 book stipend. Renewal is based on satisfactory academic progress and full-time student status.</t>
  </si>
  <si>
    <t>In State</t>
  </si>
  <si>
    <t>Location Based</t>
  </si>
  <si>
    <t>The UAH Foundation Presidential Scholarship is based upon academic merit and awarded each year to select incoming first-time freshmen graduating from public high schools located in Huntsville/Madison County, Alabama. This 4-year award is valued at full tuition (up to 18 credit hours per semester) for four years plus $500 toward course fees per year. Eligible candidates must have a minimum high school GPA of 3.0 in addition to a minimum ACT score of 25 or minimum SAT score of 1130.</t>
  </si>
  <si>
    <t>CR+M</t>
  </si>
  <si>
    <t>University of Montevallo</t>
  </si>
  <si>
    <t>Montevallo Ambassador Program Scholarship (MAPS) awards comprise the University’s most prestigious scholarship program. Ten MAPS awards are given annually covering the cost of room, board, tuition and fees.</t>
  </si>
  <si>
    <t>in-state: $11,560, out-of-state: $23,920</t>
  </si>
  <si>
    <t xml:space="preserve">SAT Math - 465-550 SAT Critical Reading - Not reported; SAT Writing - 440-580 </t>
  </si>
  <si>
    <t>University of North Alabama</t>
  </si>
  <si>
    <t>Over 90% of in-state tuition plus</t>
  </si>
  <si>
    <t>National Merit Finalist or Semi-Finalist = up to $8,500/yr + books</t>
  </si>
  <si>
    <t>$9,073 in-state
$16,393 out-of-state</t>
  </si>
  <si>
    <t>SAT Math 438-530
SAT Critical Reading 418-593
SAT Writing not reported</t>
  </si>
  <si>
    <t>Up to 90% of in-state tuition</t>
  </si>
  <si>
    <t xml:space="preserve">Academic Scholarship - 30 ACT or higher and 4.0 GPA receives $8,000 </t>
  </si>
  <si>
    <t>University of South Alabama</t>
  </si>
  <si>
    <t>In-State Presidential Scholarship with a 33 or higher ACT or 1440/1490 or higher SAT and 3.5 GPA is worth $11,000/year</t>
  </si>
  <si>
    <t>Varies by program &amp; # of credits - Ave $9,630 in-state, 
$19,020 out-of-sate</t>
  </si>
  <si>
    <t>SAT Math 450-585
SAT Critical Reading 450-570
SAT Writing 430-540</t>
  </si>
  <si>
    <t>In-State Presidential Scholarship with a 32 ACT or 1400-1430/1450-1490 SAT and 3.5 GPA is worth $9,000/year</t>
  </si>
  <si>
    <r>
      <t>The USA Board of Trustees Endowed Scholarship, developed on behalf of the USA Board of Trustees, was designed to provide funding to exceptionally qualified and highly motivated incoming USA Freshman scholars.</t>
    </r>
    <r>
      <rPr>
        <b/>
        <sz val="8"/>
        <rFont val="Arial"/>
      </rPr>
      <t xml:space="preserve"> One award </t>
    </r>
    <r>
      <rPr>
        <sz val="8"/>
        <rFont val="Arial"/>
      </rPr>
      <t>is given each year to the incoming Freshman candidate with the highest ACT/SAT composite score and GPA combination (based on a 4.0 scale).This scholarship will be used to fund annual tuition, and is renewable for the first four years of the student’s undergraduate study - provided the student maintains the minimum requirements.</t>
    </r>
  </si>
  <si>
    <t>In-State Full Tuition Plus</t>
  </si>
  <si>
    <t>Whiddon Honors Scholarship - Scholarships may be applied to tuition, fees, on-campus room and board, and books and supplies purchased at the university bookstore. Over and above a yearly Tuition Award, Whiddon Scholars are eligible to receive up to $2000 worth of research funding, up to $2000 worth of Study Abroad funding or up to 6 credit hours worth of Summer tuition on a competitive basis.
33 or higher ACT or 1440/1490 SAT and 3.5 GPA is worth $12,000/year plus extras described above for in-state students. For out of state students, it is worth $13,000 per year.</t>
  </si>
  <si>
    <t>Whiddon Honors Scholarship - Scholarships may be applied to tuition, fees, on-campus room and board, and books and supplies purchased at the university bookstore. Over and above a yearly Tuition Award, Whiddon Scholars are eligible to receive up to $2000 worth of research funding, up to $2000 worth of Study Abroad funding or up to 6 credit hours worth of Summer tuition on a competitive basis.
32 ACT or 1400/1450 SAT and 3.5 GPA is worth $10,000/year plus extras described above for in-state students.  For out-of-state students, it is worth $13,000 per year.</t>
  </si>
  <si>
    <t>http://www.southalabama.edu/departments/honors/scholarship.html</t>
  </si>
  <si>
    <t>Almost In-State Full Tuition Plus</t>
  </si>
  <si>
    <t>Whiddon Honors Scholarship - Scholarships may be applied to tuition, fees, on-campus room and board, and books and supplies purchased at the university bookstore. Over and above a yearly Tuition Award, Whiddon Scholars are eligible to receive up to $2000 worth of research funding, up to $2000 worth of Study Abroad funding or up to 6 credit hours worth of Summer tuition on a competitive basis.
30 ACT or 1330/1380 SAT and 3.5 GPA is worth $9,000/year plus extras described above for in-state students.  For out-of-state students, it is worth $13,000 per year.</t>
  </si>
  <si>
    <t>AR</t>
  </si>
  <si>
    <t>Harding University</t>
  </si>
  <si>
    <t>Trustee Scholarship - Awarded to a large number of incoming freshmen, as determined by an admission interview. All applicants with a minimum composite score of 31 on the ACT or 1360 (combined Math and Critical Reading) on the SAT are invited to interview for this scholarship. Official (sent directly from ACT or The College Board) minimum qualifying test scores must be received in the Undergraduate Admissions Office at least one week prior to when the scholarship interviews end in early spring. The award amount is full tuition.</t>
  </si>
  <si>
    <t>22-28</t>
  </si>
  <si>
    <t>SAT Math - 500-620 SAT Critical Reading - 490-630 
SAT Writing-Not reported</t>
  </si>
  <si>
    <t>Awarded to incoming freshmen who are selected as Finalists in the National Merit or National Achievement scholarship program and have selected Harding University as their first-choice university with the National Merit Scholarship Corporation. The award for this scholarship is full undergraduate tuition, technology fee, room and board.</t>
  </si>
  <si>
    <t>Awarded to incoming freshmen who are selected as Semifinalists in the National Merit or National Achievement scholarship program and have selected Harding University as their first-choice university with the National Merit Scholarship Corporation. The award for this scholarship is full undergraduate tuition.</t>
  </si>
  <si>
    <t>Hendrix College</t>
  </si>
  <si>
    <t>$18,000 up to full tuition</t>
  </si>
  <si>
    <t>Hendrix College Scholarship - Eligibility: Based on GPA, standardized test scores, leadership and extracurricular activities, recommendations 
Notes: All accepted students automatically considered 
Application: The application for admission serves as the application for this scholarship</t>
  </si>
  <si>
    <t>25-31</t>
  </si>
  <si>
    <t>SAT Math - 540-660
SAT Reading - 540-660</t>
  </si>
  <si>
    <t>Hays Memorial Scholarship 
Amount: Tuition, double occupancy residence hall room, unlimited board plan (without Burrow Bucks), and mandatory fees 
Notes: Must apply for admission by our Early Action I date; must apply for the Hays Memorial Scholarship by February 1, The Hays Scholarship is renewable for up to three additional years if the student maintains a cumulative GPA of 3.0 or higher and selects housing and meal plan options covered by the award 
Application: A separate application is required</t>
  </si>
  <si>
    <t>John Brown University</t>
  </si>
  <si>
    <t>Presidential Scholarship ($25,000) 
ACT/SAT &amp; GPA Criteria: 
ACT 29 (SAT 1280) – 3.9+ GPA 
ACT 30/31 (SAT 1330-1390) – 3.7+ GPA 
ACT 32/33 (SAT 1400-1480) – 3.6+ GPA 
ACT 34+ (SAT 1490+) – 3.5+ GPA</t>
  </si>
  <si>
    <t xml:space="preserve">SAT Math - 510-620 
SAT Critical Reading - 515-640 
SAT Writing - 490-600 </t>
  </si>
  <si>
    <t>Lyon College</t>
  </si>
  <si>
    <t>Up to full tuition</t>
  </si>
  <si>
    <t>Overall Academic Performance</t>
  </si>
  <si>
    <t xml:space="preserve">Dean's, President's and Trustee Scholarships - Lyon College awards academic merit aid based on a review of a student’s application and academic performance. These amounts are annual and renewable for up to eight semesters of undergraduate study; provided student maintains requirements. Students will be notified of their award by the Admissions Office staff after the student has been accepted.
A typical Student that has at least 20 on the ACT and at least a 2.5 transcript GPA may be offered one of the above Scholarships. These Scholarship ranges from $13,000 to full tuition.        </t>
  </si>
  <si>
    <t>https://www.lyon.edu/scholarships-aid-programs</t>
  </si>
  <si>
    <t>SAT Math: 475-580 
SAT Writing: 435-510 
SAT Critical Reading: 465-545</t>
  </si>
  <si>
    <t>Up to Full Tuition</t>
  </si>
  <si>
    <t>Lyon invites a select number of entering freshman students to apply and interview for limited spots in the prestigious Lyon College Fellowship Program—a rigorous course of study designed to provide highly skilled, motivated students the opportunity to travel, hone their research skills, and exchange ideas in a challenging and supportive academic environment. With an offer of a Lyon College Fellowship comes an annual stipend up to the cost of tuition.</t>
  </si>
  <si>
    <t>Ouachita Baptist University</t>
  </si>
  <si>
    <t>70% of Tuition ($17,500)</t>
  </si>
  <si>
    <t>Presidential Scholarship
awarded to incoming first-time fall 2017 freshmen based on combination of 7th semester high school GPA and ACT/SAT score through February of entry year. 2.00 cumulative GPA required to maintain each semester</t>
  </si>
  <si>
    <t>SAT Math: 460-580
SAT Critical Reading: 440-550</t>
  </si>
  <si>
    <t>Philander Smith College</t>
  </si>
  <si>
    <t>GPA/Test Scores; Overall Academic Performance</t>
  </si>
  <si>
    <t>Presidential Scholar (Full Tuition &amp; Fees, Room &amp; Board, Books)</t>
  </si>
  <si>
    <t>15-21</t>
  </si>
  <si>
    <t>SAT Math - 428-498  
SAT Critical Reading - 390-475
SAT Writing - Not reported</t>
  </si>
  <si>
    <t>Thomas Mason Scholar (Full Tuition &amp; Fees)</t>
  </si>
  <si>
    <t>https://www.philander.edu/scholarships/</t>
  </si>
  <si>
    <t>Southern Arkansas University</t>
  </si>
  <si>
    <t>Presidential Scholarship - National Merit Finalist or Semi-Finalist or National Achievement Finalist</t>
  </si>
  <si>
    <t xml:space="preserve"> In-state: $8,196
Out-of-state: $11,856</t>
  </si>
  <si>
    <t>18-24</t>
  </si>
  <si>
    <t>SAT Math 420-540
SAT Critical Reading 390-510</t>
  </si>
  <si>
    <t>Presidential Scholarship - Composite ACT of 30 or above (or SAT equivalent)</t>
  </si>
  <si>
    <t>University of Arkansas</t>
  </si>
  <si>
    <t>Full In-State Tuition Plus</t>
  </si>
  <si>
    <t>Chancellor's Merit Scholarship is an annual award of $10,000 per year to corporate and University of Arkansas sponsored National Merit scholars.  Awarded to National Merit Finalists who name University of Arkansas as their first choice.</t>
  </si>
  <si>
    <t>$8,820 in-state
$23,168 out-of-state</t>
  </si>
  <si>
    <t>23-28</t>
  </si>
  <si>
    <t>SAT Math 510-620
SAT Critical Reading 500-610 
SAT Writing not reported</t>
  </si>
  <si>
    <t>3.64 (based on weighted GPAs)</t>
  </si>
  <si>
    <t>Almost full in-state tuition</t>
  </si>
  <si>
    <t>Chancellor's Scholarship is an annual award up to $8000 per year to top candidates from the applicant pool</t>
  </si>
  <si>
    <t>70 to 80</t>
  </si>
  <si>
    <t>Honors College Fellowship - $17,500 per year; 70-80 offered per year; out-of-state students also receive a 90% non-resident tuition award</t>
  </si>
  <si>
    <t>5 to 6</t>
  </si>
  <si>
    <t>Bodenhamer Fellowship - $17,500 per year; 5-6 offered per year; out-of-state students also receive a 90% non-resident tuition award</t>
  </si>
  <si>
    <t>http://honorscollege.uark.edu/prospective-students/fellowships/index.php</t>
  </si>
  <si>
    <t>Arts &amp; Science Majors; GPA/Test Scores</t>
  </si>
  <si>
    <t>Sturgis Fellowship - Fulbright college of arts &amp; sciences majors; $17,500 per year; 5-6 offered per year; out-of-state students also receive a 90% non-resident tuition award</t>
  </si>
  <si>
    <t>Business majors; GPA/Test scores</t>
  </si>
  <si>
    <t>Boyer Fellowship - Walton College of Business majors; $18,000 per year; not guaranteed to be offered every year; out-of-state students also receive a 90% non-resident tuition award</t>
  </si>
  <si>
    <t>University of Arkansas - Fort Smith</t>
  </si>
  <si>
    <t>Up to full ride (in-state)</t>
  </si>
  <si>
    <t>Leadership; Overall Academic Performance</t>
  </si>
  <si>
    <t>The Chancellor's Leadership Council Scholarship is a highly competitive scholarship for students who demonstrate strong leadership capabilities both inside and outside of school as well as demonstrate strong academic performance. They must have the desire to take leadership roles on campus, complete service projects, and serve as active members of the Chancellor's Leadership Council. (Note: Room &amp; board is only included for 2 years)</t>
  </si>
  <si>
    <t>http://admissions.uafs.edu/financial-aid/prestigious</t>
  </si>
  <si>
    <t>$6,701 in-state
$15,011 out-of-state</t>
  </si>
  <si>
    <t>3.23 (based on weighted GPAs)</t>
  </si>
  <si>
    <t>Full In-State Tuition plus</t>
  </si>
  <si>
    <t>Business majors; Leadership; Overall Academic Performance</t>
  </si>
  <si>
    <t>The First Bank Corp. Business Scholarship is a highly competitive scholarship for students who demonstrate strong leadership capabilities both inside and outside of school as well as demonstrate strong academic performance. They must have the desire to take a leadership role in activities that recognize business student achievement and promotes the College of Business at UAFS as well as serve in an advisory capacity as student representatives to the dean and faculty of the College of Business.</t>
  </si>
  <si>
    <t>International Studies majors; overall academic performance</t>
  </si>
  <si>
    <t>The Honors International Studies Program Scholarship is a highly competitive scholarship for students who demonstrate strong academic performance. The program consists of a unique honors general education curriculum with international focus, exciting travel study classes, service opportunities, independent study project options, and the opportunity for graduation with honors.</t>
  </si>
  <si>
    <t>80% of Tuition (in-state)</t>
  </si>
  <si>
    <t>Engineering Majors; overall academic performance</t>
  </si>
  <si>
    <t>The Engineering Scholarship is a highly competitive scholarship for students who demonstrate strong academic performance and have the desire to complete a degree in Mechanical or Electrical Engineering.</t>
  </si>
  <si>
    <t>Roland S. Boreham Jr. Engineering Scholarship - The Boreham Engineering Scholarship is a highly competitive scholarship offered by our Foundation department for students who demonstrate strong academic performance and have the desire to complete a degree in Mechanical or Electrical Engineering.  All students applying for this scholarship must submit a complete Application for Admission and a Scholarship Application.</t>
  </si>
  <si>
    <t>University of Arkansas - Little Rock</t>
  </si>
  <si>
    <t xml:space="preserve">Chancellor's Academic Distinction - Minimum 30 ACT or equivalent SAT and 3.50 cumulative GPA; must be a U.S. citizen or permanent resident. Must live on campus.
</t>
  </si>
  <si>
    <t>$8,633 in-state
$20,888 out-of-state</t>
  </si>
  <si>
    <t>SAT Math 460-560
SAT Critical Reading 410-530 
SAT Writing 410-500</t>
  </si>
  <si>
    <t>Close to full in-state tuition</t>
  </si>
  <si>
    <t xml:space="preserve">Provost's Academic Excellence - 28-29 ACT or equivalent SAT score and a 3.50 cumulative high school GPA; Arkansas residents only. Must live on campus.
</t>
  </si>
  <si>
    <t>Up to Full Ride Plus</t>
  </si>
  <si>
    <t>Donaghey Scholars Program - This is a highly selective honors program enrolling 25 new scholars each year. Open to all students and majors. Requires two letters of recommendation, an on-campus interview, and two essays. ACT/SAT scores are also required.</t>
  </si>
  <si>
    <t>http://ualr.edu/scholarships/academic/</t>
  </si>
  <si>
    <t>University of Arkansas at Monticello</t>
  </si>
  <si>
    <t>Chancellor's Scholarship - $6,000 per semester for a maximum of eight semesters of continuous enrollment. Out-of-state tuition is waived.
30 ACT composite, top 10 percent of the graduating class with a 3.00 HS GPA
Maintain a 3.00 GPA. A minimum of 12 hours of college level work must be completed the first semester of enrollment and 15 hours of college level work must be completed each semester thereafter.
Awarded when the student applies for admission and scholarship and ACT scores, class rank and HS GPA are verified.</t>
  </si>
  <si>
    <t>$7,210 in-state
$13,060 out-of-state</t>
  </si>
  <si>
    <t>15-22</t>
  </si>
  <si>
    <r>
      <t xml:space="preserve">Chancellor's Scholarship - $6,000 per semester; </t>
    </r>
    <r>
      <rPr>
        <b/>
        <sz val="10"/>
        <rFont val="Arial"/>
      </rPr>
      <t>National Merit Finalist or Achievement Finalist</t>
    </r>
    <r>
      <rPr>
        <sz val="10"/>
        <rFont val="Arial"/>
      </rPr>
      <t xml:space="preserve">
Maintain a 3.00 GPA. A minimum of 12 hours of college level work must be completed the first semester of enrollment and 15 hours of college level work must be completed each semester thereafter.</t>
    </r>
  </si>
  <si>
    <t>University Scholarship - $9,000 per year, which will cover tuition, fees for up to 18 credit hours, and a partial residential stipend for a maximum of eight semesters of continuous enrollment. Out-of-state tuition is waived. 
27 - 29 ACT Composite, 19 ACT English and math and a 3.00 HS GPA.
Maintain a 3.00 GPA. A minimum of 12 hours of college level work must be completed the first semester of enrollment and 15 hours of college level work must be completed each semester thereafter.
Awarded when the student applies for admission and scholarship, and ACT scores and HS GPA are verified.</t>
  </si>
  <si>
    <t>Over 80% of tuition</t>
  </si>
  <si>
    <t>Academic Scholarship - $6,000 per year, which covers over 90% of the cost of tuition and fees for up to 15 credit hours for a maximum of eight semesters of continuous enrollment. Out-of-state tuition is waived.
24 - 26 ACT Composite, 19 ACT English and math and a 3.00 HS GPA.
Maintain a 3.00 GPA. A minimum of 12 hours of college level work must be completed the first semester of enrollment and 15 hours of college level work must be completed each semester thereafter..
Awarded when the student applies for admission and scholarship, and ACT scores and HS GPA are verified.</t>
  </si>
  <si>
    <t>Valedictorian/Salutatorian</t>
  </si>
  <si>
    <t>Valedictorian; GPA/Test Scores</t>
  </si>
  <si>
    <t>Valedictorian Scholarship - $6,000 per year, which covers over 90% of the cost of tuition and fees for up  to 15 hours per semester for a maximum of eight semesters of continuous enrollment. Out-of-state tuition waived.
21 ACT Composite, 19 ACT English and math, 3.00 HS GPA. Proof of valedictorian status.
Maintain a 3.00 GPA. A minimum of 12 hours of college level work must be completed the first semester of enrollment and 15 hours of college level work must be completed each semester thereafter.
Awarded when the student applies for admission and scholarship, and ACT scores and HS GPA are verified.</t>
  </si>
  <si>
    <t>University of Arkansas—​Pine Bluff</t>
  </si>
  <si>
    <t xml:space="preserve">Chancellor - First-time entering freshman 
3.75 GPA or above
Minimum composite ACT score of 28 or minimum SAT score of 1310 
</t>
  </si>
  <si>
    <t>https://www.uapb.edu/sites/www/Uploads/Recruitment/Institutional%20Scholarships%202.pdf</t>
  </si>
  <si>
    <t>in-state: $5,956, out-of-state: $11,626</t>
  </si>
  <si>
    <t>16-20</t>
  </si>
  <si>
    <t>SAT Math - 400-500
SAT Critical Reading - 380-500 
SAT Writing - Not reported</t>
  </si>
  <si>
    <t>Class Rank; GPA/Test Scores</t>
  </si>
  <si>
    <r>
      <t xml:space="preserve">Chancellor - First-time entering freshman 
</t>
    </r>
    <r>
      <rPr>
        <b/>
        <sz val="10"/>
        <rFont val="Arial"/>
      </rPr>
      <t>Valedictorian or Salutatorian</t>
    </r>
    <r>
      <rPr>
        <sz val="10"/>
        <rFont val="Arial"/>
      </rPr>
      <t xml:space="preserve"> of high school class with ACT score of 23 or SAT score of 1130
Graduate of an accredited high school 
</t>
    </r>
  </si>
  <si>
    <t>80% of in-state tuition</t>
  </si>
  <si>
    <t>Dean's Academic Tuition - First-time entering freshman 
3.25 GPA or above
Minimum composite ACT score of 21 or minimum SAT score of 1060</t>
  </si>
  <si>
    <t>GPA/Test Scores; Class Rank</t>
  </si>
  <si>
    <t>Dean's Academic Tuition - Graduate in the top 10% of high school class with an ACT composite score of 19 or SAT score 980
Graduate of an accredited high school</t>
  </si>
  <si>
    <t xml:space="preserve">University - First-time entering freshman 
GPA 3.5 or above
Minimum composite ACT score of 23 or minimum SAT score of 1130 
Graduate of an accredited high school 
</t>
  </si>
  <si>
    <t xml:space="preserve">University - First-time entering freshman 
graduate in the top 5% of high school class with 21 ACT or 1060 SAT
Graduate of an accredited high school 
Amount differs by in-state/out-of-state </t>
  </si>
  <si>
    <t>University of Central Arkansas</t>
  </si>
  <si>
    <t>Distinguished scholarship for in-state students -  $8,500</t>
  </si>
  <si>
    <t>$8,224 in-state
$14,447 out-of-state</t>
  </si>
  <si>
    <t>SAT Math 450-570
SAT Critical Reading 440-540 
SAT Writing 440-550</t>
  </si>
  <si>
    <t>Out of State</t>
  </si>
  <si>
    <t>Over 80% of out-of-state tuition</t>
  </si>
  <si>
    <t>Distinguished scholarship for out-of-state students - $12,000</t>
  </si>
  <si>
    <t>SAT Math 450-570
SAT Critical Reading 440-540 
SAT Writing 440-551</t>
  </si>
  <si>
    <t>Over 85% of in-state tuition</t>
  </si>
  <si>
    <t>Excellence scholarship - $7,000</t>
  </si>
  <si>
    <t>SAT Math 450-570
SAT Critical Reading 440-540 
SAT Writing 440-552</t>
  </si>
  <si>
    <t>Over 70% of in-state tuition</t>
  </si>
  <si>
    <t>Achievement Scholarship - $6,000</t>
  </si>
  <si>
    <t>SAT Math 450-570
SAT Critical Reading 440-540 
SAT Writing 440-553</t>
  </si>
  <si>
    <t>Honors Scholarship - Incoming Honors College freshmen will be awarded the Honors College Scholarship upon admission.</t>
  </si>
  <si>
    <t>SAT Math 450-570
SAT Critical Reading 440-540 
SAT Writing 440-554</t>
  </si>
  <si>
    <t>Williams Baptist College</t>
  </si>
  <si>
    <t>1 or more</t>
  </si>
  <si>
    <t>TRUSTEE SCHOLARSHIP 
At least one applicant will be chosen each year to receive full tuition, non-private room, and board. This four-year scholarship is awarded to one freshman completing an admissions application for one of the academic programs of Williams, who has a composite score of 30 or higher on the ACT and a minimum sixth or seventh semester high school GPA of 3.5.</t>
  </si>
  <si>
    <t>AZ</t>
  </si>
  <si>
    <t>Northern Arizona University</t>
  </si>
  <si>
    <t xml:space="preserve">GPA </t>
  </si>
  <si>
    <t xml:space="preserve">Resident Lumberjack Scholars Award - For Arizona residents only. Based on the completion and/or in-progress work of the 16 college preparatory (core) courses that are required for admission and a minimum 3.5 core high school GPA, with no letter grade lower than “B” in any of the required core courses.   </t>
  </si>
  <si>
    <t>https://nau.edu/Finaid/Aid-Types/Scholarships/2018-2019-Freshman-Scholarships/</t>
  </si>
  <si>
    <t>$10,764 in-state
$24,144 out-of-state</t>
  </si>
  <si>
    <t>SAT Math 460-570 
SAT Critical Reading 470-580
SAT Writing 450-560</t>
  </si>
  <si>
    <t>University of Arizona</t>
  </si>
  <si>
    <t>National Merit Semi-Finalist Tuition Award is an undergraduate tuition award is offered to the National Merit Semi-Finalists who qualify by taking the Preliminary SATs (PSATs) in high school.</t>
  </si>
  <si>
    <t>http://financialaid.arizona.edu/types-aid/scholarships/2018-2019-terms-and-conditions</t>
  </si>
  <si>
    <t>$11,800 in-state
$35,000 out-of-state</t>
  </si>
  <si>
    <t>SAT Math 490-620
SAT Critical Reading 480-600 
SAT Writing 470-590</t>
  </si>
  <si>
    <t>The UA National Merit Scholarship award includes the college-sponsored, corporate-sponsored, or National Merit Scholarship Corporation (NMSC)-sponsored awards. Students must respond to NMSC requests to accept these awards. Arizona National Scholars: $18,000 per academic year + one-time $1,500 Study Abroad Award for UA Study Abroad program (described below).</t>
  </si>
  <si>
    <t xml:space="preserve">The Arizona Excellence Tuition Award is a highly competitive undergraduate tuition scholarship offered annually to a select number of non-Arizona* high school graduates attending college for the first time immediately after high school graduation. Incoming freshmen who are homeschooled will be evaluated for merit aid based on portfolio/course work and ACT or SAT test scores submitted by the admission deadline. </t>
  </si>
  <si>
    <t>The Wildcat Excellence Tuition Award is a highly competitive undergraduate tuition scholarship offered annually to a select number of Arizona resident high school graduates attending college for the first time immediately after high school graduation. Incoming freshmen who are homeschooled will be evaluated for merit aid based on portfolio/course work and ACT or SAT test scores submitted by the admission deadline.</t>
  </si>
  <si>
    <t>21-28</t>
  </si>
  <si>
    <t>CA</t>
  </si>
  <si>
    <t>Azusa Pacific University</t>
  </si>
  <si>
    <t>GPA/Test Scores; christian commitment</t>
  </si>
  <si>
    <t>Trustees’ Scholarship Award recognizes Christian scholars who have consistently demonstrated high academic achievement and will perpetuate the mission of Azusa Pacific University during their academic studies and later in their chosen careers. To fulfill this purpose, five annually renewable, full-tuition scholarships are available to assist deserving students in achieving success in their academic, spiritual, and personal development.</t>
  </si>
  <si>
    <t>SAT Math 470-590
SAT Critical Reading 480-590
SAT Writing Not reported</t>
  </si>
  <si>
    <t>California Lutheran University</t>
  </si>
  <si>
    <t>$25,000 to full tuition</t>
  </si>
  <si>
    <t>Overall Academic Achievement; On Campus Competition</t>
  </si>
  <si>
    <t>Presidential Scholarships were established to recognize and reward graduating high school seniors in the top tier of our applicant pool who embody the University’s educational and leadership goals. Students who come to campus for Honors Day will interview for the top scholarships offered by the University. Students must meet the Early Action Application Deadline (November 1) to be considered for the Presidential Scholarships. The scholarships awarded through this program will replace any academic scholarship the student received at the time of admission. Presidential scholarships are renewable for subsequent years.</t>
  </si>
  <si>
    <t>SAT Math 500-600
SAT Critical Reading 500-600 
SAT Writing 490-600</t>
  </si>
  <si>
    <t>California Polytechnic State University—​San Luis Obispo</t>
  </si>
  <si>
    <t>Full Tuition (2 years)/Half Tuition (2 years)</t>
  </si>
  <si>
    <t>The Floyd O. Hicks Scholarship supports first time freshmen by providing full fees or tuition for the first two years and 50% of fees or tuition for the second two years of enrollment provided the recipient maintains a 2.5 GPA.</t>
  </si>
  <si>
    <t>in-state: $9,075, out-of-state: $20,235</t>
  </si>
  <si>
    <t>26-31</t>
  </si>
  <si>
    <t>SAT Math - 580-690 
SAT Critical Reading - 550-650 
SAT Writing - Not reported</t>
  </si>
  <si>
    <t>California State University—​Fullerton</t>
  </si>
  <si>
    <t>President's Scholars Program - Candidates who are selected for the President's Scholars Program are rewarded with outstanding benefits. A full-­ride, merit-based academic scholarship awarded to incoming first-time freshmen for a duration of four years. The program centers on four core pillars: leadership, mentoring, community service, and academics.</t>
  </si>
  <si>
    <t>http://www.fullerton.edu/scholars/programs/</t>
  </si>
  <si>
    <t>in-state: $6,564, out-of-state: $17,724</t>
  </si>
  <si>
    <t>19-24</t>
  </si>
  <si>
    <t>SAT Math - 470-570  
SAT Critical Reading - 460-560 
SAT Writing - Not reported</t>
  </si>
  <si>
    <t>California State University—​Long Beach</t>
  </si>
  <si>
    <t>Class Rank; National Merit Status</t>
  </si>
  <si>
    <t>The Program provides California residents who are qualifying Valedictorians or National Merit Semifinalists / Finalists from accredited high schools an opportunity to compete for a range of scholarships within the program which may include: 
Full payment of tuition and general student fees 
An annual book allowance 
Paid housing in the campus residence halls 
Sponsored meal plan 
Priority registration 
Personalized academic advising 
Campus student parking privileges 
E-mail and Internet access 
Exclusive access to our new President´s Scholar Center</t>
  </si>
  <si>
    <t>http://www.csulb.edu/university-honors/scholarships/presidents-scholarships</t>
  </si>
  <si>
    <t>in-state: $6,460, out-of-state: $17,620</t>
  </si>
  <si>
    <t>SAT Math - 470-600
SAT Critical Reading - 460-570 
SAT Writing Not reported</t>
  </si>
  <si>
    <t xml:space="preserve">Overall Academic Record  </t>
  </si>
  <si>
    <t>in-state: $6,460, out-of-state: $17,621</t>
  </si>
  <si>
    <t>Claremont McKenna College</t>
  </si>
  <si>
    <t>Overall Academic Record; Leadership</t>
  </si>
  <si>
    <t>The Frank Seaver Leadership Scholarship is a renewable full-tuition scholarship given to approximately five entering freshmen every year. This scholarship is awarded to students who demonstrate exceptional promise to become leaders intent on making a positive impact in the world.
Students selected will receive a merit scholarship equal to full tuition (students and their families are responsible for room and board costs as well as individual personal expenses). Additionally, two monetary stipends of $4,000 each will be granted to each Seaver Scholar to use in the pursuit of summer leadership development opportunities such as internships, community service, or academic travel. Throughout their time at CMC, Seaver Scholars will be expected to participate in various small group enrichment programs, provided with the intention of further developing their leadership potential.</t>
  </si>
  <si>
    <t>29-33</t>
  </si>
  <si>
    <t>SAT Math - 670-780
SAT Critical Reading - 670-750
SAT Writing - 690-760</t>
  </si>
  <si>
    <t>Concordia University Irvine</t>
  </si>
  <si>
    <t>Presidential Honors Scholarship</t>
  </si>
  <si>
    <t xml:space="preserve">SAT Math - 460-570
SAT Critical Reading - 440-560 
SAT Writing - 440-545 </t>
  </si>
  <si>
    <t>3.44 (based on weighted GPAs)</t>
  </si>
  <si>
    <t>Fresno Pacific University</t>
  </si>
  <si>
    <t>Paragon Scholarship</t>
  </si>
  <si>
    <t xml:space="preserve">SAT Math - 440-550 
SAT Critical Reading - 440-550 
SAT Writing - 428-550 </t>
  </si>
  <si>
    <t>Harvey Mudd College</t>
  </si>
  <si>
    <t>The President’s Scholars Program (PSP) is a renewable, four year, full-tuition scholarship program that identifies and encourages outstanding young men and women who have the potential to be future leaders in engineering, science, mathematics and technology. Special consideration will be given to those who are from backgrounds that are traditionally underrepresented at Harvey Mudd College or are the first in their families to attend college.</t>
  </si>
  <si>
    <t>33-35</t>
  </si>
  <si>
    <t>SAT Math 730–800
SAT Critical Reading 670–760
SAT Writing 680–760</t>
  </si>
  <si>
    <t>Holy Names University</t>
  </si>
  <si>
    <t>GPA/Essay</t>
  </si>
  <si>
    <t>Sister Marie Rose Durocher Scholarship - 
Competitive scholarship awarded to full-time incoming freshmen. Applicants must have a high school GPA of 3.7 and submit an essay. Renewable with a college GPA of 3.5.</t>
  </si>
  <si>
    <t>http://www.hnu.edu/financial-services/financial-aid/undergraduate-aid/aid-new-and-transfer-students</t>
  </si>
  <si>
    <t>SAT Math - 380-470
SAT Critical Reading - 390-480 
SAT Writing - Not reported</t>
  </si>
  <si>
    <t xml:space="preserve"> </t>
  </si>
  <si>
    <t>LaSierra University</t>
  </si>
  <si>
    <t>National Merit Award is for students demonstrating superior scholastic ability through national testing process. This is renewable up to 4 years. Finalist will receive 100% of tuition and standard fees.
Semi-finalists receive a scholarship of 50% tuition. Commended students receive a scholarship of 20% of tuition.</t>
  </si>
  <si>
    <t>https://lasierra.edu/fileadmin/documents/sfs/scholarships/scholarships-and-awards-2017-2018.pdf</t>
  </si>
  <si>
    <t>16-22</t>
  </si>
  <si>
    <t>SAT Math 420-520
SAT Critical Reading 420-510 
SAT Writing 420-510</t>
  </si>
  <si>
    <t>Loyola Marymount University</t>
  </si>
  <si>
    <t>Overall Academic Performance; On Campus Interview</t>
  </si>
  <si>
    <t>Trustee Scholarships - Ten Trustee Scholars receive scholarship and grant assistance equal to full tuition, room and board for four years.</t>
  </si>
  <si>
    <t>http://financialaid.lmu.edu/prospectivestudents/scholarships/lmuacademicscholarshipsforfreshmen/</t>
  </si>
  <si>
    <t>25-30</t>
  </si>
  <si>
    <t xml:space="preserve">SAT Math - 560-660 SAT Critical Reading - 550-640 
SAT Writing - 550-650 </t>
  </si>
  <si>
    <t>Arrupe Scholarships - Arrupe Scholarships are highly competitive and selective, range in value from $12,500 annually to full tuition, and are renewable for four years.</t>
  </si>
  <si>
    <t>SAT Math - 560-660 SAT Critical Reading - 550-640 
SAT Writing - 550-651</t>
  </si>
  <si>
    <t>Menlo College</t>
  </si>
  <si>
    <t>Clas Rank; GPA/Test Scores</t>
  </si>
  <si>
    <r>
      <t xml:space="preserve">Valedictorian Scholarship - Tuition and Fees for 4 years are covered by this scholarship. Minimum GPA/Test Score requirements listed apply. First-time freshmen only. **Must rank in top 3 of high school graduating class.** </t>
    </r>
    <r>
      <rPr>
        <i/>
        <sz val="11"/>
        <rFont val="Calibri"/>
      </rPr>
      <t>Note: Link takes you to a Fall 2017 page, but the scholarship is listed as current on the school's page of scholarships.</t>
    </r>
  </si>
  <si>
    <t>http://www.menlo.edu/wp-content/uploads/admissions/valedictorian-scholarship.pdf</t>
  </si>
  <si>
    <t>Occidental College</t>
  </si>
  <si>
    <t>Los Angeles, CA</t>
  </si>
  <si>
    <t>Centennial Scholarships can be awarded to one student from each of the following Los Angeles high schools: Eagle Rock, Franklin, and Roosevelt. This scholarship is awarded to students with outstanding academic records who demonstrate a strong commitment to their community. The scholarship covers tuition, fees, a double room, and Meal Plan B. The scholarship is renewable for three additional years provided the student maintains satisfactory academic progress. Centennial Scholars enrolled less than full-time are not eligible to receive this award. If the student chooses to live offcampus, this scholarship will only cover tuition and fees. Also awarded at the time of admission, these scholarships have unique criteria based upon the College's historical and organizational partnerships.</t>
  </si>
  <si>
    <t>http://www.oxy.edu/sites/default/files/assets/Financial_Aid/MeritScholarships_3.pdf</t>
  </si>
  <si>
    <t>28-31</t>
  </si>
  <si>
    <t>SAT Math: 600-690
SAT Critical Reading: 600-690
SAT Writing: 605-690</t>
  </si>
  <si>
    <t>Pacific Union College</t>
  </si>
  <si>
    <t xml:space="preserve">Maxwell Scholarship Program
PUC recognizes academically outstanding incoming freshmen through its Maxwell Scholars Program. Students meeting qualifications receive full tuition based on their unweighted cumulative GPA and test scores.
Conditions: The Maxwell Scholarship is only available to incoming freshmen entering PUC fall 2018. Scholarship cannot be combined with any other PUC scholarships, awards, or discounts.Renewable for three years with a 3.5 GPA, with a potential 4th year under qualifying conditions.Recipients are required to live in the residence halls.
</t>
  </si>
  <si>
    <t>18-25</t>
  </si>
  <si>
    <t>SAT Math: 430-570 
SAT Writing: 420-540
SAT Critical Reading: 420-560</t>
  </si>
  <si>
    <t>National Merit, National Achievement, and National Hispanic Recognition Awards
Deadline: None; information must be submitted in order to receive award
These awards are given to freshmen who achieve a high score on their PSATs and are recognized by the National Merit, National Achievement, or National Hispanic Scholarship Programs. The awards are renewable with a 3.5 GPA.
100% Tuition
National Merit Scholar/Finalist
National Achievement Scholar/Finalist
National Hispanic Recognition Scholar</t>
  </si>
  <si>
    <t>Point Loma Nazarene University</t>
  </si>
  <si>
    <t>GPA/Test Scores;Overall academic performance</t>
  </si>
  <si>
    <t>University Honors Scholarship-All President's Scholars considered</t>
  </si>
  <si>
    <t xml:space="preserve">SAT Math - 510-630 
SAT Critical Reading - 510-620 
SAT Writing - 510-610 </t>
  </si>
  <si>
    <t>3.79 (based on weighted GPAs)</t>
  </si>
  <si>
    <t>Santa Clara University</t>
  </si>
  <si>
    <t>Army ROTC is a campus-based program offering several scholarships. Scholarships range from partial tuition to full tuition and may include Santa Clara University on-campus housing.</t>
  </si>
  <si>
    <t>27-32</t>
  </si>
  <si>
    <t>SAT Critical Reading - 590 - 690 
SAT math - 620 - 710</t>
  </si>
  <si>
    <t>Overall Academic Performance; Leadership</t>
  </si>
  <si>
    <t>The Johnson Scholars comprehensive merit award is provided to first-year undergraduate students who demonstrate the highest levels of academic ability, motivation and leadership potential.</t>
  </si>
  <si>
    <t>https://www.scu.edu/financialaid/types-of-aid/scholarships-and-grants/</t>
  </si>
  <si>
    <t>SAT Critical Reading - 590 - 690 
SAT math - 620 - 711</t>
  </si>
  <si>
    <t>The Presidential at Entry Scholarship is awarded to first-year undergraduate students who demonstrate other qualities identified and emphasized by the president as critical to the University's mission.</t>
  </si>
  <si>
    <t>SAT Critical Reading - 590 - 690 
SAT math - 620 - 712</t>
  </si>
  <si>
    <t>Simpson University</t>
  </si>
  <si>
    <t>Talent</t>
  </si>
  <si>
    <t>Music Talent</t>
  </si>
  <si>
    <t>Promising Musician Scholarship - Up to 100% tuition after application of all other financial aid. Granted to exceptional musicians based on recommendation of Music Chair/Department. Renewable at discretion of music department.</t>
  </si>
  <si>
    <t>SAT Math: 443-560
SAT Critical Reading: 450-560
SAT Writing: 430-530</t>
  </si>
  <si>
    <t>Soka University</t>
  </si>
  <si>
    <t>Global Merit Scholarship
Full Ride (up to cost of attendance) annually │ Renewable up to 8 semesters
SUA offers a select number of full ride scholarships to the top students of each entering class. The scholarship covers the entire “Cost of Attendance” which includes not only the direct costs to the university such as tuition, room and board, but also the indirect costs like travel, personal expenses, books and supplies.
Eligibility is determined by taking into consideration materials submitted in the admissions application. All admitted students are given equal and automatic consideration for this award.</t>
  </si>
  <si>
    <t>SAT Math: 580-740
SAT Writing: 560-640 SAT Critical Reading: 490-650</t>
  </si>
  <si>
    <t>3.85 (based on weighted GPAs)</t>
  </si>
  <si>
    <t>Africa</t>
  </si>
  <si>
    <t>African International Student</t>
  </si>
  <si>
    <t>Makiguchi Scholarship
Full Ride (up to cost of attendance) annually│ Renewable up to 8 semesters
Each year, an SUA Makiguchi Scholarship for Global Citizens award will be given to one international applicant who has graduated from high school in an African nation. The student selected is outstanding both in character and academic standing, and has a financial need.
Eligibility for this award is determined by information submitted on the admissions and financial aid application.</t>
  </si>
  <si>
    <t>UCLA</t>
  </si>
  <si>
    <t>Up to 100</t>
  </si>
  <si>
    <t>The Regents Scholarship Program was established by the Regents of the University of California in 1962, and represents one of the highest honors awarded to a student at the University. Regents Scholarship recipients are selected on the basis of demonstrated academic excellence, leadership and exceptional promise. Although the Financial Aid and Scholarships office administers the Regents Scholarship Program on the UCLA campus, financial need is not used as a criterion in the selection process.
The top 1.5% of the entering freshmen applicant pool is invited by the Faculty Committee on Honors, Awards and prizes and the Financial Aid and Scholarships office to compete for the UCLA Regents Scholarship.</t>
  </si>
  <si>
    <t>$12,918 in-state
$39,600 out-of-state</t>
  </si>
  <si>
    <t>25-33</t>
  </si>
  <si>
    <t>SAT Math 600 - 750
SAT Critical Reading 570 - 700 
SAT Writing 580 - 720</t>
  </si>
  <si>
    <t>4.31 (based on weighted GPAs)</t>
  </si>
  <si>
    <t>University of California - Davis</t>
  </si>
  <si>
    <t>Army ROTC has scholarships are available for high school seniors as well as UC Davis students. These scholarships are awarded based on a student's merit and grades, not financial need.</t>
  </si>
  <si>
    <t>$14,046 in-state
$40,729 out-of-state</t>
  </si>
  <si>
    <t>SAT Math 560-710
SAT Critical Reading 510-630 
SAT Writing 530-660</t>
  </si>
  <si>
    <t>University of California-Santa Barbara</t>
  </si>
  <si>
    <t>Army ROTC scholarships are available based on a student’s merit and grades, not financial need.</t>
  </si>
  <si>
    <t>$14,014 in-state; $40,696 out-of-state</t>
  </si>
  <si>
    <t>SAT Math 580-700
SAT Critical Reading 550-670 
SAT Writing 560-680</t>
  </si>
  <si>
    <t>4.02 (based on weighted GPAs)</t>
  </si>
  <si>
    <t>University of San Diego</t>
  </si>
  <si>
    <t>The Army Reserve Officers’ Training Corps offers two scholarship programs in the form of Line and Nursing scholarships.</t>
  </si>
  <si>
    <t>26-30</t>
  </si>
  <si>
    <t>SAT Math 560-670
SAT Critical Reading 550-640
SAT Writing 540-650</t>
  </si>
  <si>
    <t>The U.S. Navy is offering full ROTC scholarships to qualified freshmen and sophomores. Not only will you receive a free education and a guaranteed job after graduation, but you will also gain valuable work experience, a chance to travel the world, and the opportunity to serve your country!</t>
  </si>
  <si>
    <t>University of Southern California</t>
  </si>
  <si>
    <t>International/Non-US</t>
  </si>
  <si>
    <t>International Students; Overall Academic Performance</t>
  </si>
  <si>
    <t>Candidates for Mork Family Scholarship are selected by USC faculty and staff from an extremely competitive international pool. Applicants pursue the most demanding curriculum and achieve at the highest level. Approximate of 10 full tuition awards (approx. $46,000) plus $5,000 stipend will be given</t>
  </si>
  <si>
    <t>30-33</t>
  </si>
  <si>
    <t>SAT Math 650-770
SAT Critical Reading 620-730
SAT Writing 650-750</t>
  </si>
  <si>
    <t>Candidates for Stamps Leadership Scholarships should have an average SAT and ACT scores that are in the top 1 to 2 percent of all students nationwide. In addition to academic criteria, candidates’ talent, perseverance, innovation, involvement and leadership are considered. Approximate of 5 full tuition awards (approx. $46,000) plus plus access to $5,000 enrichment fund will be given.</t>
  </si>
  <si>
    <t>http://admission.usc.edu/docs/Scholarships.pdf</t>
  </si>
  <si>
    <t>SAT Math 650-770
SAT Critical Reading 620-730
SAT Writing 650-751</t>
  </si>
  <si>
    <t>Trustee Scholarships are given to approximately 100 first year students each year.</t>
  </si>
  <si>
    <t>SAT Math 650-770
SAT Critical Reading 620-730
SAT Writing 650-752</t>
  </si>
  <si>
    <t>Vanguard University of Southern California</t>
  </si>
  <si>
    <t>National Merit Finalist 
Awards up to 100% of tuition are available to full-time undergraduate students selected as National Merit Finalists and entering VUSC as first-time freshmen. Awards are renewable for up to four years based on having and maintaining a 3.00 cumulative GPA.</t>
  </si>
  <si>
    <t>https://www.vanguard.edu/admissions/financial-aid/grants-and-scholarships</t>
  </si>
  <si>
    <t>17-24</t>
  </si>
  <si>
    <t>SAT Math - 420-530 
SAT Critical Reading - 430-556
SAT Writing - Not reported</t>
  </si>
  <si>
    <t>Westmont College</t>
  </si>
  <si>
    <t>$35,000 - Full Tuition</t>
  </si>
  <si>
    <t>Overall academic performance; leadership; Christian faith</t>
  </si>
  <si>
    <t>THE AUGUSTINIAN SCHOLARSHIP AND HONORS PROGRAM
Includes 30 scholarships ranging from $35,000 ($140,000 total for four years) to full tuition. In February, Westmont invites 100 Presidential Scholarship recipients who applied Early Action I &amp; II to a two-day competition for the 30 awards.</t>
  </si>
  <si>
    <t>SAT Math: 530-650
SAT Writing: 520-650 SAT Critical Reading: 540-650</t>
  </si>
  <si>
    <t>3.80 (based on weighted GPAs)</t>
  </si>
  <si>
    <t>CO</t>
  </si>
  <si>
    <t>Colorado Christian University</t>
  </si>
  <si>
    <t>GPA; Test Scores</t>
  </si>
  <si>
    <t>Three World Changers full-tuition scholarships will be annually awarded on a competitive basis to new students who qualify as Trustees Scholars (see parameters below). Competition is by invitation only and occurs on campus early during the spring semester prior to intended enrollment. Students invited to attend and who participate in the two day event will receive an additional Impact Scholarship (amount varies each year). To maintain eligibility, students must maintain a cumulative 3.5 GPA at CCU and meet all student aid eligibility requirements. The scholarship will cover full tuition, which includes the block rate for 12-18 credits, and any amount for additional credits above 18</t>
  </si>
  <si>
    <t>Colorado College</t>
  </si>
  <si>
    <t>Colorado</t>
  </si>
  <si>
    <t>Colorado student interested in public policy and/or working in non-profits</t>
  </si>
  <si>
    <t>The El Pomar Scholarship was created to encourage talented and passionate students from Colorado to pursue careers in public policy or nonprofit work by covering the annual cost of tuition and fees, standard dorm room, and meal plan at Colorado College. The scholarship provides two students in each enrolling class with a first rate liberal arts and sciences education, along with valuable hands on experiences and exposure to the foundation's work in the nonprofit sector.</t>
  </si>
  <si>
    <t>28-32</t>
  </si>
  <si>
    <t>SAT Math 620-710
SAT Critical Reading 630-710
SAT Writing 620-700</t>
  </si>
  <si>
    <t>Major in Chemistry, Natural Sciences or Math; Overall Academic Performance</t>
  </si>
  <si>
    <t>Barnes scholarships for chemistry, natural sciences and math - Scholarships are awarded primarily for academic merit, though financial need and non-academic talents are considered.</t>
  </si>
  <si>
    <t>Outside scholarship for Colorado students for any Colorado University</t>
  </si>
  <si>
    <t>Boettcher Scholarship — The Boettcher Foundation selects top students who are Colorado residents to receive renewable Boettcher Scholarships. The Boettcher Foundation and Colorado College provide funds equal to full tuition, and an allowance for room, board, books, and supplies. Interested individuals apply for this scholarship through the Boettcher Foundation. You may obtain specific information at the Boettcher Foundation website.</t>
  </si>
  <si>
    <t>Colorado Mesa University</t>
  </si>
  <si>
    <t>GPA/Test Scores/Class Rank</t>
  </si>
  <si>
    <t>Distinguished Scholar Award **
Value for new awards beginning 2016-17: Tuition and Fees (Colorado students only); $6,000 (out-of-state students)
Criteria:
Renewable scholarship (120 credit hour maximum)
Award is based on a combination of ANY TWO of the following three criteria:
-3.75 GPA
-Top 5% of their class
-ACT composite score of 29, or SAT combined score of 1340</t>
  </si>
  <si>
    <t>http://www.coloradomesa.edu/financial-aid/scholarships/freshmen.html</t>
  </si>
  <si>
    <t>$8,395 in-state
, $20,353out-of-state</t>
  </si>
  <si>
    <t>17-23</t>
  </si>
  <si>
    <t>SAT Math: 430-540
SAT Critical Reading: 430-540</t>
  </si>
  <si>
    <t>Colorado State University</t>
  </si>
  <si>
    <t>Four-, three-, and two-year Air Force Reserve Office Training Corps (AFROTC) scholarships available in various amounts up to and including student’s share of base tuition and fees, book allowance, and variable monthly stipend ($300-$500). Selection is based on academic record, major, extracurricular activities, and leadership potential. Must enroll in Aerospace Studies class. No active duty commitment/obligation until scholarship or incentive is awarded.</t>
  </si>
  <si>
    <t>$11,052 in-state
$28,346 out-of-state</t>
  </si>
  <si>
    <t>SAT Math 520-630
SAT Critical Reading 520-620
SAT Writing 542 average</t>
  </si>
  <si>
    <t>Class rank/Test Scores; Leadership; Service; Character</t>
  </si>
  <si>
    <t>Monfort Scholarships are awarded to students who rank in the upper 5% of graduating class or #1 or #2 in a class of fewer than 40 students, with SAT combined critical reading and mathematics composite score of at least 1300 or ACT of 30, evidence of leadership, service to community and school, and outstanding character.</t>
  </si>
  <si>
    <t>80% of In-State Tuition</t>
  </si>
  <si>
    <t>GPA/Test Scores; Leadership; Service; Character</t>
  </si>
  <si>
    <t>Anschutz Foundation Scholarship - Colorado-resident first-time freshman who submit a complete Application for Admission and all supporting documents by February 1 (whether through Early Action or Regular Decision).
Student must have earned a cumulative GPA of 3.8 or higher at the time of application along with a SAT score of 1230 or higher (combined on the Critical Reading &amp; Mathematics sections) OR an ACT composite score of 27 or higher during one test sitting.  Students must also demonstrate evidence of leadership, outstanding character, and commitment to service at your school and in your community through answers to the CSUSA.  Please be advised this is a highly competitive scholarship with limited funding.</t>
  </si>
  <si>
    <t>http://sfs.colostate.edu/scholarships-for-incoming-colorado-resident-freshman</t>
  </si>
  <si>
    <t>ROTC scholarships</t>
  </si>
  <si>
    <t>Colorado State University - Pueblo</t>
  </si>
  <si>
    <t>Presidential Scholarships worth $8,000 are awarded each year to qualified students.</t>
  </si>
  <si>
    <t>$8,280 in-state
$19,850 out-of-state</t>
  </si>
  <si>
    <t>18-23</t>
  </si>
  <si>
    <t>SAT Math 430-545
SAT Critical Reading 420-550 
SAT Writing not reported</t>
  </si>
  <si>
    <t>Regis University</t>
  </si>
  <si>
    <t>Overall Academic Performance; Leadership; Service</t>
  </si>
  <si>
    <t>Leadership Fellows Scholarship - Regis College is proud to offer one full-tuition scholarship to an incoming Regis College freshman who demonstrates leadership in one or more of the following: high school clubs and organizations, athletics, outside organizations, internships and community employment.</t>
  </si>
  <si>
    <t>http://www.regis.edu/College-Admissions-and-Financial-Aid/College-Financial-Aid/Types-of-Aid/Full-Tuition-Awards/Leadership-Fellows-Scholarship.aspx</t>
  </si>
  <si>
    <t>SAT Math 470-590 
SAT Critical Reading 480-580 
SAT Writing 480-570</t>
  </si>
  <si>
    <t>Science Major; Exam Based</t>
  </si>
  <si>
    <t>Science CORE Scholarship (Biology, Chemistry, Mathematics, Neuroscience, or Psychology) - Regis University offers full tuition scholarships to Regis College freshman who plan to major in biology, chemistry, mathematics, and psychology/neuroscience. Awards are issued on the basis of a competitive examination given at the University in February of each year.</t>
  </si>
  <si>
    <t>http://www.regis.edu/College-Admissions-and-Financial-Aid/College-Financial-Aid/Types-of-Aid/Full-Tuition-Awards/Science-Scholarship.aspx</t>
  </si>
  <si>
    <t>University of Colorado - Colorado Springs</t>
  </si>
  <si>
    <t>GPA; Overall Academic Performance</t>
  </si>
  <si>
    <t>The Kane Family Foundation awards high achieving Colorado residents the full-cost of tuition, fees, and books for up to four years. The estimated value of the Kane scholarship is approximately $40,000 over four years. Qualifying students must have a 3.5 HS GPA and show consistent, long term, extracurricular involvement. Past recipients have been in the top 10% of their high school class, although this is not a requirement.
Recipients are expected to be campus leaders, top students, and graduate within four years. Kane Scholars Awards are also made at southern Colorado community colleges and are transferable to UCCS</t>
  </si>
  <si>
    <t>https://www.uccs.edu/~finaid/types-of-aid/scholarships/scholarship-search.html?c18/</t>
  </si>
  <si>
    <t>$9,428 in-state
$22,298 out-of-state</t>
  </si>
  <si>
    <t>21-26</t>
  </si>
  <si>
    <t>SAT Math 470-590
SAT Critical Reading 490-600
SAT Writing Not reported</t>
  </si>
  <si>
    <t>University of Northern Colorado</t>
  </si>
  <si>
    <t>Over 75% of in-state tuition</t>
  </si>
  <si>
    <t>Trustee Scholarship </t>
  </si>
  <si>
    <t>$8,888 in-state
$20,474 out-of-state</t>
  </si>
  <si>
    <t>SAT Math 450-580
SAT Critical Reading 460-580</t>
  </si>
  <si>
    <t>CT</t>
  </si>
  <si>
    <t>Eastern Connecticut State University</t>
  </si>
  <si>
    <t>Honors Scholarships are awarded to incoming first-year students who are admitted to the University Honors Program and are conditioned on the student’s living on campus, continuing participation in the program and maintaining the following cumulative GPA’s in the four undergraduate years (freshman, 3.3, sophomore, 3.4, junior, 3.45 and senior, 3.5). The scholarship covers the student’s annual tuition (not fees) and, for in-state students, $2,000 of annual room charges. The scholarship is limited to eight semesters.</t>
  </si>
  <si>
    <t>$10,500 in-state 
$22,166 out-of-state</t>
  </si>
  <si>
    <t>SAT Math 470-570
SAT Critical Reading 480-570
SAT Writing 480-570</t>
  </si>
  <si>
    <t>Trinity College</t>
  </si>
  <si>
    <t>Illinois</t>
  </si>
  <si>
    <t>Illinois Residents; Overall Academic Performance</t>
  </si>
  <si>
    <t>Scholarships for Illinois Residents Inc. is an alumni foundation affiliated with Trinity College in Hartford, Connecticut. It was funded by a gift in 1948 and has been granting scholarships to Trinity students for more than 60 years.
The Lincoln Award is a scholarship for very highly qualified students interested in attending Trinity. Based on merit, this award is granted to students of exceptional achievement and potential. The Lincoln Award provides four years of full scholarship, regardless of need. Over four years, the award provides a grant of approximately one quarter of a million dollars. It covers tuition, housing, meals and book expenses.</t>
  </si>
  <si>
    <t>SAT Math 570-700
SAT Critical Reading 540-670
SAT Writing 550-680</t>
  </si>
  <si>
    <t>University of Connecticut</t>
  </si>
  <si>
    <t>Full ride plus</t>
  </si>
  <si>
    <t>Stamps Scholars Awards are awarded to exceptional Connecticut high school seniors. To be eligible for this award, students must be a resident of Connecticut and qualify for the Nutmeg or Day of Pride scholarship. Nutmeg and Day of Pride Scholars will be submitted for review by the University of Connecticut.</t>
  </si>
  <si>
    <t>$13,366 in-state
$34,908 out-of-state</t>
  </si>
  <si>
    <t>SAT Math 590-690
SAT Critical Reading 560-660 
SAT Writing 550-660</t>
  </si>
  <si>
    <t>The Nutmeg Scholarship honors the exceptional accomplishments of Connecticut high school seniors. All semifinalists and finalists in the National Achievement Scholarship Program, the National Hispanic Recognition Program, and the National Merit Semifinalist Competition, in addition to outstanding students from every Connecticut high school may be nominated to apply.</t>
  </si>
  <si>
    <t>University of Hartford</t>
  </si>
  <si>
    <t>$21,000-full-tuition</t>
  </si>
  <si>
    <t>Academic Scholarships
In awarding your academic scholarship, we will consider the overall picture of your academic performance, so that a single factor like your SAT score may not automatically result in a smaller scholarship. As a general example, a typical student with an SAT of 1090 or higher, in the top 20% or better of their class, and with a GPA of at least 3.45 could see an award between $21,000 and full-tuition.</t>
  </si>
  <si>
    <t>SAT Math: 470-580
SAT Writing: not reported SAT Critical Reading: 470-580</t>
  </si>
  <si>
    <t>Art Talent</t>
  </si>
  <si>
    <t>Artistic Merit Scholarships
The Hartford Art School offers talent awards ranging up to full tuition to entering full-time students based on the quality of their portfolio review and academic achievement. Students will be notified of these awards at the time of admission.</t>
  </si>
  <si>
    <t>$5,000 to Full Tuition</t>
  </si>
  <si>
    <t>Artistic Talent Scholarship - International Students
Students making application for the Bachelor of Fine Arts will be considered for an Artistic Talent Scholarship ($5,000.00 to Full Tuition). This offer of scholarship will be made on the relative strength of their art portfolio. Student must submit a completed application prior to February 1.</t>
  </si>
  <si>
    <t>Performing Art Talent</t>
  </si>
  <si>
    <t>Hartt Performing Arts Scholarships - The Hartt School offers scholarships up to full tuition to entering full-time students based on the outcome of the audition process and academic achievement. Students will be notified about these awards at the time of admission.</t>
  </si>
  <si>
    <t>http://admission.hartford.edu/finaid/grants_scholarships.html</t>
  </si>
  <si>
    <t>Performing Arts Scholarship
Students making application for the Bachelor's degree in Music at the Hartt School will be considered for scholarship on the basis of their musical audition ($5,000.00 to full Tuition- living expenses not included). Students seeking admission to study voice, or a voice related subject would be considered for scholarship only after completing an audition in the presence of a Faculty member from the Hartt School. Student must submit a completed application prior to February 1.</t>
  </si>
  <si>
    <t>Wesleyan University</t>
  </si>
  <si>
    <t>Creative Written Work</t>
  </si>
  <si>
    <t>Wesleyan University Hamilton Prize - The Wesleyan University Hamilton Prize for Creativity is a four-year full-tuition scholarship to be awarded to the incoming student, beginning with Wesleyan’s Class of 2021, whose work of creative written expression is judged to best reflect the originality, artistry, and dynamism embodied in Broadway’s Hamilton.</t>
  </si>
  <si>
    <t>SAT Math 630-740
SAT Critical Reading 620-730
SAT Writing 630-750</t>
  </si>
  <si>
    <t>DC</t>
  </si>
  <si>
    <t>American University</t>
  </si>
  <si>
    <t>Preference to minority students; overall academic performance; leadership</t>
  </si>
  <si>
    <t>The vision of the Frederick Douglass Scholarship (FDDS) program is to be the premier academic community for American University's most ambitious student and alumni leaders dedicated to excellence, social justice, and the sustainable advancement of under-resourced and underserved communities.</t>
  </si>
  <si>
    <t>SAT Math 560-650
SAT Critical Reading 590-690
SAT Writing 570-670</t>
  </si>
  <si>
    <t>Catholic University of America</t>
  </si>
  <si>
    <t xml:space="preserve">Archdiocesan Scholarship 
Qualifications: For consideration, students must be at the top of their high school class with at least a 3.8 unweighted GPA in a highly demanding curriculum. Finalists will be asked to participate in an interview with University faculty.  No separate application is required.
In addition to maintaining Satisfactory Academic Progress (SAP), Archdiocesan Scholarship recipients are required to maintain a 3.20 cumulative grade point average at all times. </t>
  </si>
  <si>
    <t>SAT Math 510-610
SAT Critical Reading 510-620 
SAT Writing not reported</t>
  </si>
  <si>
    <t>George Washington University</t>
  </si>
  <si>
    <t>District of Columbia</t>
  </si>
  <si>
    <t>Nomination Based</t>
  </si>
  <si>
    <t>SLT Scholarships - Outstanding graduates of the District of Columbia high schools who have been nominated by their school counselors are considered for SJT Scholarships. These awards cover full tuition and fees (beyond the DC Tag Program allowance), room and board, and include a book allowance. Candidates must be residents of the District of Columbia, attend a regionally accredited D.C. high school, and have applied for financial assistance.</t>
  </si>
  <si>
    <t>27-31</t>
  </si>
  <si>
    <t>SAT Math 600-700
SAT Critical Reading 590-690 
SAT Writing 600-690</t>
  </si>
  <si>
    <t>Presidential International Scholarship - Any non-U.S. citizen or non-permanent resident who is admitted to GW as a first-year undergraduate for the fall semester and possesses strong academic credentials is eligible for consideration for a Presidential International Scholarship. Automatic consideration will be given to eligible candidates at the time of admission, but priority is given to applicants who have admissions files that are complete by the application deadlines (Early Decision or Regular Decision). The value of the scholarship varies, but can cover full tuition.</t>
  </si>
  <si>
    <t>Howard University</t>
  </si>
  <si>
    <t>Trustee Scholarships -  The Howard University Trustee Tuition Scholarship is primarily merit-based award that recognizes high academic achievement within individual schools and colleges. Each Dean determines the 1) application process, 2) selection process and 3) any additional criteria for this award. No award is guaranteed as these funds are limited and no school/college is required to make Trustee scholarship awards each academic year.</t>
  </si>
  <si>
    <t>SAT Math 490-610
SAT Critical Reading 500-610
SAT Writing 500-600</t>
  </si>
  <si>
    <t>Four-year, three-year, and two-year ROTC scholarships are available based on academic merit and medical eligibility. Scholarship students are selected through national and on-campus processes.</t>
  </si>
  <si>
    <t>Trenton, NJ</t>
  </si>
  <si>
    <t>Service</t>
  </si>
  <si>
    <t>Reverend David M. O'Connell Service Scholarship awarded each year to an entering freshman student from the Diocese of Trenton in New Jersey who embodies Bishop David M. O'Connell's dedication to service. This four year, full-tuition Most Reverend David M. O'Connell Service Scholarship will be awarded to a student with a demonstrated record of service, and a commitment to service while at CUA and beyond.</t>
  </si>
  <si>
    <t>DE</t>
  </si>
  <si>
    <t>Delaware State University</t>
  </si>
  <si>
    <t>Premier Platinum Scholarship is a merit-based scholarship awarded by the University’s Office of Admission to entering full-time, first-year freshmen who are United States citizens on the basis of above superior academic achievement.</t>
  </si>
  <si>
    <t>https://www.desu.edu/admissions/tuition-financial-aid/scholarships/out-state-freshman</t>
  </si>
  <si>
    <t>$7,532 in-state 
$16,138 out-of-state</t>
  </si>
  <si>
    <t>17-21</t>
  </si>
  <si>
    <t>SAT Math: 400-490
SAT Writing: 390-460
SAT Critical Reading: 410-480</t>
  </si>
  <si>
    <t>University of Delaware</t>
  </si>
  <si>
    <t>Up to full ride plus</t>
  </si>
  <si>
    <t>the University of Delaware offers a very competitive scholarship program to our students enrolled in our Honors Program. Awards range from $7,000 to full-tuition scholarships, including a limited number of Eugene du Pont Memorial Scholarships that fund Tuition, Fees, Room, and Board, plus a $2,500 Enrichment Grant for approved educational uses such as Study Abroad. In January each year the Admissions Office will reach out to those students eligible to compete for these Distinguished Scholar Awards.</t>
  </si>
  <si>
    <t>http://www.udel.edu/apply/undergraduate-admissions/financing-your-degree/</t>
  </si>
  <si>
    <t>$12,830 in-state
$32,250 out-of-state</t>
  </si>
  <si>
    <t>25-29</t>
  </si>
  <si>
    <t>SAT Math 560-660
SAT Critical Reading 550-650 
SAT Writing 550-650</t>
  </si>
  <si>
    <t>FL</t>
  </si>
  <si>
    <t>Barry University</t>
  </si>
  <si>
    <t>Stamps Scholarship - With the generous support of The Stamps Family Charitable Foundation, the program invests in an exclusive group of high-achieving incoming freshmen with an interest in leadership and service. Barry University provides matching dollars to provide a full merit scholarship. The award is renewable each year, based on GPA, leadership training, and community service requirements.</t>
  </si>
  <si>
    <t>SAT Math 420-510
SAT Critical Reading 430-510 
SAT Writing Not reported</t>
  </si>
  <si>
    <t>Bethune-​Cookman University</t>
  </si>
  <si>
    <t>Full Tuition Up to Full Ride</t>
  </si>
  <si>
    <t>Excelsior Level 1
The Excelsior Scholarship is offered to students who will complete high school in May or June prior to enrolling into B-CU in the subsequent Fall Semester. The award covers the cost of full-time tuition up to the cost of attendance. Students must earn and maintain a 3.3 cumulative grade point average to renew this scholarship.</t>
  </si>
  <si>
    <t>CR+M+W</t>
  </si>
  <si>
    <t>15-18</t>
  </si>
  <si>
    <t xml:space="preserve">SAT Math - 350-430 
SAT Critical Reading - 360-440
SAT Writing - 350-430 </t>
  </si>
  <si>
    <t>2.96 (based on weighted GPAs)</t>
  </si>
  <si>
    <t>The Presidential Scholarship is offered to students who complete high school in May or June prior to enrolling into B-CU in the subsequent Fall semester. The award covers university expenses(full-time tuition, room, board, and $500 per semester book scholarship). Students must earn and maintain a 3.4 cumulative grade point average to renew the award.</t>
  </si>
  <si>
    <t>SAT Math - 350-430 
SAT Critical Reading - 360-440
SAT Writing - 350-431</t>
  </si>
  <si>
    <t>Florida A&amp;M</t>
  </si>
  <si>
    <t xml:space="preserve">DISTINGUISHED SCHOLAR AWARD The Distinguished Scholars Award Program is a merit scholarship for U. S. high school graduates.  Eligible scholars will receive an award to cover the cost of tuition minus the sum of Bright Futures, the National Merit® award or other scholarship and awards.  </t>
  </si>
  <si>
    <t>In-state: $5,785
Out-of-state: $17,730</t>
  </si>
  <si>
    <t>SAT Math 420-530
SAT Critical Reading 420-540 
SAT Writing 400-510</t>
  </si>
  <si>
    <t>Distinguished Scholar Award for National Merit Finalists/Semi-Finalists covers tuition plus:
Additionally, for a National Merit® Finalist, the scholarship will provide a $500 book award, $2,790 to use toward on-campus room and $2,246 for board. 
Additionally, for a National Merit Semifinalist, the scholarship will provide $2,790 to use toward on-campus room and $2,246 for board.</t>
  </si>
  <si>
    <t>In-state: $5,785
Out-of-state: $17,731</t>
  </si>
  <si>
    <t>Florida Atlantic University</t>
  </si>
  <si>
    <t>Full in-state tuition plus</t>
  </si>
  <si>
    <t>$7,500 per year offered to students designated as National Merit Scholars (will not cover full out-of-state tuition)</t>
  </si>
  <si>
    <t>$6,039 in-state
$21,595 out-of-state</t>
  </si>
  <si>
    <t>SAT Math 480-570
SAT Critical Reading 480-560
SAT Writing 470-560</t>
  </si>
  <si>
    <t>Florida College</t>
  </si>
  <si>
    <t>President's Merit Scholars - National Merit Finalist or Semi-Finalist</t>
  </si>
  <si>
    <t xml:space="preserve">SAT Math - 420-550
SAT Critical Reading - 425-560
SAT Writing - 410-568 </t>
  </si>
  <si>
    <t>Florida Gulf Coast University</t>
  </si>
  <si>
    <t>Florida Resident
Eligible students will receive an award equal to the full cost of attendance minus the sum of Bright Futures Award and the President’s Gold or Silver Merit Scholarship, if awarded.
The Cost of Attendance is the total amount of the cost to attend college full-time each term and may include tuition and fees, on-campus room and board, books, supplies, travel and miscellaneous expenses.
To be eligible, students must receive designation as a National Merit Finalist, a National Achievement Finalist or a National Hispanic Scholar and enroll at FGCU no later than the Fall semester immediately following high school graduation.</t>
  </si>
  <si>
    <t>In-state: $6,171
Out-of-state: $25,214</t>
  </si>
  <si>
    <t>22-26</t>
  </si>
  <si>
    <t>SAT Math 480-570
SAT Critical Reading 490-570
SAT Writing 480-560</t>
  </si>
  <si>
    <t>Florida International University</t>
  </si>
  <si>
    <t>75% or more of in-state tuition plus</t>
  </si>
  <si>
    <t>Ambassador Merit Scholarship</t>
  </si>
  <si>
    <t xml:space="preserve"> In-state: $6,558
Out-of-state: $18,956</t>
  </si>
  <si>
    <t>23-26</t>
  </si>
  <si>
    <t>SAT Math 510-600
SAT Critical Reading 520-600 
SAT Writing 510-590</t>
  </si>
  <si>
    <t>Presidential Merit Scholarship</t>
  </si>
  <si>
    <t xml:space="preserve"> In-state: $6,558
Out-of-state: $18,957</t>
  </si>
  <si>
    <t>National merit/achievement</t>
  </si>
  <si>
    <t>National Recognition Programs provided scholarships for National Merit, National Achievement and National Hispanic Scholar Finalists. Awards include full tuition, fees, room and board, up to the cost of attendance as published by the Office of Student Financials.</t>
  </si>
  <si>
    <t xml:space="preserve"> In-state: $6,558
Out-of-state: $18,958</t>
  </si>
  <si>
    <t>Florida Southern College</t>
  </si>
  <si>
    <t>GPA/Test Scores; on campus interview</t>
  </si>
  <si>
    <t>C.V. McClurg Scholarship 
Funded by the McClurg family, the C.V. McClurg Scholarship recognizes students of exceptional academic talent and covers full tuition and fees for four years of study at Florida Southern.</t>
  </si>
  <si>
    <t>http://www.flsouthern.edu/undergraduate/financial-aid/scholarships/prestige-scholarships.aspx</t>
  </si>
  <si>
    <t>24-29</t>
  </si>
  <si>
    <t xml:space="preserve">SAT Math - 530-610 
SAT Critical Reading - 520-620 
SAT Writing - 500-600 </t>
  </si>
  <si>
    <t xml:space="preserve"> 3.68 (based on weighted GPAs)</t>
  </si>
  <si>
    <t>GPA/Test Scores; overall academic performance; leadership; on campus interview</t>
  </si>
  <si>
    <t>Hollingsworth Scholarship - These competitive scholarships are valued at over $170,000 and are available exclusively to students whose academic accomplishments demonstrate superior intellect, unwavering character, and robust ambition.</t>
  </si>
  <si>
    <t>Israeli Citizens</t>
  </si>
  <si>
    <t>2 every four years</t>
  </si>
  <si>
    <t>Marcus and Carole Weinstein Israeli Scholarship
Full tuition and fees, room and board, and funds for books, supplies, and annual travel
Awarded to students who are citizens of Israel, the Weinstein Scholarship covers full tuition and fees, room and board, and funds for books and supplies for up to four years of study at Florida Southern.</t>
  </si>
  <si>
    <t>Lynn University</t>
  </si>
  <si>
    <t>A student who is a National Merit Scholar will receive a full tuition scholarship from Lynn University. This award is renewable when a cumulative 3.5 GPA is maintained.</t>
  </si>
  <si>
    <t>SAT Math 445-550
SAT Critical Reading 450-540 
SAT Writing 430-540</t>
  </si>
  <si>
    <t>Presidential Scholarship - Candidates must be an incoming, admitted, first-year full-time student with a high school GPA of 3.6 (on a 4.0 scale) or higher. SAT and ACT scores will be considered if the candidate elected to apply with test scores considered at the time of application. Nominees who are invited to apply for this scholarship will receive an application for consideration by Feb. 20.</t>
  </si>
  <si>
    <t>New College of Florida</t>
  </si>
  <si>
    <t>Specific Program Participant</t>
  </si>
  <si>
    <t>Florida Education Fund Brain Bowl Scholarship 
We reserve four full four-year scholarships (tuition, room, and board): two for first-place team members of the statewide competition in mathematics and two for first-place team members in history and culture.</t>
  </si>
  <si>
    <t>In-state: $6,916
Out-of-state: $29,944</t>
  </si>
  <si>
    <t>SAT Math: 560-660
SAT Writing: 610-720
SAT Critical Reading: 570-670</t>
  </si>
  <si>
    <t>Palm Beach Atlantic University</t>
  </si>
  <si>
    <t>GPA/Test Scores; Community Involvement; On campus interview</t>
  </si>
  <si>
    <t>Farish Scholars Program Eligibility: To qualify, an applicant must have a 3.5 GPA, SAT test score of 1380 (ACT of 31), be an incoming freshman, a Florida resident, and exhibit extensive community involvement. This is a competitive scholarship that requires an in-person interview.
Renewable: Yes, for up to 9 semesters</t>
  </si>
  <si>
    <t>SAT Math - 460-590 
SAT Critical Reading - 480-590
SAT Writing - 460-580</t>
  </si>
  <si>
    <t>Rollins College</t>
  </si>
  <si>
    <t>Alfond Scholars Program. Up to 10 full scholarships which cover tuition, fees, room and board
Semi-finalists typically have SATs of 1420 or higher (Critical Reading and Math) or ACTs of 32 or higher (Composite) and GPAs of 3.7 or higher.
Annually renewable with a 333 GPA and completion of 24 credit hours each year</t>
  </si>
  <si>
    <t xml:space="preserve">SAT Math 555-660
SAT Critical Reading 
550-650 
SAT Writing 
550-650 </t>
  </si>
  <si>
    <t>Stetson University</t>
  </si>
  <si>
    <t>Overall Academic Performance; Leadership; Personality</t>
  </si>
  <si>
    <t>J. Ollie Edmunds Distinguished Scholarship 
This is an academically competitive scholarship which pays all expenses for students who exhibit top academic and personal leadership potential. It includes a summer internship stipend between the sophomore and junior years, which can be transferred to a study abroad program.</t>
  </si>
  <si>
    <t>24-28</t>
  </si>
  <si>
    <t xml:space="preserve">SAT Math- 520-620
SAT Critical Reading - 530-640 
SAT Writing - 500-620 </t>
  </si>
  <si>
    <t>$10,000-Full Tution</t>
  </si>
  <si>
    <t>Overall Academic Performance; Test Scores; Service</t>
  </si>
  <si>
    <t>Merit-Based Scholarships - These scholarships will be awarded on the basis of the high school record, standardized testing and community service. These awards are given to incoming first-year students and will cover the next four years. The scholarships can range from $10,000 to full tuition. Eligibility for these awards is decided by the admissions committee.</t>
  </si>
  <si>
    <t>University of Miami</t>
  </si>
  <si>
    <t>Overall Academic Performance; In-Person Competition</t>
  </si>
  <si>
    <t>Each year, the University of Miami selects a small group of exceptional and academically accomplished high school students to receive the Isaac Bashevis Singer Scholarship — one of the University's most selective and prestigious academic scholarship awards.</t>
  </si>
  <si>
    <t>SAT Math 610-700
SAT Critical Reading 590-690 
SAT Writing 580-680</t>
  </si>
  <si>
    <t>3.60 (based on weighted GPAs)</t>
  </si>
  <si>
    <t>Full Ride plus</t>
  </si>
  <si>
    <t>Each year, the University of Miami selects exceptional and academically accomplished high school students to become Stamps Leadership Scholars and receive the Stamps Leadership Scholarship—the University's most selective and prestigious academic scholarship award.</t>
  </si>
  <si>
    <t>Minority status; overall academic performance; in-person competition</t>
  </si>
  <si>
    <t>The University of Miami established the Hammond Scholarship to honor the legacy of the University’s first director of minority affairs. The full-tuition scholarship recognizes outstanding high school seniors from across the country who have demonstrated academic excellence, a commitment to their personal goals, and have aspirations of continuing their academic pursuits through graduate education.</t>
  </si>
  <si>
    <t>University of South Florida</t>
  </si>
  <si>
    <t>Pubic</t>
  </si>
  <si>
    <t>To be considered for merit-based scholarships such as USF Presidential Award from the Office of Admissions, students must submit a complete admissions application by January 15. This scholarship could be stacked with USF Tradition of Excellence Awards, USF Honors College Scholarship, USF History of Achievement Award and USF Ventures Scholars Award.</t>
  </si>
  <si>
    <t>$6,410 in-state
$17,325 out-of-state</t>
  </si>
  <si>
    <t>23-25</t>
  </si>
  <si>
    <t>SAT Math 540-567
SAT Critical Reading 530-557 
SAT Writing 510-537</t>
  </si>
  <si>
    <t>N/A</t>
  </si>
  <si>
    <t>University of Tampa</t>
  </si>
  <si>
    <t>Army / Air Force / Navy ROTC Scholarships
Award amount: up to the cost of tuition, fees and average room and board eligibility:
Must complete the FAFSA
UT room and board grants pay for the lesser of the average room and board rates or a student's actual charges
UT room and board grants are reduced by federal or state scholarships and grants received</t>
  </si>
  <si>
    <t xml:space="preserve">SAT Math - 500-590 SAT Critical Reading - 490-580
SAT Writing- 480-570 </t>
  </si>
  <si>
    <t>GA</t>
  </si>
  <si>
    <t>Agnes Scott College</t>
  </si>
  <si>
    <t>Preference to Hispanic/Latina women; overall academic performance</t>
  </si>
  <si>
    <t>Agnes Scott offers one Goizueta Foundation Scholarship each year, covering full tuition, room and board (with a four-year value currently around $192,000). Strong preference is given to Hispanic/Latina women who have excelled in academics, leadership, character and personal achievement and who also demonstrate ﬁnancial need.</t>
  </si>
  <si>
    <t>SAT Math: 510-640
SAT Writing: 550-670
SAT Critical Reading: 550-690</t>
  </si>
  <si>
    <t>Overall academic performance; leadership</t>
  </si>
  <si>
    <t>Marvin B. Perry Presidential Scholarships
Each year, our top first-year applicants interview for this prestigious scholarship, which awards full tuition, room and board for up to four years of study (currently a $174,000 value). Students chosen as Agnes Scott Presidential Scholars have excelled in academics, leadership, character and personal achievement.</t>
  </si>
  <si>
    <t>Albany State University</t>
  </si>
  <si>
    <t>Class Rank; Test Scores</t>
  </si>
  <si>
    <t xml:space="preserve">THE PRESIDENTIAL SCHOLARSHIP
The Albany State University Foundation recognizes Presidential Scholars each academic year, granting an award which may be up to the student's cost of attendance. A Presidential Scholar must rank in the upper five percent of his/her graduating high school class and must have a competitive SAT/ACT score.  In addition to SAT/ACT requirements, valedictorians and salutatorians will be considered. Additionally, applicants will need three letters of recommendation and a 500 word essay. The Application deadline is April 20th of each year. </t>
  </si>
  <si>
    <t>http://asu-sacs.asurams.edu/ASUCatalog/Undergraduate/.%5Casu%5Cfinancial-scholarship.html#_Toc303368532</t>
  </si>
  <si>
    <t>In-state: $6,460
Out-of-state: $19,280</t>
  </si>
  <si>
    <t>17-20</t>
  </si>
  <si>
    <t>SAT Math: 410-488
SAT Critical Reading: 430-488
SAT Writing: Not Reported</t>
  </si>
  <si>
    <t>Emory University</t>
  </si>
  <si>
    <t>Overall academic performance; leadership; character</t>
  </si>
  <si>
    <t>Robert W. Woodruff Scholars are young men and women who demonstrate qualities of forceful and unselfish character, intellectual and personal vigor, outstanding academic achievement, impressive skills in communication, significant leadership and creativity in school or community, and clear potential for enriching the lives of their contemporaries at Emory University. The Robert W. Woodruff Scholarship is awarded each year and is renewable for up to a total of eight regular academic semesters (fall and spring) of undergraduate study at Emory College of Arts and Sciences. The scholarship includes full tuition, fees, and on-campus room and board.</t>
  </si>
  <si>
    <t>SAT Math 650-770
SAT Critical Reading 620-720
SAT Writing 640-730</t>
  </si>
  <si>
    <t>Georgia Institute of Technology</t>
  </si>
  <si>
    <t>Up to full ride</t>
  </si>
  <si>
    <t>Stamps President's Scholarship Program - Georgia Tech’s prestigious four-year, full President’s Scholarship, est. 1981, is offered annually to the top one percent of first-year students. Recipients are selected based upon holistic excellence and potential within the program’s pillars: Scholarship, Leadership, Progress, and Service. Approximately 40 total students will be awarded (20 Georgians and 20 residents of other states.</t>
  </si>
  <si>
    <t xml:space="preserve"> In-state: $12,212
Out-of-state: $32,404</t>
  </si>
  <si>
    <t>SAT Math 680-770
SAT Critical Reading 630-730 
SAT Writing 640-730</t>
  </si>
  <si>
    <t>Hispanic/Latino heritage; overall academic performance; leadership</t>
  </si>
  <si>
    <t>The Goizueta Foundation Scholars Fund at Georgia Tech was made possible by The Goizueta Foundation, established by Roberto C. Goizueta, the late CEO and chairman of the board of directors of The Coca-Cola Company. The scholarship is designed to increase the number of students of Hispanic/Latino origin who enroll at Georgia Tech to pursue their undergraduate degrees.</t>
  </si>
  <si>
    <t>http://www.hispanicoffice.gatech.edu/programs/the-goizueta-foundation-scholars-fund</t>
  </si>
  <si>
    <t>Georgia Southern University</t>
  </si>
  <si>
    <t>Talented and motivated high school students seeking a higher level of challenge and support in college are encouraged to apply to the University Honors Program. Admission to the program is very competitive and meeting the numerical guidelines does not guarantee acceptance. 1906 Scholarships are awarded to students who are admitted to University Honors Program and possessing a record of academic and co-curricular achievement and community involvement. Personal interview required</t>
  </si>
  <si>
    <t>$7,318 in-state
$20,536 out-of-state</t>
  </si>
  <si>
    <t>21-25</t>
  </si>
  <si>
    <t>SAT Math 510-590
SAT Critical Reading 520-590 
SAT Writing 480-570</t>
  </si>
  <si>
    <t>Georgia State University</t>
  </si>
  <si>
    <t>The Presidential Scholarship provides the following benefits each semester for eight semesters: 1) Cost of tuition and fees (through HOPE for GA residents), 2) Cost of housing in a 4 bedroom/2 bath unit in the University Commons, and 3) $1000 living expense stipend. In addition, students receive a one-time $2500 stipend for credit-bearing study abroad expenses, and eligibility for a University Assistantship, a work option to earn an additional $1250/semester.</t>
  </si>
  <si>
    <t>$10,686 in-state
$28,896 out-of-state</t>
  </si>
  <si>
    <t>SAT Math 470-580
SAT Critical Reading 480-580 
SAT Writing not reported</t>
  </si>
  <si>
    <t>The Goizueta Foundation Scholars Fund award at Georgia State is made possible by The Goizueta Foundation, established by Roberto C. Goizueta, the late CEO and chairman of the board of directors of The Coca-Cola Company. The scholarship is designed to increase the number of students of Hispanic/Latino origin who enroll and complete their undergraduate degrees at Georgia State and provide mentors, internships and community service experiences to these students so that they can become the leaders of the future. Eligibility Requirements:
Demonstrated leadership and service to the Hispanic/Latino community
Must be a student applying as a freshman
Must be of Hispanic/Latino heritage
Must have completed FAFSA (Free Application for Federal Student Aid) by April 1
Evaluation Criteria:
Leadership
Community Service
Extracurricular, school and community-related activities/participation
Financial Need
High School GPA
The Goizueta Foundation Scholarship Essay
SAT or ACT scores
Personal Resume</t>
  </si>
  <si>
    <t>LaGrange College</t>
  </si>
  <si>
    <t>THE PRESIDENTIAL SCHOLARSHIP 
Full Tuition, Fees, Room and Board 
Selected by a panel of judges. Two Presidential Scholarships will be awarded annually, and contestants will be chosen from among the most academically gifted applicants for admission. New, first-year students admitted by January 15 who qualify for a Fellows Scholarship may be invited to compete for a Presidential Scholarship</t>
  </si>
  <si>
    <t>SAT Math - 440-550
SAT Critical Reading - 450-545
SAT Writing - 428-520</t>
  </si>
  <si>
    <t>Mercer University</t>
  </si>
  <si>
    <t>Overall Academic Performance;Leadership</t>
  </si>
  <si>
    <t>Mercer University is a selected partner institution of the prestigious Stamps Leadership Scholars Program, funded by the Stamps Family Charitable Foundation, Inc. Each year, Mercer selects five members from the freshman class as the university’s incoming Stamps Leadership Scholars. These students are among the highest achieving applicants in the University’s entering class. 
The Stamps Leadership Scholars Program emphasizes the students’ initiative, from engaging in philanthropic efforts worldwide to conducting research and demonstrating a passion for improving local communities. Mercer's Stamps Leadership Scholars embody both academic achievement and effective leadership.</t>
  </si>
  <si>
    <t>SAT Math 560-660
SAT Critical Reading 550-650
SAT Writing 530-625</t>
  </si>
  <si>
    <t>Morehouse College</t>
  </si>
  <si>
    <t>Overall Academic Performance; leadership</t>
  </si>
  <si>
    <t>Morehouse College is honored to offer the Stamps Leadership Scholarships to exceptional students. Funded by the Stamps Family Charitable Foundation, Inc., the Stamps Leadership Scholars Program at Morehouse College will benefit exemplary students with at least a 3.7 grade-point-average. The first group of students was awarded during the 2013-2014 academic school year. Awardees selected annually will receive full-ride scholarships valued at approximately $200,000 each. The program will grow by about five new scholarships annually. Students in the program also will have access to an enrichment fund of $10,000 each to support study abroad trips, undergraduate research trips, unpaid internships and academic or co-curricular conferences.</t>
  </si>
  <si>
    <t>SAT Math 430-550
SAT Critical Reading 440-550 
SAT Writing 410-520</t>
  </si>
  <si>
    <t>Oglethorpe University</t>
  </si>
  <si>
    <t>Service; leadership</t>
  </si>
  <si>
    <t>Civic Engagement Scholarship
The Civic Engagement Scholarship is a four-year, full-tuition award that recognizes high school seniors who have demonstrated a deep commitment to service and leadership in their communities as well as the promise of continued exemplary service at Oglethorpe and in Atlanta. Candidates must be invited to and participate in the Civic Engagement competition at Scholarship Weekend. In conjunction with Oglethorpe’s Center for Civic Engagement, these scholars are at the forefront of leadership and service initiatives both on and off campus, and they seek to understand the connections between their academic pursuits and the forces and resources in society around them. In addition to the full-tuition award, Civic Engagement Scholars enrolling Fall 2009 or after complete a 60-hour-per-semester volunteer placement arranged through the Center for Civic Engagement and a stipend for an internship at a nonprofit organization of the student’s choice; as well as an invitation to enroll in an exploratory Honors seminar during the first semester and eligibility for a research stipend for a senior Honors thesis. Up to three Civic Engagement scholarships are awarded annually.</t>
  </si>
  <si>
    <t>SAT Math: 510-610
SAT Writing: 500-610 SAT Critical Reading: 530-630</t>
  </si>
  <si>
    <t>Full tuition plus</t>
  </si>
  <si>
    <t>James Edward Oglethorpe (JEO) Scholarship
The James Edward Oglethorpe (JEO) Scholarship is a four-year, full-tuition award that recognizes high school seniors with an outstanding record of academic achievement and great potential to contribute to the community life of Oglethorpe University. Candidates must be invited to and attend the JEO competition at Scholarship Weekend. In addition to the full-tuition award, JEO Scholars receive a stipend in support of a summer study abroad course, as well as an invitation to enroll in an exploratory Honors seminar during the first semester and eligibility for a research stipend for a senior Honors thesis. Up to five JEO scholarships are awarded annually.</t>
  </si>
  <si>
    <t>Theatre talent; Invitation to participate in on-campus competition</t>
  </si>
  <si>
    <t>OU Theatre Scholarship
The OU Theatre Scholarship is a four-year, full-tuition award that recognizes high school seniors who demonstrate a commitment to performing and understanding theatre. Candidates must be invited to and participate in the OU Theatre competition at Scholarship Weekend. Through their application materials, nominees will have indicated promise in the field of theatre and performance as well as the critical ability to tie these pursuits to disciplines such as literature and history. In addition to the full-tuition award, OU Theatre Scholars receive an internship with our professional theatre partner company during the recipient’s junior year at Oglethorpe, as well as an invitation to enroll in an exploratory Honors seminar during the first semester and eligibility for a research stipend for a senior Honors thesis. Continued dedication to theatre at Oglethorpe is expected, including a major or double-major in theatre. Candidates will also receive a study abroad stipend for a summer course as designated by the department. Up to two OU Theatre scholarships are awarded annually.</t>
  </si>
  <si>
    <t>Point University</t>
  </si>
  <si>
    <t>In state</t>
  </si>
  <si>
    <t>FOUNDERS SCHOLARSHIP - This scholarship covers all tuition and fees and is available for five students each year. The Founder’s Scholarship is renewable based on a 3.5 cumulative GPA at Point.</t>
  </si>
  <si>
    <t>SAT Math - 410-500 
SAT Critical Reading - 400-510 
SAT Writing - Not reported</t>
  </si>
  <si>
    <t>Spelman College</t>
  </si>
  <si>
    <t>GPA/Test Scores; service</t>
  </si>
  <si>
    <t>Dean’s Scholarship
The Dean’s Scholarship covers tuition only.</t>
  </si>
  <si>
    <t>20-23</t>
  </si>
  <si>
    <t>SAT Math: 450-550
SAT Writing: 450-550 SAT Critical Reading: 470-570</t>
  </si>
  <si>
    <t>Presidential Scholarship
The Presidential Scholarship is a renewable scholarship that covers tuition, fees and on campus room and board.</t>
  </si>
  <si>
    <t>Wesleyan College</t>
  </si>
  <si>
    <t>GPA/Test Scores; Overall Academic Performance; Interest in Research</t>
  </si>
  <si>
    <t>Lane Scholars Program - provides three full-tuition scholarships annually to academically superior first-year applicants for admission whose intended major is in the area of fine arts. Eligible candidates must possess strong academic credentials, and demonstrate their interest and ability to engage in research. Requirements: minimum 1080 SAT (combined math and critical reading) or 21 ACT composite, and 3.0 GPA</t>
  </si>
  <si>
    <t>SAT Math: 425-550 
SAT Writing: 440-515 SAT Critical Reading: 445-560</t>
  </si>
  <si>
    <t>GPA/Test Scores; Overall Academic Performance; Major in Humanities or Social Science</t>
  </si>
  <si>
    <r>
      <rPr>
        <sz val="12"/>
        <color rgb="FF000000"/>
        <rFont val="Work_sans_mediumregular"/>
      </rPr>
      <t xml:space="preserve">Findlay Scholars Program - </t>
    </r>
    <r>
      <rPr>
        <sz val="12"/>
        <color rgb="FF000000"/>
        <rFont val="Arial"/>
      </rPr>
      <t> provides two full-tuition scholarships annually to academically superior first-year applicants for admission who intend to declare a major in either the humanities or social sciences. Requirements: minimum 1120-1270 SAT (combined math and critical reading) or 23 ACT composite, and 3.30-3.49 GPA</t>
    </r>
  </si>
  <si>
    <t>GPA/Test Scores; Overall Academic Performance; Major in Science, Math or Engineering</t>
  </si>
  <si>
    <r>
      <rPr>
        <sz val="12"/>
        <color rgb="FF000000"/>
        <rFont val="Work_sans_mediumregular"/>
      </rPr>
      <t xml:space="preserve">Munroe Scholars Program - </t>
    </r>
    <r>
      <rPr>
        <sz val="12"/>
        <color rgb="FF000000"/>
        <rFont val="Arial"/>
      </rPr>
      <t> provides two full-tuition scholarships annually to academically superior first-year applicants for admission with interests in the sciences, mathematics, or dual-degree engineering. Preference is given to students who demonstrate particular promise in scientific inquiry or research. Recipients also are eligible for research stipends of up to $1,000 during their junior and senior years. Requirements: minimum 1360 SAT (combined math and critical reading) or 29 ACT composite, and 3.25 GPA or 1270 SAT (combined math and critical reading) or 27 ACT composite, and 3.5 GPA</t>
    </r>
  </si>
  <si>
    <t>Active member of United Methodist Church; GPA/Test Scores</t>
  </si>
  <si>
    <r>
      <t>The Margaret Pitts Endowed Scholarship for Methodist Students</t>
    </r>
    <r>
      <rPr>
        <sz val="12"/>
        <color rgb="FF000000"/>
        <rFont val="Arial"/>
      </rPr>
      <t> - provides full-tuition scholarships annually to one first year applicant for admission who is an active members of the United Methodist Church, and who demonstrates outstanding academic achievement along with commitment to faith, leadership, and community service. Requirements: minimum 1080 SAT (combined math and critical reading) or 21 ACT composite, and 3.0 GPA</t>
    </r>
  </si>
  <si>
    <r>
      <rPr>
        <sz val="11"/>
        <color rgb="FF000000"/>
        <rFont val="Calibri"/>
      </rPr>
      <t>The Wesleyan College Global Scholars Program</t>
    </r>
    <r>
      <rPr>
        <sz val="11"/>
        <color rgb="FF000000"/>
        <rFont val="Calibri"/>
      </rPr>
      <t> (WCGSP) - seeks qualified high school graduates from all across America who are eager to participate in a full-tuition scholarship program that prepares them to meet the challenges of an interconnected world and global economy. After successful completion of their sophomore year, Wesleyan Global Scholars receive up to $3,500 for an international study experience. Requirements: Must be a first-year student and U.S. citizen. Minimum 1150 SAT (combined math and critical reading) or 26 ACT composite, and 3.6 GPA</t>
    </r>
  </si>
  <si>
    <t xml:space="preserve">GA </t>
  </si>
  <si>
    <t>University of Georgia</t>
  </si>
  <si>
    <t>GPA/Test Scores; leadership; overall academic performance</t>
  </si>
  <si>
    <t xml:space="preserve">Foundation Fellowship
Typically 18-22 new student awards
Minimum academic GPA of 3.9 (unweighted) to apply 
Minimum combined SAT I score of 2110, new SAT (SAT-R) score of 1470 or ACT score of 32 to apply
A record of strong academic achievement and a history of accomplishment and leadership in co-curricular activities
</t>
  </si>
  <si>
    <t>https://www.admissions.uga.edu/prospective-students/tuition-fees/scholarships</t>
  </si>
  <si>
    <t>In-state: $11,634
Out-of-state: $29,844</t>
  </si>
  <si>
    <t>SAT Math 580-670
SAT Critical Reading 570-660 
SAT Writing 560-660</t>
  </si>
  <si>
    <t xml:space="preserve">Bernard Ramsey Honors Scholarship
Typically 25-30 new student awards
Minimum academic GPA of 3.9 (unweighted) to apply
Minimum combined SAT I score of 2110, new SAT (SAT-R) score of 1470 or ACT score of 32 to apply
A record of strong academic achievement and a history of accomplishment and leadership in co-curricular activities.
Only students who have applied for the Foundation Fellowship will be considered for the Bernard Ramsey Honors Scholarships
</t>
  </si>
  <si>
    <t>HI</t>
  </si>
  <si>
    <t>University of Hawaii--Manoa</t>
  </si>
  <si>
    <t>GPA/Test Scores; Extracurricular achievements</t>
  </si>
  <si>
    <t>Regents Scholars receive a full-time tuition waiver for four years of undergraduate study. All scholars receive $4,000 a year (stipend) and a one-time travel grant of $2,000. The Regents Scholarships are awarded tobona fide Hawaii resident freshmen who receive an SAT  score of at least 1380 or ACT combined score of at least 29, maintain at least a 3.5 GPA in academic subjects in high school, and whose extracurricular achievements are shown to be remarkable.</t>
  </si>
  <si>
    <t>http://www.hawaii.edu/fas/info/nws.php</t>
  </si>
  <si>
    <t>In-state: $11,732
Out-of-state: $33,764</t>
  </si>
  <si>
    <t>SAT Math 500-610
SAT Critical Reading 480-580 
SAT Writing 470-570</t>
  </si>
  <si>
    <t>IA</t>
  </si>
  <si>
    <t>Briar Cliff University</t>
  </si>
  <si>
    <t>GPA/Test Scores; leadership; on-campus interview</t>
  </si>
  <si>
    <t>Presidential Scholarship
AMOUNT: Full tuition
REQUIREMENTS: Minimum 26 ACT or 1170 SAT (critical reading and mathematics combined), cumulative GPA of 3.75 (on 4.0 scale) and demonstrated leadership.
INTERVIEW: Required 
RENEWABLE: Yes (recipients must remain full-time students, live on campus and maintain a 3.0 GPA)
DEADLINE TO APPLY: Jan. 30</t>
  </si>
  <si>
    <t>https://www.briarcliff.edu/financial-aid/types-of-financial-aid/</t>
  </si>
  <si>
    <t>19-23</t>
  </si>
  <si>
    <t>SAT Math - 430-520 
SAT Critical Reading - 410-500 SAT Writing - Not Reported</t>
  </si>
  <si>
    <t>Central College</t>
  </si>
  <si>
    <t>GPA/Test Scores; On-Campus Competition</t>
  </si>
  <si>
    <t>Full-tuition Kuyper scholarships
These scholarships are the most prestigious awards granted at Central. Scholarship recipients will be selected from among those participating in Central’s Academic Scholar Days.</t>
  </si>
  <si>
    <t>SAT Math: 470-600 SAT Critical Reading: 410-560 SAT Writing: Not Reported</t>
  </si>
  <si>
    <t>Coe College</t>
  </si>
  <si>
    <t>$18,000 to full tuition</t>
  </si>
  <si>
    <t>Full tuition awarded to National Merit and National Achievement Finalists if Coe is listed as first choice of schools with National Merit Scholarship Corporation by May 1 of the senior year. $18,000 award for National Merit and National Achievement Semifinalists. Finalists must maintain a Satisfactory Academic Progress for annual renewal.</t>
  </si>
  <si>
    <t>SAT Math: 495-640 SAT Critical Reading: 515-625
SAT Writing: 520-608</t>
  </si>
  <si>
    <t>Cornell College</t>
  </si>
  <si>
    <t xml:space="preserve">King Scholarship: Full tuition
</t>
  </si>
  <si>
    <t>https://www.cornellcollege.edu/financial-assistance/scholarships-awards/king-scholarship.shtml#King Scholarship</t>
  </si>
  <si>
    <t>23-30</t>
  </si>
  <si>
    <t>SAT Math: 520-650 
SAT Critical Reading: 520-670 
SAT Writing: 490-640</t>
  </si>
  <si>
    <t>Drake University</t>
  </si>
  <si>
    <t>GPA/Test Scores; Overall Academic Performance; Leadership</t>
  </si>
  <si>
    <t xml:space="preserve">National Alumni Scholarships 
Whether an applicant is related to a Drake alumna/alumnus has no bearing on selection. 
The National Alumni Scholarship awards the following annually:
    2 Full Ride (tuition, room, and board) Alumni Scholarships
    3 Full Tuition George Carpenter Scholarships
    All students who fulfill all qualifications, and participate in one of the two National Alumni Scholarship Days, will receive a $3,000 Trustee Scholarship. 
</t>
  </si>
  <si>
    <t>http://www.drake.edu/admission/first-yearstudents/costsfinancialaid/scholarships/nationalalumni/</t>
  </si>
  <si>
    <t>SAT Math: 550-690 SAT Critical Reading: 520-670 SAT Writing:	Not reported</t>
  </si>
  <si>
    <t>Graceland University</t>
  </si>
  <si>
    <t>Prestigious Honors Scholarship 
Up to full tuition 
Entering freshman 
Minimum GPA of 3.75 
Minimum ACT/SAT composite score: 
ACT - 27; SAT - 1210 
Join the Honors Program and remain in good standing. 
Candidates meeting the evaluation criteria will be invited to campus for an interview on Academic Honors Day. 3 students will be awarded the Prestigious Honors Scholarship renewable for up to 4 years.</t>
  </si>
  <si>
    <t>SAT Math - 410-490 
SAT Critical Reading - 370-450 
SAT Writing - Not reported</t>
  </si>
  <si>
    <t>Grand View University</t>
  </si>
  <si>
    <t>In-State Immigrant or Child of Immigrants</t>
  </si>
  <si>
    <t>GPA; immigrant status</t>
  </si>
  <si>
    <t>Immigrant Iowan Scholarship
For an incoming freshman who was born outside the US or whose parents are immigrants, is not here on a student visa, and is graduating from an Iowa high school with a GPA of 3.0 of better. Must apply by February 1 and submit an essay and recommendation. Full tuition and fees plus room charges if the student lives on campus. Renewable for four years with a 2.5 GPA and fulfillment of service requirements (see application.)</t>
  </si>
  <si>
    <t>SAT Math: 400-540
SAT Critical Reading: 380-580 SAT Writing: 340-570</t>
  </si>
  <si>
    <t>Grinnell College</t>
  </si>
  <si>
    <t>Overall Academic Performance; Leadership; Extra-Curricular Involvement</t>
  </si>
  <si>
    <t>President's Scholarship - $50,000 per year; Scholarships are awarded on a holistic basis during the admission process, taking into account each student’s academic achievement, extracurricular involvement, demonstrated leadership, and/or special talents. As a result, scholarships are awarded in the same way to students who are admitted in early decision and regular decision. All scholarships are renewed each year for four years of study provided the student maintains a cumulative GPA of at least 2.75.</t>
  </si>
  <si>
    <t>SAT Math: 660-770
SAT Critical Reading: 640-740
SAT Writing: Not Reported</t>
  </si>
  <si>
    <t>Iowa State University</t>
  </si>
  <si>
    <t>US Ethnic Minority</t>
  </si>
  <si>
    <t>GPA/Test Scores; Minority or Multi-Racial Status</t>
  </si>
  <si>
    <t>One hundred full-tuition scholarships are awarded to incoming US ethnic minority freshmen directly out of high school as part of the George Washington Carver (GWC) Scholarship program. To be considered, students must rank in the upper 25 percent of their high school class AND have a 3.50 grade point average AND present a minimum ACT composite score of 24 or minimum SAT score of 1100 (Critical Reading plus Math) if SAT was taken before March, 2016 or minimum SAT score of 1160 (Evidence-based Reading and Writing plus Math) if SAT was taken in March, 2016, or later. Eligible students must identify as American Indian or Alaskan Native, African American, Asian American, Native Hawaiian or other Pacific Islander, Hispanic or Latino/a, or Multi-Racial on the application for undergraduate admission.</t>
  </si>
  <si>
    <t>http://financialaid.iastate.edu/scholarships/universitywide/view.php?id=398</t>
  </si>
  <si>
    <t>In-state: $8,219
Out-of-state: $21,583</t>
  </si>
  <si>
    <t>SAT Math: 500-640 
SAT Critical Reading: 460-620 
SAT Writing: Not Reported</t>
  </si>
  <si>
    <t>Loras College</t>
  </si>
  <si>
    <t xml:space="preserve">Loras Competitive Scholarships - 3 Full Tuition Scholarships </t>
  </si>
  <si>
    <t>SAT Math: 460-570 SAT Critical Reading: 460-540 SAT Writing: Not Reported</t>
  </si>
  <si>
    <t>Mount Mercy University</t>
  </si>
  <si>
    <t xml:space="preserve">Sister Mary Ildephonse Holland Scholarship | Full Tuition
Open to incoming freshmen students only.
Requires minimum 27 ACT Composite and 3.7 Cumulative GPA
</t>
  </si>
  <si>
    <t>SAT Math: Not reported
SAT Critical Reading: Not reported
SAT Writing: Not reported</t>
  </si>
  <si>
    <t>Simpson College</t>
  </si>
  <si>
    <t>3/4 to full tuition</t>
  </si>
  <si>
    <t>Overall Academic Performance; Service; Leadership</t>
  </si>
  <si>
    <t>The Carver Fellowship is named in honor of George Washington Carver, who attended Simpson College. It is one of the most prestigious academic awards offered by Simpson College. The Carver Fellowship ranges from 3/4 to full tuition. This scholarship is awarded to outstanding freshman and transfer students from distinctive and broadly diverse backgrounds, who exhibit potential for leadership, evidence of service and contribution to community and superior academic achievement in secondary school. The Carver Fellowship is renewable with a Simpson College cumulative GPA of 2.25 up to and including 61 completed hours. Above 61 completed hours a cumulative GPA of 2.50 must be maintained.</t>
  </si>
  <si>
    <t>$20,000 to full tuition</t>
  </si>
  <si>
    <t>The Cowles Fellowship is one of the most prestigious academic awards offered by Simpson College. Cowles Fellowships range from $20,000 to full tuition. In addition, Cowles Fellows will receive a travel stipend to be used for international/domestic travel or internship study to enhance the student’s educational experience. It is awarded only to full-time students entering their freshman year. Candidates must possess extraordinary academic ability and potential as evidenced by high school performance, including standardized test scores. Leadership skills and participation in high school or community activities will be given strong consideration. The Cowles Fellowship is renewable with a Simpson College cumulative GPA of 2.25 up to and including 61 completed hours. Above 61 completed hours, a cumulative GPA of 2.50 must be maintained.</t>
  </si>
  <si>
    <t>Half to full tuition</t>
  </si>
  <si>
    <t>Trustee Scholarship Awarded to high school seniors ranking first in their graduating classes at the time of application.Trustee Scholarships range from 1/2 to full tuition. This is a competitive scholarship with strong consideration given to the candidate’s leadership skills and high school performance, including test scores. The Trustee Scholarship is renewable with a Simpson College cumulative GPA of 2.25 up to and including 61 completed hours. Above 61 completed hours, a cumulative GPA of 2.50 must be maintained.</t>
  </si>
  <si>
    <t>St. Ambrose University</t>
  </si>
  <si>
    <t>Ambrose Scholar
For First Year, on-campus residents only. Straight As on high school transcript and a minimum 30 ACT score. Applicants who meet Ambrose Scholar criteria will be invited to compete for a full tuition scholarship.</t>
  </si>
  <si>
    <t>University of Iowa</t>
  </si>
  <si>
    <t>Chemistry or Physics Major; GPA/Test Scores</t>
  </si>
  <si>
    <t>Shoemaker-Strickler Memorial Scholarship: Two awards for incoming first-year students who are Iowa residents majoring in chemistry or physics. Minimum Requirements: 30 ACT (or a combined SAT critical reading and math score of 1330) AND a 3.80 GPA on a 4.00 scale</t>
  </si>
  <si>
    <t>In-state: $8,325
Out-of-state: $28,413</t>
  </si>
  <si>
    <t>SAT Math: 540-700
SAT Critical Reading: 460-620
SAT Writing: 480-610</t>
  </si>
  <si>
    <r>
      <t xml:space="preserve">The Presidential Scholarship for incoming first-year students is a non-stackable scholarship is offered to Iowa and non Iowa residents alike. Renewable for an additional three years or until you receive your bachelor’s degree (whichever comes first) provided you maintain continuous full-time enrollment each semester and a 3.33 cumulative University of Iowa grade-point average.Value:
Iowa residents: Up to $74,000 (up to $18,500 a year up to four years)
Nonresidents: Up to $80,000 (up to $20,000 a year up to four years)
</t>
    </r>
    <r>
      <rPr>
        <b/>
        <sz val="11"/>
        <color rgb="FFFF0000"/>
        <rFont val="Calibri"/>
      </rPr>
      <t>Specific required GPA/Test Scores to be announced in early Fall 2017 for 2018 admissions</t>
    </r>
  </si>
  <si>
    <t xml:space="preserve">Iowa Flagship Award
For incoming first-year students (non-stackable)
Value:
Iowa residents: $34,000 ($8,500 a year up to four years)
</t>
  </si>
  <si>
    <t>University of Northern Iowa</t>
  </si>
  <si>
    <t>Education Major; Test Scores</t>
  </si>
  <si>
    <t>Benjamin J. Allen Teacher Education Scholar
Awards
Up to in-state tuition
• Plan to major in one of the COE degree programs
• Minimum ACT of 26
• Iowa resident</t>
  </si>
  <si>
    <t>In-state: $8,309
Out-of-state: $18,851</t>
  </si>
  <si>
    <t>Wartburg College</t>
  </si>
  <si>
    <t>Preference for Waterloo/Cedar Falls, Iowa Area</t>
  </si>
  <si>
    <t>GPA/Recommendation</t>
  </si>
  <si>
    <t>McElroy Scholarship / Slife Scholarship full tuition
For first-year underrepresented students, based on recommendation and grade point average. Preference to students from the Waterloo/Cedar Falls, Iowa, area. Renewable based on academic performance. Recipients are required to live on campus.</t>
  </si>
  <si>
    <t>SAT Math: 505-650 
SAT Critical Reading: 428-620 SAT Writing: 440-583</t>
  </si>
  <si>
    <t>ID</t>
  </si>
  <si>
    <t>Brigham Young University—​Idaho</t>
  </si>
  <si>
    <t>Academic Scholarships for Freshmen</t>
  </si>
  <si>
    <t>http://www.byui.edu/financial-aid/aid-available/scholarships</t>
  </si>
  <si>
    <t>SAT Math - 480-580 SAT Critical Reading - 470-570 SAT Writing - Not reported</t>
  </si>
  <si>
    <t>University of Idaho</t>
  </si>
  <si>
    <t>The Idaho National Merit Scholar program guarantees a full-ride scholarship that covers university-defined educational costs for basic tuition and fees, room and board in a UI residence hall for four years.</t>
  </si>
  <si>
    <t>In-state: $7,232
Out-of-state: $22,040</t>
  </si>
  <si>
    <t>SAT Math: 470-580
SAT Critical Reading: 470-590
SAT Writing: 440-560</t>
  </si>
  <si>
    <t>IL</t>
  </si>
  <si>
    <t>Chicago State University</t>
  </si>
  <si>
    <t>Limited</t>
  </si>
  <si>
    <t>The Presidential Scholars Program recruits academically talented students who have demonstrated leadership ability, maintained a 3.35 cumulative grade point average and an ACT score of 20 and higher. A limited number of tuition awards are available to incoming freshman. Awards are also available to sophomores, juniors and college transfer students. Student’s must be seeking their first–time bachelor’s degree and enrolled in the university as a full–time student. Applicants are required to apply for state and federal financial aid, but financial need is not a requirement for receipt of this award.
The Presidential Scholars Program provides a caring and supportive environment that encourages academic leadership and professional development. Students in the Presidential Scholars Program are committed to academic excellence and participate in a variety of enrichment opportunities.
Presidential Scholars must volunteer 30 hours of community service each semester, attend monthly academic, professional and cultural workshops or seminars and participate in Presidential Scholar’s meetings each semester.</t>
  </si>
  <si>
    <t>In-state: $12,016
Out-of-state: $20,716</t>
  </si>
  <si>
    <t>Concordia University Chicago</t>
  </si>
  <si>
    <t>President's Honor Scholar Award: $30,656 
Requirements: Full tuition award up to 18 credits per semester, participate in Honors Program at CUC and maintain annual GPA of 3.75 at CUC</t>
  </si>
  <si>
    <t>SAT Math - 470-590 SAT Critical Reading - 450-550
SAT Writing - Not reported</t>
  </si>
  <si>
    <t>Eastern Illinois University</t>
  </si>
  <si>
    <t>Presidential Scholars — awarded to incoming Freshman. 
Criteria: Application and interview process, minimum requirements are a 28 ACT and 3.75 or a 30 ACT and a 3.5 GPA. The award is for 4 years, provided students maintain a 3.4 GPA and remain in good standing in the Honors College. 
Amount: Full tuition and fees (up to 15 hours) for 8 semesters</t>
  </si>
  <si>
    <t>In-state: $11,288
Out-of-state: $13,448</t>
  </si>
  <si>
    <t>Pemberton Presidential Scholars Award *Approximate Award Amount of $20,000 Selected recipients will receive on-campus room and board (approximately $9,000 per year) and tuition and fees (up to $11,000 per year) for a total of four years. Generally, a student cannot receive a combination of federal, state, and institutional aid that exceeds the cost of attendance. 
Must have 31 ACT, 3.75 GPA, 
Must maintain 3.40 GPA for renewal 
automatically renewable as long as the recipient maintains full-time consecutive enrollment in both fall and spring semesters, maintain good standing with the university, and specific GPA requirements. 
-may not be combined with the Commitment to Excellence Scholarship or Honors Award.</t>
  </si>
  <si>
    <t>Eureka College</t>
  </si>
  <si>
    <t>Ronald Reagan Fellowship - Six Reagan Fellows are named each year, chosen for their scholarly abilities, leadership accomplishments, and commitment to service.</t>
  </si>
  <si>
    <t>18-29</t>
  </si>
  <si>
    <t>SAT Math: 410-510 SAT Critical Reading: 430-660 SAT Writing: 420-570</t>
  </si>
  <si>
    <t>Illinois College</t>
  </si>
  <si>
    <t>Trustee Scholarship - Full Tuition 
This four-year, or eight semesters, honor is bestowed upon five exceptional first-time freshmen each year.
Recipients will be selected from among the top 10 percent of the year’s applicant pool and will be invited to interview on campus in February. The selection committee will consider all students with outstanding academic records, strong admission essays and evidence of leadership and active involvement in their school, church and community.</t>
  </si>
  <si>
    <t>SAT Math: 430-630
SAT Critical Reading: 430-530 SAT Writing: 400-550</t>
  </si>
  <si>
    <t>Illinois Institute of Technology</t>
  </si>
  <si>
    <t>Overall Academic Performance; Extra-Curriculars; Leadership</t>
  </si>
  <si>
    <t>Candidates competing for the Camras Scholars Program, one of IIT's highest undergraduate academic honors, satisfy very high selection standards. Students must demonstrate outstanding academics, involvement in extracurricular activities and dedication to leadership.</t>
  </si>
  <si>
    <t>SAT Math: 630-730
SAT Critical Reading: 520-650 
SAT Writing 520-640</t>
  </si>
  <si>
    <t>Architecture major</t>
  </si>
  <si>
    <t>Each year the Crown Scholarship provides full tuition for five years to one first-year, full-time architecture student. The Crown Scholarship looks for creativity, ingenuity and a desire to study architecture in a historic place like Chicago, IIT, and S. R. Crown Hall. Students need to provide academic credentials and an original freehand drawing.</t>
  </si>
  <si>
    <t xml:space="preserve">Overall Academic Performance; Leadership  </t>
  </si>
  <si>
    <t>The Duchossois Leadership Scholars Program is a nationally preeminent, elite scholarship program providing full-tuition with a room and board allowance attracating top students nationwide who demonstrate exceptional leadership potential and academic success in their projected field. The Duchossois Family Foundation makes this scholarship possible.</t>
  </si>
  <si>
    <t>Knox College</t>
  </si>
  <si>
    <t>The Presidential Scholarship -- our highest recognition for first-year students -- offers an award of full-tuition. Five students will be selected to receive a Presidential Scholarships with awards will be announced in March. Presidential Scholarship recipients form a select group of the nation's best and brightest students. Applicants who receive a Lincoln Scholarship during the admission process and are U.S. Citizens or Permanent Residents will be considered for a Presidential Scholarship. Presidential Scholars will be notified in March and brought to campus, free of charge, to attend one of our two Admitted Student Days in April.</t>
  </si>
  <si>
    <t>SAT Math: 590-660 SAT Critical Reading: 580-630
SAT Writing: 580-630</t>
  </si>
  <si>
    <t>Loyola University Chicago</t>
  </si>
  <si>
    <t>Air Force ROTC Scholarships (up to full tuition and mandatory fees) are for outstanding young men and women enrolled in the ROTC program. This program is offered to Loyola students in cooperation with the Illinois Institute of Technology.</t>
  </si>
  <si>
    <t>SAT Math 530-630
SAT Verbal 520-630</t>
  </si>
  <si>
    <t>Army ROTC offeres 4 year scholarship to high school students. Army ROTC Scholarships pay full tuition and fees, $1,200 per year for books, plus a STIPEND ranging from $350-$500 per school month. Additionally, Army ROTC Scholarship students receive $3,500 a semester toward on-campus housing from Loyola University.</t>
  </si>
  <si>
    <t>SAT Math: 518-630
SAT Critical Reading: 520-630 SAT Writing: 520-630</t>
  </si>
  <si>
    <t>Navy ROTC Scholarships (up to full tuition and fees) are for outstanding young men and women enrolled in the ROTC program. This program is offered in cooperation with Northwestern University. Students who receive full ROTC scholarship are also awarded a $3500 per year on-campus housing grant from Loyola.</t>
  </si>
  <si>
    <t>GPA/Test Scores; On-Campus Interview</t>
  </si>
  <si>
    <t>The Ignatian Scholarship is an invite-only full tuition scholarship awarded in the freshman year. The scholarship is renewable based on the criteria in the Scholarship Renewal Policy. Applicants must have a minimum ACT composite of 33 or higher or  a minimum SAT combined math and critical reading score of 1440 (if taken prior to January 2016) or a combined SAT R score of 1490 (if taken March 2016 or later), and a cumulative high school GPA of a 3.5 or higher on a 4.0 scale. Candidates for this scholarship must attend an on-campus interview with faculty and administrators</t>
  </si>
  <si>
    <t>One full-tuition scholarship is available to students who have been named National Merit/National Achievement finalists by the National Merit Corporation.</t>
  </si>
  <si>
    <t>MacMurray College</t>
  </si>
  <si>
    <t>Valedictory Scholarships
Full-tuition for valedictorians, salutatorians, and students in the top 1% of their class; 
The premier MacMurray Valedictory Scholarships are awarded to valedictorians or salutatorians of their high schools or those in the top 1% of their graduating class. They must also have the specified ACT or SAT score.
The full-tuition Valedictory Scholarship is renewable for three additional years. Recipients must maintain a cumulative grade point average of 3.00 or higher and reside in MacMurray's residence halls while receiving the scholarship.</t>
  </si>
  <si>
    <t>Up to 80% of Tuition</t>
  </si>
  <si>
    <t xml:space="preserve">Presidential Achievement Scholarships
Up to $20,000 per year; 3.70/4.00 grade point average </t>
  </si>
  <si>
    <t>Millikin University</t>
  </si>
  <si>
    <t>Presidential Scholarship
The Presidential Scholarship is a prestigious, full-tuition scholarship, renewable for four years. This award is for the best of the best. Presidential Scholars are leaders in Millikin's Honors Program. 
Admitted students can access the application through their VIP page. Interviews will be held in February.</t>
  </si>
  <si>
    <t>https://www.millikin.edu/presidential</t>
  </si>
  <si>
    <t>SAT Math: 460-590 SAT Critical Reading: 480-590
SAT Writing: 450-590</t>
  </si>
  <si>
    <t>Monmouth College</t>
  </si>
  <si>
    <t>Admiral’s Scholarship (Full Tuition plus a $5,000 educational enrichment fund)</t>
  </si>
  <si>
    <t>SAT Math: Not Reported
SAT Critical Reading: Not Reported
SAT Writing: Not Reported</t>
  </si>
  <si>
    <t>Army ROTC Scholarships 
Full-tuition scholarships are awarded based on a student's merit rather than financial need. There are also separate allowances for books and fees as well as stipends that are worth up to $5,000 annually, all of which allow students to focus on academics and their training rather than their finances.</t>
  </si>
  <si>
    <t>Trustees’ Scholarship (Full Tuition for all four years. 2 awarded)</t>
  </si>
  <si>
    <t>Northern Illinois University</t>
  </si>
  <si>
    <t>GPA/Test Scores; Overall Academic Performance; Leadership; Service; On-Campus Interview</t>
  </si>
  <si>
    <t>The Presidential Scholarship is NIU’s most prestigious merit scholarship. The scholarship provides full in-state tuition, mandatory fees, and on-campus room and board for up to four years. The Presidential Scholarship is not automatic; due to the limited number that we offer each year, the process is very competitive and only available to first-time, incoming freshman students for the fall semester</t>
  </si>
  <si>
    <t>http://www.niu.edu/scholarships/merit-scholarships/Presidential/index.shtml#Presidential</t>
  </si>
  <si>
    <t>In-state: $12,212
Out-of-state: $21,677</t>
  </si>
  <si>
    <t>Olivet Nazarene University</t>
  </si>
  <si>
    <t>Army ROTC can offer two-, three-, and four-year scholarships that pay full tuition and mandatory fees to qualified students. Students can apply at any time from their junior year in high school to the second semester of their sophomore year in college. All scholarship students also earn $300-$500 monthly stipend while in school, and an annual allowance of $1,200 for books and miscellaneous fees. In addition, qualified non-scholarship cadets are eligible for a tuition reduction if participating in ROTC.</t>
  </si>
  <si>
    <t>20-27</t>
  </si>
  <si>
    <t>Principia College</t>
  </si>
  <si>
    <t>Trustee Scholarship</t>
  </si>
  <si>
    <t>SAT Math: 470-608 SAT Critical Reading: 460-590
SAT Writing: 460-568</t>
  </si>
  <si>
    <t>Quincy University</t>
  </si>
  <si>
    <t>Select freshman admitted for the fall term are invited to compete for a four-year full tuition Presidential Scholarship to Quincy University. The full-day competition includes a timed written essay and personal interviews with QU faculty. Recipients of the Presidential Scholarship must live on campus during their four years at QU.</t>
  </si>
  <si>
    <t>SAT Math: 430-520
SAT Critical Reading: 480-590 
SAT Writing: not reported</t>
  </si>
  <si>
    <t>Rockford University</t>
  </si>
  <si>
    <t>Charles &amp; Dianna Colman Scholarship - Award amounts are up to full tuition.
First-Year Students
•	 3.65 minimum GPA
•	 29 minimum ACT/SAT equivalent
•	 Recipients must live on campus</t>
  </si>
  <si>
    <t>https://www.rockford.edu/admission/financialaid/scholarshipcalculator/</t>
  </si>
  <si>
    <t>SAT Math - 430-520 
SAT Critical Reading - 400-560 
SAT Writing - 430-550</t>
  </si>
  <si>
    <t>Southern Illinois University--Carbondale</t>
  </si>
  <si>
    <t>In-State Full Ride</t>
  </si>
  <si>
    <t>High school students who are academically high-achieving and have demonstrated leadership skills will be invited to compete for both the Chancellor's and University Excellence Scholarships. Both scholarships consist of in-state tuition, mandatory fees, and SIU double occupancy room and board charges each year for a total of four years.</t>
  </si>
  <si>
    <t>In-state: $12,231
Out-of-state: $25,880</t>
  </si>
  <si>
    <t>SAT Math: 470-600
SAT Critical Reading: 460-610
SAT Writing: not reported</t>
  </si>
  <si>
    <t>Southern Illinois University--Edwardsville</t>
  </si>
  <si>
    <t>Full ride</t>
  </si>
  <si>
    <t>Admitted Freshmen with a composite ACT ≥ 27 (1210 SAT) will be considered for Meridian Scholarship.</t>
  </si>
  <si>
    <t>http://www.siue.edu/paying-for-college/scholarships-and-financial-aid/</t>
  </si>
  <si>
    <t>In-state: $11,008
Out-of-state: $23,536</t>
  </si>
  <si>
    <t>Trinity Christian College</t>
  </si>
  <si>
    <t>Founders’ - Full Tuition 
Two renewable awards are given to incoming freshmen who demonstrate outstanding spiritual, academic and social leadership. Applicants must meet the eligibility criteria for the President’s Honors Scholarship</t>
  </si>
  <si>
    <t>SAT Math - 448-558
SAT Critical Reading - 430-595
SAT Writing - Not reported</t>
  </si>
  <si>
    <t>Trinity International University</t>
  </si>
  <si>
    <t>Presidential or Kantzer Scholarships to Trinity College (covering tuition, room, board, and required fees)</t>
  </si>
  <si>
    <t>https://undergrad.tiu.edu/tuition-aid/scholarships-aid/</t>
  </si>
  <si>
    <t>SAT Math - 440-600
SAT Critical Reading - 445-610
SAT Writing - Not reported</t>
  </si>
  <si>
    <t>Regents or Ruud Scholarships (full tuition and required fees)</t>
  </si>
  <si>
    <t>University of Chicago</t>
  </si>
  <si>
    <t>The University of Chicago was pleased to begin partnering with the Stamps Foundation in 2011 to offer merit scholarships for outstanding students. The Stamps Scholarship provides students with a four year, full-ride scholarship covering tuition and fees, as well as room &amp; board. Additionally, the Stamps Scholarship provides each recipient with $10,000 of enrichment funds that students can use over the course of their four years at the University.
There is no separate application for the Stamps Scholarship. All admitted students will be considered.</t>
  </si>
  <si>
    <t>32-35</t>
  </si>
  <si>
    <t>SAT Math: 720-800
SAT Critical Reading: 720-800
SAT Writing: 700-780</t>
  </si>
  <si>
    <t>University of Illinois--Chicago</t>
  </si>
  <si>
    <t>In-State Full Tuition</t>
  </si>
  <si>
    <t>The Honors College offers several merit scholarships. These scholarships are awarded to applicants based on the strength of the admissions application. Kerr Scholarship covers full in-state tuition and fees, renewable for up to four years.</t>
  </si>
  <si>
    <t>In-state: $13,664
Out-of-state: $26,520</t>
  </si>
  <si>
    <t>SAT Math 520-660
SAT Critical Reading 460-580
SAT Writing 470-580</t>
  </si>
  <si>
    <t>Test Scores; Class Rank; Need is an additional factor</t>
  </si>
  <si>
    <t>The President’s Award Program Honors (PAP-H) is a distinct part of the campus-wide President’s Award Program (PAP). It is the University of Illinois’ most prestigious four-year tuition and housing scholarship given to exemplary incoming first-year Honors College students.</t>
  </si>
  <si>
    <t>University of Illinois--Springfield</t>
  </si>
  <si>
    <t>$12,000 - Up to Full Ride</t>
  </si>
  <si>
    <t>Students admitted to the Capital Scholars Honors Program receive a scholarship that takes the place of the Lincoln Merit Award.</t>
  </si>
  <si>
    <t>http://www.uis.edu/financialaid/wp-content/uploads/sites/133/2014/06/Freshmen-Scholarships-2017-2018.pdf</t>
  </si>
  <si>
    <t>In-state: $11,413
Out-of-state: $20,938</t>
  </si>
  <si>
    <t>SAT Math: 510-600 SAT Critical Reading: 430-530
SAT Writing: 428-600</t>
  </si>
  <si>
    <t>University of Illinois--Urbana-Champaign</t>
  </si>
  <si>
    <t>James Hunter Anthony &amp; Gerald E. Blackshear Endowment is intended for incoming freshmen who have graduated from an Illinois high school</t>
  </si>
  <si>
    <t>In-state: $15,698
Out-of-state: $31,320</t>
  </si>
  <si>
    <t>SAT Math 700-780
SAT Critical Reading 560-670 
SAT Writing 580-670</t>
  </si>
  <si>
    <t>Provost merit-based scholarship is awarded to incoming freshmen</t>
  </si>
  <si>
    <t>Stamps Family Charitable Foundation is a merit-based scholarship awarded to incoming freshmen</t>
  </si>
  <si>
    <t>University of St. Francis</t>
  </si>
  <si>
    <t xml:space="preserve">USF Scholars Award: Scholarship competition available to selected students </t>
  </si>
  <si>
    <t>SAT Math 470-630
SAT Critical Reading 470-530
SAT Writing 450-590</t>
  </si>
  <si>
    <t>Western Illinois University</t>
  </si>
  <si>
    <t>President's Scholarship - Must be receiving the Western Centennial Scholarship, Pays tuition, university fees, room, and board not covered by another scholarship;</t>
  </si>
  <si>
    <t>In-state: $11,245
Out-of-state: $15,515</t>
  </si>
  <si>
    <t>18–23</t>
  </si>
  <si>
    <t>Wheaton College</t>
  </si>
  <si>
    <t>Latino Heritage</t>
  </si>
  <si>
    <t>Alvero L. Nieves Latino Scholarship
Freshman Latino students with a preference to U.S. citizens.
Full tuition, room and board charges, renewable.</t>
  </si>
  <si>
    <t>SAT Math: 600-700
SAT Critical Reading: 600-710
SAT Writing: 590-700</t>
  </si>
  <si>
    <t>African American students; Overall Academic Performance; essay</t>
  </si>
  <si>
    <t>Don and Ann Church Scholarship
Six incoming African-American students per year; based on scholarship essays and academic standing Full tuition charges, renewable</t>
  </si>
  <si>
    <t>IN</t>
  </si>
  <si>
    <t>Ball State University</t>
  </si>
  <si>
    <t>Delaware County, Indiana only</t>
  </si>
  <si>
    <t>Overall Academic Performance; Leadership; guidance counselor nomination</t>
  </si>
  <si>
    <t>The Ellison Scholarship is available only to first-time freshmen who have graduated from high schools in Delaware County, Indiana. The scholarship awards up to the value of full tuition (which may include the Presidential Scholarship) and room and board.</t>
  </si>
  <si>
    <t>In-state: $9,654
Out-of-state: $25,428</t>
  </si>
  <si>
    <t>SAT Math 500-590
SAT Critical Reading 510-600
SAT Writing 490-580</t>
  </si>
  <si>
    <t>GPA/Test Scores; Overall Academic Performance; On-Campus Competition</t>
  </si>
  <si>
    <t>The Whitinger Scholarship is the signature scholarship of the Honors College and is the most prestigious scholarship awarded by Ball State University. The Whitinger Scholars Program honors 10 unusually talented students each year. The award covers full tuition/fees and room and board and is renewable for a total of eight semesters, subject to annual review.</t>
  </si>
  <si>
    <t>Bethel College</t>
  </si>
  <si>
    <t>ROTC Scholarships 
Up to full tuition awarded by the University of Notre Dame Army and Air Force ROTC. Contact UND Army or Air Force ROTC for more information.</t>
  </si>
  <si>
    <t>SAT Math: 440-560 SAT Critical Reading: 440-560 SAT Writing: 420-540</t>
  </si>
  <si>
    <t>Franklin College</t>
  </si>
  <si>
    <t>Ben Franklin Scholars 
Students with a 3.9 GPA and an SAT score of 1320 or above or an ACT score of 28 or above will be the most competitive candidates for top academic scholarships. Ben Franklin Week for Scholars (BFWS) is an invitation only program where students have the opportunity to interview for our most prestigious scholarships. Students invited to BFWS will have the opportunity to interview for academic scholarships ranging from $18,000 – Full Tuition. Applications must be postmarked on or before December 1 to be considered for Ben Franklin Week for Scholars. Scholarships are renewable for a total of eight semesters of full time enrollment and a minimum GPA of 3.0 must be maintained.</t>
  </si>
  <si>
    <t>http://franklincollege.edu/admissions/ben-franklin-scholars-program/</t>
  </si>
  <si>
    <t>SAT Math: 470-560
SAT Critical Reading: 450-550
SAT Writing: 430-540</t>
  </si>
  <si>
    <t>Journalism Major</t>
  </si>
  <si>
    <t>The National Pulliam Journalism Scholarship 
Franklin College will award one full-tuition scholarship each year to a student interested in studying journalism, from an endowment provided by the late Eugene C. Pulliam, former publisher of newspapers in Indianapolis, Phoenix and other cities. Students who indicate that they intend to major in journalism on their application for admission to Franklin College will automatically be considered for this award. Top applicants may be contacted by the journalism department for additional materials and invited to an interview in the final stages of the selection process.</t>
  </si>
  <si>
    <t>http://franklincollege.edu/admissions/scholarships-overview/</t>
  </si>
  <si>
    <t>Goshen College</t>
  </si>
  <si>
    <t>Up to 90% of Tuition</t>
  </si>
  <si>
    <t>First-generation college student; African-, Hispanic/Latino-, Asian-, Native-American Heritage</t>
  </si>
  <si>
    <t xml:space="preserve">Intercultural Leadership Award
The Intercultural Leadership Award is for incoming first-generation students of color who have demonstrated a distinguished academic record, leadership potential and commitment to giving back to their community. The scholarship is for up to $30,000 a year (which includes all federal, state and institutional grants/scholarships) and is renewable for a total of eight consecutive semesters based on academic performance and program participation. This scholarship requires an application, a personal experience portfolio, and a leadership assessment. </t>
  </si>
  <si>
    <t>SAT Math: 450-598 SAT Critical Reading: 440-580
SAT Writing: 410-540</t>
  </si>
  <si>
    <t>Undocumented Students Only</t>
  </si>
  <si>
    <t>GPA/Test Scores; Leadership; Undocumented Status</t>
  </si>
  <si>
    <t>The Dream Scholarship is for one undocumented student in recognition of leadership potential and commitment to giving back to their community. The scholarship is for up to full tuition and is renewable for a total of eight consecutive semesters based on academic performance and program participation. This scholarship requires an application, a personal experience portfolio and a leadership assessment.
In order to qualify to apply, students must meet the following criteria:
Be undocumented
Have a cumulative high school grade point average of 3.0 or above.</t>
  </si>
  <si>
    <t>Grace College and Seminary</t>
  </si>
  <si>
    <t>President’s Scholarship (invitation only) - Recommended credentials are 27 ACT or 1270 SAT (EBRW+M) and 3.7 GPA or rank in the top 20% of high school class</t>
  </si>
  <si>
    <t>SAT Math - 450-580
SAT Critical Reading - 460-580
SAT Writing - Not reported</t>
  </si>
  <si>
    <t>National Merit Finalist Scholarships
Full-tuition 
Automatic consideration when apply and notified when admission is granted</t>
  </si>
  <si>
    <t>Hanover College</t>
  </si>
  <si>
    <t>Diversity/social justice program participation</t>
  </si>
  <si>
    <t>Up to 10</t>
  </si>
  <si>
    <t>Benjamin Templeton Scholars (awarded up to 10 students)
Exceptional students who have participated or led programs that promote diversity, tolerance and social justice for race, gender, religion, sexual orientation and gender identity or national origin.
Required:
Completed Templeton Scholar application, 500-word essay, 1 letter of recommendation, detailed resume</t>
  </si>
  <si>
    <t>SAT Math: 470-600 SAT Critical Reading: 480-610 SAT Writing: 460-570</t>
  </si>
  <si>
    <t>Indiana State University</t>
  </si>
  <si>
    <t>Medical major; GPA/Test Scores</t>
  </si>
  <si>
    <t>Rural Health Scholarship - Indiana State University, in partnership with Indiana University School of Medicine, offers a unique scholarship opportunity designed specifically for applicants who have a strong interest in providing care to family and friends in rural Indiana, specifically as a primary care physician. This program is not designed for students interested in becoming nurses, physicians' assistants, or any other allied health occupation.</t>
  </si>
  <si>
    <t>http://www.indstate.edu/sites/default/files/media/Documents/PDF/overview-freshman-2017.pdf</t>
  </si>
  <si>
    <t>In-state: $8,746
Out-of-state: $19,076</t>
  </si>
  <si>
    <t>SAT Math - 400-510
SAT Critical Reading- 400-510
SAT Writing - 390-490</t>
  </si>
  <si>
    <t>Indiana University Purdue University Indianapolis</t>
  </si>
  <si>
    <t>88% of full in-state tuition</t>
  </si>
  <si>
    <t>Chancellor's Scholarship - Students who have applied for admission by November 15 who have a minimum high school GPA of 3.75 (on a 4.0 scale) with a minimum 1250 SAT or 28 ACT score may be eligible for this scholarship. Chancellor's Scholars are automatically admitted to the IUPUI Honors College. Pays for about 75% of out-of-state tuition.</t>
  </si>
  <si>
    <t>In-state: $9,205
Out-of-state: $29,791</t>
  </si>
  <si>
    <t>SAT Math 450-560
SAT Critical Reading 440-560 
SAT Writing 430-540</t>
  </si>
  <si>
    <t xml:space="preserve">Overall Academic Performance; Leadership; Service </t>
  </si>
  <si>
    <t>Bepko Scholars &amp; Fellows Program - The Bepko Scholars and Fellows Program is designed for students who demonstrate integrity, dedication, leadership, and a commitment to service. This highly competitive scholarship program provides financial, academic, and programming support to academically motivated and civically engaged students throughout their undergraduate and post-graduate years.</t>
  </si>
  <si>
    <t>Interest in International Affairs</t>
  </si>
  <si>
    <t>The Plater International Scholars Program is designed for exceptional incoming freshmen who are committed to combining academic excellence with global citizenship. This highly competitive scholarship program is for students with an interest in international affairs and cross-cultural experiences. Plater International Scholars will be actively involved in international programming, both off and on campus. In close cooperation with the Office of International Affairs, recipients of the Plater International Scholarship will be exposed to high profile international visitors, international seminars, and lectures. Students selected for this scholarship program receive $12,000 per year for four years of study, $2,500 for a study abroad experience, and a $2,500 housing stipend for International House, located in the Campus Apartments on the Riverwalk, for their freshman year.</t>
  </si>
  <si>
    <t>Overall Academic Performance; Leadership; Nomination</t>
  </si>
  <si>
    <t>Adam W. Herbert Presidential Scholars Program - The Indiana University system offers Adam W. Herbert Presidential Scholarships to outstanding Indiana high school seniors with extensive leadership experience.</t>
  </si>
  <si>
    <t>Indiana University--Bloomington</t>
  </si>
  <si>
    <t>Air Force ROTC offers a variety of scholarships for students preparing to become Air Force Officers while earning college degrees. There are three different types of scholarships, and the is awarded to process is the same for all of them.</t>
  </si>
  <si>
    <t>In-state: $10,388
Out-of-state: $34,246</t>
  </si>
  <si>
    <t>SAT Math: 540-660
SAT Critical Reading: 520-630
SAT Writing: 510-620</t>
  </si>
  <si>
    <t>The Adam W. Herbert Presidential Scholars Program recognizes a select number of Indiana resident students who are the top achievers of the incoming freshman class. Recipients are selected by a committee representing the Office of the President.</t>
  </si>
  <si>
    <t>Test Scores; Class Rank; Interest in Research; Financial Need</t>
  </si>
  <si>
    <t>The Cox Research Scholarship for Indiana residents is awarded to incoming freshmen of exemplary achievement who are interested in working under the direction of a faculty mentor on research and scholarly activities. Competitive applicants must meet the criteria for automatic direct admission into the Hutton Honors College. Students can be interested in any academic majors. Applicants are not expected to have prior research experience but must exhibit academic curiosity and intellectual prowess. This scholarship is also need-based.</t>
  </si>
  <si>
    <t>https://scholarships.indiana.edu/scholarships/cox-scholars-program/research.html</t>
  </si>
  <si>
    <t>Business Majors; GPA/Test Scores</t>
  </si>
  <si>
    <t>The Kelley Scholars program is one of the country’s premier undergraduate business scholarships. The award supplements other IU funding received at the time of admission to provide about 10 outstanding incoming freshmen students who are Indiana residents with:
four years of standard tuition and fees
a stipend for living expenses
a study abroad opportunity</t>
  </si>
  <si>
    <t>Overall Academic Performance; Leadership; Extra-curricular Activities</t>
  </si>
  <si>
    <t>The Wells Scholars Program awards 18–22 freshmen who have shown exceptional academic accomplishment and promise, fine character and leadership, significant involvement in extracurricular activities, concern for their communities, and interest in the larger world. All Indiana high schools and selected out-of-state high schools may nominate up to two seniors each year for consideration for the scholarship. Students who do not attend high schools eligible to nominate can be considered for nomination by the Office of Admissions.</t>
  </si>
  <si>
    <t>Whether you’re in high school or attending IU, Army ROTC has scholarships available. Scholarships are awarded based on a student’s merit and grades, not financial need.</t>
  </si>
  <si>
    <t>Test Scores; Overall Academic Performance; Interest in studying labor, senior citizens, and/or community activism; financial need is an additional factor</t>
  </si>
  <si>
    <t>New beginning full-time students interested in studies related to labor, senior citizens, and/or community activism are encouraged to apply for the Sam Masarachia Scholarship. Recipients will participate in Masarachia seminars, internships, and related activities. All finalists will be interviewed and scholars will be selected based on academic merit, financial need, and evidence of commitment to and familiarity with one or more of the specified program areas. Applicants must have graduated in the top 40% of their high school class.</t>
  </si>
  <si>
    <t>SAT Math 450-560
SAT Critical Reading 440-560
SAT Writing 430-540</t>
  </si>
  <si>
    <t>US Citizen, Non-Citizen National or Permanent Resident</t>
  </si>
  <si>
    <t>Full In-State Tuition plus housing stipend</t>
  </si>
  <si>
    <t>Preference to Underrepresented Students; Overall Academic Performance; Service; Extra-curricular Activities</t>
  </si>
  <si>
    <t xml:space="preserve">Olanyian Scholars Program - Incoming freshmen may apply if they meet regular admission requirements to enroll at IUPUI and who have demonstrated a commitment to academic excellence and community/civic engagement. Additional requirements: minimum cumulative high school GPA of 2.70 on a 4.0 scale or higher and a U.S. citizen, non-citizen national, or permanent resident. At least two (2) letters of recommendation, one of which should address academic performance or aptitude and at least one letter should address extracurricular and/or community service activities. The program is open to students of all academic majors, races, nationalities, and backgrounds. Preference will be given to students underrepresented in higher education. </t>
  </si>
  <si>
    <t>http://scholarships.iupui.edu/freshman/noninres.html</t>
  </si>
  <si>
    <t>Preference to Underrepresented Students; GPA/Test Scores; Class Rank</t>
  </si>
  <si>
    <t>Diversity Scholars Research Program - Incoming freshmen may apply if in the top 25% of their graduating class with at least a minimum highest composite score of 1140 New SAT (Evidence-based Reading &amp; Writing + Math), 1070 Old SAT (Math + Critical Reading) or 23 ACT score. Additional requirements: cumulative high school GPA of 3.0 on a 4.0 scale or higher with at least a B grade in all math and science courses and a U.S. citizen, non-citizen national, or permanent resident. At least two (2) letters of recommendation, one of which must be from a math or science teacher.
Students from racial and ethnic populations who have been historically underrepresented in institutions of higher education in Indiana and whose presence will enhance the learning environment through increased diversity at IUPUI are encouraged to apply.</t>
  </si>
  <si>
    <t>Marian University</t>
  </si>
  <si>
    <t>GPA/Test Scores; Leadership; Community Service</t>
  </si>
  <si>
    <t>Saint Mary Academic Scholarship 
The award is a full-tuition scholarship available to first-time freshmen and entering National Merit Scholars and is renewable for up to seven consecutive semesters by enrolling full-time and maintaining a university GPA of 3.00 or higher.
To be considered, applicants must meet the following criteria:
Complete the admissions process and have been admitted to Marian University no later than November 1
Hold a minimum high school GPA of 3.75.
Earn minimum test scores of 1200 (Critical Reading and Math portions) on the SAT or 27 on the ACT.
Demonstrate a record of leadership and community service.
Commit to an educational experience framed within the context of Marian University’s Franciscan values of dignity of the individual, peace and justice, reconciliation, and responsible stewardship, informed by prayer.</t>
  </si>
  <si>
    <t>SAT Math: 470-560
SAT Critical Reading: 460-560
SAT Writing: 430-540</t>
  </si>
  <si>
    <t>Purdue University</t>
  </si>
  <si>
    <t>Purdue University is proud to be one of a select group of partner colleges and universities affiliated with the Stamps Family Charitable Foundation to provide not only scholarships to high-achieving undergraduate students, but also assist in providing access to a variety of academic enrichment opportunities. At Purdue, the Stamps Leadership Scholarship covers the full educational costs of a bachelor’s degree and provides up to $10, 000 enrichment funds to cover expenses for summer research internships, professional academic conferences to present research poster, Purdue study abroad programs and unpaid internships or co-ops.</t>
  </si>
  <si>
    <t>In-state: $10,002
Out-of-state: $28,804</t>
  </si>
  <si>
    <t>SAT Math: 560-700
SAT Critical Reading: 520-630
SAT Writing: 520-640</t>
  </si>
  <si>
    <t>Indiana University - Purdue University - Fort Wayne</t>
  </si>
  <si>
    <t>Overall Academic Performance; On-Campus Competition</t>
  </si>
  <si>
    <t>Chapman Scholars Program - The Chapman Scholars Program selects four incoming freshmen who are distinguished as high achievers in and out of the classroom each year. Chapman Scholars receive tuition, fees, room and board, and textbooks for four years. The program develops engaged scholars who understand that civic engagement is key to personal growth as well as the growth and strength of a community.</t>
  </si>
  <si>
    <t>In-state: $8,213
Out-of-state: $19,727</t>
  </si>
  <si>
    <t>SAT Math 440-550
SAT Critical Reading 440-550
SAT Writing 420-520</t>
  </si>
  <si>
    <t>Business Major; On-Campus Competition</t>
  </si>
  <si>
    <t>Doermer Distinguished Scholars Program - The Doermer Distinguished Scholars Program is a full-ride scholarship program for business majors.</t>
  </si>
  <si>
    <t>Education or Engineering Major; On-Campus Competition</t>
  </si>
  <si>
    <t>Weitzman Scholars Program - Available every other year, the Weitzman Scholars Program is a full-ride scholarship program for education and engineering majors.</t>
  </si>
  <si>
    <t>Saint Mary-of-the-Woods College</t>
  </si>
  <si>
    <t>Saint Mother Theodore Guerin Honors Scholarship
Amount: A total of (4) Full Tuition scholarships towards the cost of tuition only and each winner will receive a tablet device.  In addition, (10) students will be selected to received a one-time participation award.
Qualifications: Qualifying first-time (Freshmen), admitted students attending SMWC full-time in a degree seeking program and will be living on campus (for full tuition award), must submit a SMTG application and a written essay by November 1, 2017. Replaces/reduces merit and other SMWC offers.</t>
  </si>
  <si>
    <t>SAT Math - 400-510 
SAT Critical Reading - 430-540 
SAT Writing - 430-520</t>
  </si>
  <si>
    <t>Trine University</t>
  </si>
  <si>
    <t xml:space="preserve">Bateman Kolb Scholarship - Eligibility Requirements
Must apply and be officially admitted to Trine University prior to the scholarship dates
Average GPA: 4.0 (on 4.0 scale)
Rank: Top 10 percent
Average SAT: 1380 (R+M) Average ACT Composite: 31
Must receive official invitation to compete at one of two Scholarship Day programs.
</t>
  </si>
  <si>
    <t>https://www.trine.edu/admission-aid/tuition-aid/types-of-aid/competitive-scholarships.aspx</t>
  </si>
  <si>
    <t>SAT Math - 500-620 
SAT Critical Reading - 450-565
SAT Writing - Not reported</t>
  </si>
  <si>
    <t>University of Evansville</t>
  </si>
  <si>
    <t>$15,000 up to Full Tuition</t>
  </si>
  <si>
    <t>Nursing Majors</t>
  </si>
  <si>
    <t>Need for Nursing Scholarship</t>
  </si>
  <si>
    <t>SAT Math - 510-630
SAT Critical Reading - 500-610
SAT Writing - 480-590</t>
  </si>
  <si>
    <t>National Merit Finalist will receive a full-tuition award.Semi-Finalist award ranges start at $27,000.</t>
  </si>
  <si>
    <t>University of Indianapolis</t>
  </si>
  <si>
    <t>Presidential Scholarships 
Up to full tuition annually 
Top Distinguished Dean's Scholars invited to on- 
campus competition 
Must apply for admission by December 15 for 
consideration 
Renewable based on 3.3 grade point average and full- 
time attendance</t>
  </si>
  <si>
    <t>SAT Math - 450-570
SAT Critical Reading - 450-550 SAT Writing - 440-540</t>
  </si>
  <si>
    <t>Eligibility for Post 9/11 Veterans Benefits and the Yellow Ribbon Program</t>
  </si>
  <si>
    <t>UIndy Freedom Award 
full tuition plus 
The Freedom Award will be awarded to students who meet the following criteria: 
Eligible for full Post 9/11 Veterans benefits and the Yellow Ribbon Program 
Admissible as an undergraduate, day division student 
Must file the Free Application for Federal Student Aid (FAFSA) by the March 10 state deadline 
Eligible if continues to be eligible for both VA awards up to a maximum of eight semesters</t>
  </si>
  <si>
    <t>University of Notre Dame</t>
  </si>
  <si>
    <t>Overall Academic Performance; Leadership; Character</t>
  </si>
  <si>
    <t>The Notre Dame Stamps Scholars Program seeks to attract exceptional students who exemplify leadership, service, scholarship, innovation, and character.
Award Amount: Cost of attendance, minus room and meals, for four years; $12,000 enrichment funding.
Criteria: Students must fall within top three percent of admitted class; must demonstrate academic merit, strong leadership potential, and exceptional character.</t>
  </si>
  <si>
    <t>http://meritscholarships.nd.edu/scholarships/stamps-scholars-program/</t>
  </si>
  <si>
    <t>32 - 34</t>
  </si>
  <si>
    <t>SAT Math: 680-770
SAT Critical Reading: 660-750
SAT Writing: 660-760</t>
  </si>
  <si>
    <t>PriVate</t>
  </si>
  <si>
    <t>residents of China, Hong Kong, Macau, or Taiwan</t>
  </si>
  <si>
    <t>Students must be residents of China, Hong Kong, Macau, or Taiwan</t>
  </si>
  <si>
    <t xml:space="preserve">Greater China Scholarship
Award Amount: One scholarship for full cost of attendance; several smaller enrichments awards of $5,000.
Criteria: Students must be residents of China, Hong Kong, Macau, or Taiwan. </t>
  </si>
  <si>
    <t>http://meritscholarships.nd.edu/scholarships/greater-china-scholarship/</t>
  </si>
  <si>
    <t>33 - 34</t>
  </si>
  <si>
    <t>Valparaiso University</t>
  </si>
  <si>
    <t>Air Force Reserve Officers Training Corps 
Selected students in AFROTC program. 
Up to $150,000 for tuition and fees, and a book stipend and monthly stipend.additional aid to cover costs of standard on-campus room and board. 
Scholarship renewal complies with ROTC rules. Must apply to ROTC by Dec. 1.</t>
  </si>
  <si>
    <t>SAT Math: 510-630
SAT Critical Reading: 490-600 SAT Writing: 480-590</t>
  </si>
  <si>
    <t>Army Reserve Officers' Training Corps 
Selected students in Army ROTC program. 
Up to 100% of tuition and fees, and a book stipend and monthly stipend. additional aid to cover costs of standard on-campus room and board. 
Scholarship renewal complies with ROTC rules.</t>
  </si>
  <si>
    <t>Music Talent; Music Major</t>
  </si>
  <si>
    <t>Signature Artist Scholarships 
Up to full tuition 
Awarded to support committed young performing artists in preparing for musical professions 
For prospective music majors only; a change out of the major will likely affect the award 
Applicants must complete an on-campus audition 
New student auditions take place every November and February.</t>
  </si>
  <si>
    <t>Wabash College</t>
  </si>
  <si>
    <t xml:space="preserve">Honor Scholarships
</t>
  </si>
  <si>
    <t>SAT Math: 530-640
SAT Writing: 470-600 SAT Critical Reading: 510-610</t>
  </si>
  <si>
    <t>KS</t>
  </si>
  <si>
    <t>Baker University</t>
  </si>
  <si>
    <t>GPA/Test Scores; on-campus competition</t>
  </si>
  <si>
    <t>Harter Scholarship: Harter Scholars receive full tuition for four years at Baker and have the opportunity to spend a semester at Harlaxton College in England. Eligibility is determined by GPA and ACT or SAT score. Qualified candidates who have been admitted to the university will be sent an invitation to visit campus and interact with faculty while competing for Baker's highest scholarship.</t>
  </si>
  <si>
    <t>SAT Math: Not Reported
SAT Critical Reading: Not Reported SAT Writing: not reported</t>
  </si>
  <si>
    <t>Benedictine College</t>
  </si>
  <si>
    <t>Presidential Scholarships
Awards are made to students who have demonstrated outstanding academic performance. This full tuition award is a renewable four-year scholarship based on college involvement and academic performance. A student must have a minimum 27 ACT/1210 SAT, and a non-weighted 3.5 GPA to be eligible. A maximum of (10) ten scholarships will be awarded annually, based on a competitive Honors Committee selection process.</t>
  </si>
  <si>
    <t>SAT Math: 490-630
SAT Critical Reading: 513-660
SAT Writing: Not reported</t>
  </si>
  <si>
    <t>U.S. Army/Air Force ROTC Scholarships 
Two-, three-, and four-year scholarships are available each year to selected students who are enrolled or will enroll in the Army ROTC program. The scholarships provide payment of all tuition, fees, a monthly tax-free payment of $250–$400 for the duration of the scholarship, not to exceed ten months for each year of the scholarship, and a flat-rate book allowance of up to $450 each semester. Additionally, the Professor of Military Science awards fee waiver scholarships to selected students. 
ROTC students are furnished free textbooks for military science courses. Students enrolled in the last two years of military science receive $250 or $400 per month during the school year, not to exceed ten months per year. 
A limited number of tuition/fee waiver scholarships are awarded each semester to freshman and sophomore students who demonstrate the leadership ability to progress toward the advanced ROTC program. Interested students should see the Department Enrollment Officer for information.</t>
  </si>
  <si>
    <t>National Merit Finalist Scholarships 
Each year, Benedictine College awards up to ten full tuition scholarships to National Merit Finalists. To be considered for this scholarship you must provide a copy of your National Merit Finalists letter to the Office of Admission. These scholarships are renewable all four years of attendance.</t>
  </si>
  <si>
    <t>Fort Hays State University</t>
  </si>
  <si>
    <t>National Merit Status or GPA/Test Scores; Overall Academic Performance; Leadership</t>
  </si>
  <si>
    <t>Applicants for the Regents Scholarship must fulfill at least 4 of the following 5 characteristics:
1.National Merit Semi-finalist or Finalist status, National Achievement Award, or National Hispanic Recognition program status.
2.A minimum high school cumulative GPA of 3.7 or higher.
3.A minimum ACT score of 32, SAT score of 1420.
4.Evidence of exceptional scholastic or community leadership, as evidenced by a submitted resume.
5.Evidence of exceptional intellectual acuity and potential, as evidenced by responses to two essay prompts.</t>
  </si>
  <si>
    <t>In-state: $4,884
Out-of-state: $14,426</t>
  </si>
  <si>
    <t>SAT Math: Not Reported SAT Writing: Not Reported SAT Critical Reading: Not Reported</t>
  </si>
  <si>
    <t>Over 89% of in-state tuition plus partial room &amp; board</t>
  </si>
  <si>
    <t xml:space="preserve">GPA/Test Scores; Leadership </t>
  </si>
  <si>
    <t>Seven Honors College new admits per year will receive the tier 1 scholarship: $10,000 total award ($4,000 towards tuition and fees, $6,000 towards room and board costs, provided that the student lives on the honors floor on campus). 
Applicants for the Tier 1 scholarship must demonstrate: 
A minimum cumulative GPA of 3.5 or higher. 
A minimum ACT score of 31, SAT score of 1380. 
Evidence of accomplished scholastic or community leadership, as evidenced by a submitted resume. 
Evidence of accomplished intellectual acuity and potential, as evidenced by responses to one essay prompt.</t>
  </si>
  <si>
    <t>Ottawa University</t>
  </si>
  <si>
    <t>Overall Academic Perfornance</t>
  </si>
  <si>
    <t>Presidential Scholarship - Competitive scholarship awarded to selected first-year students who seek to be agents of change in their college careers and beyond. Full tuition per academic year for four years.</t>
  </si>
  <si>
    <t>SAT Math: 440-510
SAT Writing: 370-500
SAT Reading: 420-540</t>
  </si>
  <si>
    <t>University of Kansas</t>
  </si>
  <si>
    <t>95% of in-state tuition</t>
  </si>
  <si>
    <t>National Merit/National Achievement/National Hispanic Scholar Finalists must select KU as No. 1 college choice with National Merit Scholarship Corp.</t>
  </si>
  <si>
    <t>https://admissions.ku.edu/tuition-scholarship/freshman</t>
  </si>
  <si>
    <t>In-state: $11,455
Out-of-state: $28,239</t>
  </si>
  <si>
    <t>Wichita State University</t>
  </si>
  <si>
    <t>WSU National Merit Scholarships has an estimated value of $80,000 for residents and $112,000 for non-residents and is good for four years with eligibility. This is awarded to National Merit Finalists, National Achievement Finalists and National Hispanic Recognition Finalists. These scholarships can be applied to the following direct costs:
Tuition, Student Fee, and Campus Infrastructure &amp; Support Fee up to 15 credit hours per term
On-Campus Room and Board (any choice except private room)
$1,000 stipend for books at $500 per semester</t>
  </si>
  <si>
    <t>In-state: $7,895
Out-of-state: $16,634</t>
  </si>
  <si>
    <t>SAT Math: 470-602 SAT Critical Reading: 450-582 SAT Writing: not reported</t>
  </si>
  <si>
    <t>KY</t>
  </si>
  <si>
    <t>Alice Lloyd College</t>
  </si>
  <si>
    <t>Reside in an Appalachian county</t>
  </si>
  <si>
    <t>Location based; GPA/Test Scores</t>
  </si>
  <si>
    <t>Appalachian Leaders College Scholarship 
Alice Lloyd College awards tuition guarantees for residents of 108 central Appalachian counties, regardless of income, who are eligible for admission. Students from this special service area will have their cost of education (tuition) met by a combination of grants, scholarships, and participation in the required Student Work Program. The scholarship is renewable for 10 semesters upon maintaining satisfactory progress toward completion of a degree.</t>
  </si>
  <si>
    <t>SAT Math - 460-480
SAT Critical Reading - 430-520
SAT Writing - 410-550</t>
  </si>
  <si>
    <t>Alice Lloyd College Dean’s Distinguished Scholarship 
Alice Lloyd College offers recipients of the Dean’s Distinguished Scholarship guaranteed acceptance into the Caney Scholars Program, as well as guaranteed tuition for up to ten semesters. Students who are designated Distinguished Scholars must apply for the Caney Cottage Scholarship during the final semester of enrollment at ALC and meet the entrance requirements of the Caney Cottage Scholarship.</t>
  </si>
  <si>
    <t>Alice Lloyd College Geddes Scholarship 
Alice Lloyd College offers recipients of the Geddes Scholarship guaranteed acceptance into the Caney Scholars Program, as well as guaranteed tuition for up to ten semesters. Students who are designated as a Geddes Scholar must apply for the Caney Cottage Scholarship during the final semester of enrollment at ALC and meet the entrance requirements of the Caney Cottage Scholarship.</t>
  </si>
  <si>
    <t>Alice Lloyd College Presidential Scholarship 
Alice Lloyd College offers a limited number of scholarships per year guaranteeing tuition, room, board, fees, and books to outstanding scholars. In addition, continued assistance throughout graduate and/or professional school may also be available.</t>
  </si>
  <si>
    <t>Asbury University</t>
  </si>
  <si>
    <t>GPA/Test Scores or National Merit Status</t>
  </si>
  <si>
    <t>John Wesley Hughes Scholarships 
Four full-tuition scholarships will be awarded on a competitive basis to new students who qualify as Level III President’s Scholars or National Merit/Francis Asbury Scholars.</t>
  </si>
  <si>
    <t>SAT Math: 470-605
SAT Critical Reading: 485-620
SAT Writing: Not reported</t>
  </si>
  <si>
    <t>Bellarmine University</t>
  </si>
  <si>
    <t>GPA/Test Scores; Essay competition</t>
  </si>
  <si>
    <t>The Bellarmine Scholars scholarship, awarded to entering freshmen, is Bellarmine’s most prestigious academic scholarship. It includes a full tuition award with a study-abroad stipend. The application deadline is December 1 and an essay with the topic "Describe an incident or situation in your life which piqued your intellectual curiosity" is required. Past recipients have scored 30 or higher on the ACT or 1330 or higher on the SAT and demonstrated a GPA of 3.4 or higher.</t>
  </si>
  <si>
    <t>SAT Math - 500-610;
SAT Critical Reading - 495-590;
SAT Writing - Not reported</t>
  </si>
  <si>
    <t>Berea College</t>
  </si>
  <si>
    <t>All Admitted Students</t>
  </si>
  <si>
    <t>Berea’s Tuition Promise Scholarship
All admitted students to Berea College receive our Tuition Promise Scholarship. This scholarship is combined with financial aid you may receive as well as any other scholarship you may be awarded by outside parties or organizations to cover 100% of tuition costs. For most Berea students, the Tuition Promise scholarship amounts to nearly $100,000 over four years.
We are able to provide this level of financial assistance due to the generous support of alumni, friends, organizations, and others who believe, as we do, that a student’s income should not dictate their outcome.
So when you enroll at Berea, your scholarship will be provided by people you don’t even know who believe in your potential — and who know that Berea is well-positioned to help you realize that potential.</t>
  </si>
  <si>
    <t>SAT Math: 520-623
SAT Writing: 510-593 SAT Critical Reading: 500-603</t>
  </si>
  <si>
    <t>Campbellsville University</t>
  </si>
  <si>
    <t>Presidential Excellence 
Competitive scholarship, open to students who have a 33-36 on ACT / 2170-2400 and 3.5 GPA 1 
Scholarship up to full tuition, room and board*</t>
  </si>
  <si>
    <t>SAT Math: 420-550
SAT Critical Reading: 395-515  SAT Writing: 370-470</t>
  </si>
  <si>
    <t>Up to 5</t>
  </si>
  <si>
    <t>Presidential Scholarship 
Competitive scholarship, open to students who have a 30-32 on ACT / 1980-2160 and 3.5 GPA</t>
  </si>
  <si>
    <t>GPA/Test Scores; Specific Program Participation</t>
  </si>
  <si>
    <t>Up to 3</t>
  </si>
  <si>
    <t>Governor's Scholar Scholarship 
Competitive scholarship awarded to students who have participated in the Kentucky Governor’s Scholars Program; application is required and will be awarded to students based on GPA, ACT/SAT, and quality and content of essay Minimum GPA of 3.5 and 25 ACT / 1720 SAT 
Up to 3 full tuition scholarships* 
Deadline: December 1</t>
  </si>
  <si>
    <t>Up to2</t>
  </si>
  <si>
    <t>Governor's Scholar for the Arts Scholarship 
Competitive scholarship awarded to students who have participated in the Kentucky Governor’s Scholars for the Arts Program; awarded to students based on Minimum GPA of 3.0 and 24 ACT and audition with the School of Music</t>
  </si>
  <si>
    <t>Centre College</t>
  </si>
  <si>
    <t>Brown Fellows Program. This premier scholarship recognizes 10
extraordinary incoming students each year. In partnership with
the J. Graham Brown Foundation, Centre offers each Brown
Fellow a “full-cost-plus” renewable merit-based scholarship
and enrichment program.</t>
  </si>
  <si>
    <t>SAT Math: 570-740 SAT Writing: not reported SAT Critical Reading: 540-660</t>
  </si>
  <si>
    <t>First-Generation College Student; Overall Academic Performance; Leadership</t>
  </si>
  <si>
    <t>Grissom Scholars Program. Centre awards 10 “full-tuition-plus”
renewable scholarships per class to first-generation college
students with proven academic achievement, high moral
character, and exceptional leadership potential</t>
  </si>
  <si>
    <t>GPA/Test Scores; Character; Overall Academic Performance; Leadership; Service</t>
  </si>
  <si>
    <t>Lincoln Scholars receive “full-ride plus” scholarships, renewable for four years.
In the summer before their first year at Centre, Lincoln Scholars will participate in a ten-day endeavor that includes an introspective short course on leadership, a colloquium on Lincoln, and a three-night, four-day Outward Bound experience in North Carolina.
Each Lincoln Scholar will engage with the program director to chart an intentional, self-initiated course of study, research, service, and co-curricular experiences over four years. Summers after the first year at Centre will be devised in conjunction with the program director.
The scholarship and enrichment program includes:
• Four-year, “full-ride plus” scholarship
• Three summers of enrichment experiences that further develop students’ tenacity, grit and understanding of humankind’s challenges
• Opportunities to pursue career-building and leadership-enhancing experiences
• Individual mentoring
Competitive applicants should demonstrate:
• Standardized test scores at or near the top 10 percent of scores nationally
• A high school GPA that reflects achievement and success. IB program participants are welcome.
• Selflessness, integrity, and the courage to be bold in pursuit of the greater good
• Intellectual curiosity, a compelling personal mission, and an intense desire to achieve goals
• Marked participation and leadership in extracurricular, service, or community activities</t>
  </si>
  <si>
    <t>Eastern Kentucky University</t>
  </si>
  <si>
    <t>Governers Scholars Program All GSP alums must have a minimum of a 25 composite on the ACT and a minimum of unweighted high school GPA of a 3.75 to qualify for this scholarship. In order to maintain the scholarship, the Scholar must be enrolled full time here at EKU and keep a 3.0 cumulative GPA.</t>
  </si>
  <si>
    <t>In-state: $8,868
Out-of-state: $18,180</t>
  </si>
  <si>
    <t>SAT Math - 420-560; SAT Critical Reading - 415-560; SAT Writing - 400-520</t>
  </si>
  <si>
    <t>Kentucky Wesleyan College</t>
  </si>
  <si>
    <t>Kentucky Wesleyan Brown Scholarship Scholarship Amount – Full Tuition per year, renewable for four years</t>
  </si>
  <si>
    <t>SAT Math - 433-553 SAT Critical Reading - 433-505 SAT Writing - Not reported</t>
  </si>
  <si>
    <t>Morehead State University</t>
  </si>
  <si>
    <t>Specific Program Participation; GPA/Test Scores</t>
  </si>
  <si>
    <t xml:space="preserve">Black Achiever Scholarship
This scholarship offers full tuition to new incoming freshman who are Kentucky residents and have completed the Black Achievers Program in Lexington and Louisville, Kentucky. Applicants must have a composite ACT score of 18 or higher and an admission index of 500. </t>
  </si>
  <si>
    <t>In-state: $8,530
Out-of-state: $12,796</t>
  </si>
  <si>
    <t>SAT Math: 420-550
SAT Critical Reading: 430-550
SAT Writing: 388-520</t>
  </si>
  <si>
    <t>ACT Score; Hispanic/Latino, African-American, American Indian or Alaskan Native, Asian, or Native Hawaiian or 
other Pacific Islander</t>
  </si>
  <si>
    <t>Diversity Opportunity Scholarship - New incoming freshman, Kentucky resident, 
have an ethnic background of one of Hispanic/ 
Latino, African-American, American Indian or 
Alaskan native, Asian, or Native Hawaiian or 
other Pacific Islander</t>
  </si>
  <si>
    <t>GPA/Test Scores; Overall Academic Performance; Leadership; Service</t>
  </si>
  <si>
    <t>Honors Scholarship - Selection based on academic achievement, 
including GPA, test scores, challenging 
coursework, leadership and service experiences, 
awards and recognitions, essay, sample of work 
and interview. Full tuition, on-campus housing allowance (up to a four-person suite), $5,000 and $1,500 one-time study abroad allowance (renewable) [$72,000 over four years]</t>
  </si>
  <si>
    <t>Murray State University</t>
  </si>
  <si>
    <t>Kentucky Governor's Scholars Program and Governor's School for the Arts Scholarships - Kentucky GSP and GSA Alumni who will be entering MSU as new freshmen in the fall semester:
Full Tuition for students with a minimum 3.5 cumulative high school GPA &amp; minimum 25 ACT Composite score</t>
  </si>
  <si>
    <t>In-state: $7,944
Out-of-state: $21,648</t>
  </si>
  <si>
    <t>SAT Math: 470-570
SAT Critical Reading: 480-590
SAT Writing: Not reported</t>
  </si>
  <si>
    <t>Presidential Fellowships cover the cost of tuition, on-campus housing, and a meal plan. The fellowship is awarded for four consecutive years (summers excluded) or until receipt of first bachelor’s degree. In order for the fellowship to be renewed yearly, recipients must maintain a 3.2 cumulative GPA, full-time status, participate in the Honors College, and participate in research in the appropriate academic discipline. Presidential Fellowships cannot be combined with any other MSU scholarships.</t>
  </si>
  <si>
    <t>Trustees - covers 100% Tuition up to 15 semester hours each fall &amp; spring semester, plus a stipend of $1,500 annually 
Trustee scholarship recipients must participate in the Honors College</t>
  </si>
  <si>
    <t>80% of Tuition</t>
  </si>
  <si>
    <t>Regents - covers 80% Tuition up to 15 semester hours each fall &amp; spring semester , plus a stipend of $1,500 annually 
Requirements: GPA: 3.6 and above; AND ACT: 30 and above; and/or SAT: 1330 and above</t>
  </si>
  <si>
    <t>National Merit Finalist scholarship - Award Covers:
100% Tuition 
On-campus housing (double occupancy) 
Meal plan 
Awarded for up to four years to be received, for eight academic consecutive semesters 
Scholars must meet GPA and academic progress requirements each year to renew</t>
  </si>
  <si>
    <t>There are six competitive full-tuition scholarships for Governor's School for the Arts alumni not meeting the 25 ACT and 3.5 GPA requirements. Students must be majoring in art, music, or theatre to compete for one of these six tuition scholarships. Contact the appropriate academic department for more information.</t>
  </si>
  <si>
    <t>Northern Kentucky University</t>
  </si>
  <si>
    <t>Kentucky Governor’s Scholarship – students who have participated in the Kentucky Governor’s Scholars Program or the Kentucky School for the Arts Program and have a 3.0 or higher high school GPA and a 24 ACT or higher will receive up to a full tuition scholarship.</t>
  </si>
  <si>
    <t>http://inside.nku.edu/financialaid/scholarships/freshman/merit-based.html</t>
  </si>
  <si>
    <t>In-state: $9,384
Out-of-state: $18,384</t>
  </si>
  <si>
    <t>SAT Math: 460-573
SAT Critical Reading: 460-590
SAT Writing: 440-548</t>
  </si>
  <si>
    <t>Merit-Based Scholarship - Full Tuition plus $2,000 for study abroad</t>
  </si>
  <si>
    <t>https://inside.nku.edu/financialaid/scholarships/freshman/merit-based.html</t>
  </si>
  <si>
    <t>Full In State Tuition plus</t>
  </si>
  <si>
    <t>Science or Engineering Major</t>
  </si>
  <si>
    <t>The William H. Greaves Undergraduate Scholars Program in Science and Engineering
Greaves scholars will receive in-state tuition and a book allowance. Scholarships are renewable depending on the total number of semester hours earned and student classification, provided the scholar earns at least 24 credit hours each academic year and continues to meet the stated criteria.</t>
  </si>
  <si>
    <t>https://artscience.nku.edu/departments/biology/about/awards/scholarships.html</t>
  </si>
  <si>
    <t xml:space="preserve">in-state: $9,384, out-of-state: $18,384 </t>
  </si>
  <si>
    <t xml:space="preserve">SAT Math - 450-560 
SAT Critical Reading - 450-560 
SAT Writing - 420-540 </t>
  </si>
  <si>
    <t>ACT Score; Class Rank; Science or Math Major</t>
  </si>
  <si>
    <t>CINSAM Scholarship Thisis an undergraduate non renewable Scholars Program in Science and Mathematics intended for first-time freshmen with an ACT score of 25 or higher and class rank in the top 25% of their graduating class. They must be majoring in Math or Science.</t>
  </si>
  <si>
    <t>Overall Academic Performance; Specific Essays</t>
  </si>
  <si>
    <t xml:space="preserve">Freshman applicants for Educational Diversity Scholarship must show evidence of academic achievement and have a 2.5 weighted or higher high school GPA and be a US citizen or permanent resident.  </t>
  </si>
  <si>
    <t>https://inside.nku.edu/financialaid/scholarships/freshman/diversity.html</t>
  </si>
  <si>
    <t>Thomas More College</t>
  </si>
  <si>
    <t>Major in Computer Information Systems; GPA/Test Scores</t>
  </si>
  <si>
    <t>Computer Information Systems Scholarship/Workship - The Computer Information Systems Department offers this competitive scholarship to an incoming student who plans to major in Computer Information Systems. The selected applicant will be required to work 20 hours per week, 50 weeks per year in the Thomas More College Computer Center starting the summer prior to your freshman year.</t>
  </si>
  <si>
    <t>SAT Math: 420-510
SAT Critical Reading: 400-490
SAT Writing: Not reported</t>
  </si>
  <si>
    <t>James Graham Brown - Available to incoming freshmen and upperclassmen. Apply by January 15. Must file the FAFSA by January 15.
Those selected will be notified and invited for an on-campus interview.</t>
  </si>
  <si>
    <t>Transylvania University</t>
  </si>
  <si>
    <t>William T. Young Scholarship
Students eligible for these Premier Scholarship awards will be selected based primarily on their application materials. In some cases, an interview may be required; students for whom interviews are requested will be contacted by mid-January.</t>
  </si>
  <si>
    <t>SAT Math: 500-660
SAT Writing: not reported SAT Critical Reading: 520-640</t>
  </si>
  <si>
    <t>Union College</t>
  </si>
  <si>
    <t>Governor's Scholar Program - Graduate of Governors Scholar Program with a 3.0 GPA &amp; 24 ACT (or equivalent) Score. Up to Half Tuition scholarship for Governors Scholar Program Graduates below a 3.0 GPA &amp; 24 ACT. 
*Scholarships are also available for Governor's School for Entrepreneur &amp; Governor's School for the Arts</t>
  </si>
  <si>
    <t>SAT Math: 453-553
SAT Critical Reading: 433-508
SAT Writing: Not reported</t>
  </si>
  <si>
    <t>Graduate of Rogers Scholar Program with a 3.0 GPA &amp; 24 ACT (or equivalent) Score.</t>
  </si>
  <si>
    <t>University of Kentucky</t>
  </si>
  <si>
    <t>GSP/GSA students applying with a minimum test score of 31 ACT or 1420 SAT (M+CR) and minimum GPA of 3.50 on a 4.0 scale will receive a Presidential Scholarship, which provides in-state tuition for up to four years of undergraduate study, provided the student is admitted and has the qualifying test score and GPA on file with the Office of Undergraduate Admission by January 15.</t>
  </si>
  <si>
    <t>In-state: $11,320
Out-of-state: $26,156</t>
  </si>
  <si>
    <t>SAT Math 510-630
SAT Critical Reading 500-620
SAT Writing 490-610</t>
  </si>
  <si>
    <t>The Presidential Scholarship is a four-year award that provides for the cost of tuition. Requires a minimum test score of 31 ACT or 1420 SAT (M+EBRW) and a minimum unweighted GPA of 3.50 on a 4.0 scale.</t>
  </si>
  <si>
    <t>The Otis A. Singletary Scholarship - Four-year awards providing the cost of tuition and an allowance for room and board. Requires a minimum test score of 33 ACT or 1490 SAT* (M+EBRW) and a minimum unweighted GPA of 3.80 on a 4.0 scale.</t>
  </si>
  <si>
    <t>Patterson Scholarship for National Merit or Hispanic Finalists - National Merit® or Hispanic® Finalists who designate UK as their college choice with the National Merit Scholarship Corporation by mid-April are eligible for the Patterson Scholarship.</t>
  </si>
  <si>
    <t>University of Louisville</t>
  </si>
  <si>
    <t>Gatton &amp; Craft AcademyAward, Full - Full in-state tuition; graduate of Gatton &amp; Craft Academy for Excellence in Science and Mathematics</t>
  </si>
  <si>
    <t>In-state: $11,264
Out-of-state: $26,286</t>
  </si>
  <si>
    <t>22-29</t>
  </si>
  <si>
    <t>SAT Math: 510-620
SAT Critical Reading: 490-620
SAT Writing: not reported</t>
  </si>
  <si>
    <t>Governor's Scholar Award - completion of Governor’s Scholars Program or Governor’s School for the Arts.</t>
  </si>
  <si>
    <t>Overall Academic Performance; GPA/Test Scores; Leadership</t>
  </si>
  <si>
    <t>Brown Fellows is a kind of mentored scholarship that provides full tuition, room and board, plus a stipend for books. The program also includes a leadership retreat and local service activity; international travel as a group; and funding for individual enrichment opportunities.</t>
  </si>
  <si>
    <t>Grawemeyer Scholarship is a kind of mentored scholarship that provides hull in-state tuition, plus $8,000 per year educational allowance. Recipients are involved in a program of civic and cultural engagement in Metro Louisville. Recipients are also encouraged to do undergraduate research with faculty.</t>
  </si>
  <si>
    <t>Kentucky &amp; Southern Indiana</t>
  </si>
  <si>
    <t>150+</t>
  </si>
  <si>
    <t>Henry Vogt Scholarship: (formerly Hallmark) full in-state tuition, plus a partial stipend for room and board ($3,500). Actually applies to Kentucky &amp; Southern Indiana students.</t>
  </si>
  <si>
    <t>http://louisville.edu/admissions/cost-aid/scholarships/ky-so-in-scholarships</t>
  </si>
  <si>
    <t>African American and Hispanic/Latino Students; GPA/Test Scores</t>
  </si>
  <si>
    <t>Martin Luther King Scholarhip provides full in-state tuition plus an educational allowance to cover other university expenses. The program focuses on leadership and social justice. Limited to Kentucky and Southern Indiana residents.</t>
  </si>
  <si>
    <t>GPA; Overall Academic Performance; Leadership</t>
  </si>
  <si>
    <t>The McConnell Scholars Program is a prestigious enrichment program aimed at Kentucky residents who have demonstrated outstanding leadership potential and are committed to the principles of scholarship, leadership and service.</t>
  </si>
  <si>
    <t>National Merit Finalist - Full in-state tuition, plus a stipend for room, board and books ($8,000). Qualification as National Merit Finalist - Must list UofL as first choice with National Merit Corporation.</t>
  </si>
  <si>
    <t>National Merit Semifinalist - Full in-state tuition. Qualification as National Merit Semifinalist - Must graduate from Kentucky high school with 3.35 GPA on 4.0 scale</t>
  </si>
  <si>
    <t>University of the Cumberlands</t>
  </si>
  <si>
    <t>Rogers Scholars - Each year, up to 3 full-tuition scholarships will be available to first-time freshmen who are graduates of the Kentucky Rogers Scholars Program. To qualify, the students must also have at least a 24 ACT and a 3.4 G.P.A. in high school.</t>
  </si>
  <si>
    <t>SAT Math: 460-550
SAT Critical Reading: 430-540
SAT Writing: Not reported</t>
  </si>
  <si>
    <t>Up to 95% of tuition</t>
  </si>
  <si>
    <t>Presidential Scholarships are available for first time freshmen with outstanding college entrance exam scores. Eligibility is based on a student's ACT and/or SAT score, and high school GPA. 
To qualify, a student must score a 30 or higher composite on the ACT or a 1390 or higher composite on the SAT (CR+M) and must have a 3.5 or higher GPA 
Presidential Scholarships are up to $22,000 per year for residents and up to $15,400 for commuters. Scholarships are renewed for the same amount each year for up to four years.</t>
  </si>
  <si>
    <t>Western Kentucky University</t>
  </si>
  <si>
    <t>Up to Full In-State Tuition Plus</t>
  </si>
  <si>
    <t>Cherry Presidential Scholarship - A total of 15 Cherry Presidential Scholarships will be competitively awarded from a group of selected applicants who meet all of the following criteria: a minimum 3.80 unweighted GPA and ACT composite of 31 or 1360 SAT. 
Those selected to receive the Cherry Presidential Scholarship will receive an annual award up to $16,000 ($64,000 over a four year period). Cherry Presidential Finalists will receive an annual award up to $12,000 ($48,000 over a four year period).</t>
  </si>
  <si>
    <t>In-state: $9,912
Out-of-state: $24,792</t>
  </si>
  <si>
    <t>SAT Math: 440-570
SAT Critical Reading: 430-580 
SAT Writing: not reported</t>
  </si>
  <si>
    <t>LA</t>
  </si>
  <si>
    <t>Louisiana College</t>
  </si>
  <si>
    <t>Smith Scholarship - Winner of Louisiana College's Top 30 Smith Scholarship competition</t>
  </si>
  <si>
    <t>SAT Math: 380-470
SAT Critical Reading: 480-490
SAT Writing: 440-470</t>
  </si>
  <si>
    <t>Louisiana State University--Baton Rouge</t>
  </si>
  <si>
    <t>GPA/Test Scores; Overall Academic Performance; Competition</t>
  </si>
  <si>
    <t>Stamps Scholarship is given to top 5 entering freshmen who are admitted to the Honors College with a competitive ACT or SAT writing score submitted to LSU; eligible students will be selected to compete through an essay, résumé submission, and faculty panel interview</t>
  </si>
  <si>
    <t>http://www.lsu.edu/financialaid/types_of_scholarships/entering_freshman_scholarships/Stamps_Scholarship.php</t>
  </si>
  <si>
    <t>In-state: $10,814
Out-of-state: $27,491</t>
  </si>
  <si>
    <t>SAT Math: 510-640
SAT Critical Reading: 510-620 
SAT Writing: not reported</t>
  </si>
  <si>
    <t>President’s Alumni Scholars Award is given to top 10 entering freshmen with a competitive ACT or SAT writing score. Eligible students will be selected to compete through an essay, résumé submission, and faculty panel interview</t>
  </si>
  <si>
    <t>http://www.lsu.edu/financialaid/types_of_scholarships/entering_freshman_scholarships/Presidents_Alumni_Scholars_Award.php</t>
  </si>
  <si>
    <t>Louisiana Tech University</t>
  </si>
  <si>
    <t>National Merit Scholarship
Open to: All admitted incoming freshman that are National Merit Finalists who list Louisiana Tech University as first choice with the National Merit Corporation
Academic Requirements: 3.0 cumulative GPA (on a 4.0 unweighted scale)
Available Awards: Unlimited awards which pay tuition, fees, on-campus housing, and meals for four years.
Maintaining Scholarship: Student must remain full-time and maintain a cumulative GPA of 3.0
Application Deadline: Apply for admission according to National Merit deadlines</t>
  </si>
  <si>
    <t>In-state: $8,847
Out-of-state: $29,370</t>
  </si>
  <si>
    <t>SAT Math: 490-630 SAT Critical Reading: 480-600
SAT Writing: not reported</t>
  </si>
  <si>
    <t>Dean's Scholarship</t>
  </si>
  <si>
    <t>Close to full tuition</t>
  </si>
  <si>
    <t>Dean's Scholarship + Bulldog Out of State Scholarship</t>
  </si>
  <si>
    <t>The Air Force Reserve Officer's Training Corps program offers a number of competitive scholarships to both men and women participants. This award may include payment of all tuition and fees, a per quarter allowance for textbooks, and a $300 per-month tax-free cash allowance.</t>
  </si>
  <si>
    <t>Presidential Scholarship</t>
  </si>
  <si>
    <t>SAT Math 490-630 SAT Critical Reading 480-600 SAT Writing not reported</t>
  </si>
  <si>
    <t>Presidential Scholarship + Bulldog Out of State Scholarship</t>
  </si>
  <si>
    <t>Tulane University</t>
  </si>
  <si>
    <t>Latin American Female; Overall Academic Performance</t>
  </si>
  <si>
    <t>Brandt Dixon Scholarship
This is a partial or full-cost award renewable for 4 years. It is awarded to one or more Latin American women pursuing studies in Liberal Arts. Typical recipients demonstrate strong academic and extracurricular credentials. No separate application is required. All Latin American female applicants are automatically considered for this scholarship.</t>
  </si>
  <si>
    <t>29-32</t>
  </si>
  <si>
    <t>SAT Math 620-700
SAT Critical Reading 620-710 
SAT Writing 640-720</t>
  </si>
  <si>
    <t>OVerall Academic Performance; Project submission</t>
  </si>
  <si>
    <t>Deans' Honor Scholarship is a full-tuition merit scholarship that requires submission of a creative project which is then reviewed by the Deans of the five undergraduate schools</t>
  </si>
  <si>
    <t>SAT Math 620-700
 SAT Critical Reading 620-710 
 SAT Writing 640-720</t>
  </si>
  <si>
    <t>Overall Academic Performance; Writing Component</t>
  </si>
  <si>
    <t>Paul Tulane Award is a full-tuition merit scholarship that requires additional writing components which is then reviewed by a scholarship committee led by the Dean of Admission</t>
  </si>
  <si>
    <t>Stamps Leadership Award is the University's most prestigious merit award recognizing and rewarding exceptional students who exemplify leadership, perseverance, scholarship, service, and innovation</t>
  </si>
  <si>
    <t>International Students</t>
  </si>
  <si>
    <t>Grades/Test Scores; Overall Academic Performance</t>
  </si>
  <si>
    <t>Global Scholarship
This is a partial or full-tuition award that is renewable for 4 years (5 years for students in the 5-year Architecture program). Recipients of this award are international students with outstanding academic records.
Applicants should demonstrate strong testing:
650+ on the SAT Verbal portion, or
28+ on the ACT, or
100+ on the TOEFL</t>
  </si>
  <si>
    <t>University of Louisiana - Lafayette</t>
  </si>
  <si>
    <t>Partial Ride Plus</t>
  </si>
  <si>
    <t>Jefferson Caffery Scholarship is awarded to National Merit Finalist or Semi-Finalist who have an ACT Composite score of 30+ (SAT 1330+) and 3.0 cumulative GPA. The award includes amounts to an approximate value of $62000 and incudes:
$1,700/semester for 8 semesters
Room and Board for 8 semesters
Campus Job for 8 semesters
Laptop Computer for 8 semesters 
Participation in Study Abroad</t>
  </si>
  <si>
    <t>In-state: $10,050
Out-of-state: $23,778</t>
  </si>
  <si>
    <t>SAT Math 470-590
SAT Critical Reading 460-590 
SAT Writing not reported</t>
  </si>
  <si>
    <t>Outstanding Student Scholarship has a total approximate value of $53,400 and includes:
$1,200/semester for 8 semesters
Room and Board for 8 semesters
Campus Job for 8 semesters
Laptop computer for 8 semesters</t>
  </si>
  <si>
    <t>University of Louisiana—​Monroe</t>
  </si>
  <si>
    <t>President's Distinguished Award- Additional rewards are added as GPA goes up. Out of state students may be eligible for an out-of-state tuition waiver also.</t>
  </si>
  <si>
    <t>In-state: $7,658
Out-of-state: $19,758</t>
  </si>
  <si>
    <t>SAT Math: 500-660
SAT Critical Reading: Not reported
SAT Writing: 440-550</t>
  </si>
  <si>
    <t>University of New Orleans</t>
  </si>
  <si>
    <t>GPA/Test Scores; Interview</t>
  </si>
  <si>
    <t>Homer Hitt Scholarship</t>
  </si>
  <si>
    <t>http://www.uno.edu/admissions/scholarships-awards.aspx</t>
  </si>
  <si>
    <t>In-state: $8,694
Out-of-state: $22,511</t>
  </si>
  <si>
    <t>SAT Math - 480-630
SAT Critical Reading - 460-600 
SAT Writing - Not reported</t>
  </si>
  <si>
    <t>Xavier University of Louisiana</t>
  </si>
  <si>
    <t>Public high school students from Orleans and Jefferson Parishes</t>
  </si>
  <si>
    <t>Norman C. Francis Scholarship: Valedictorians or Salutatorians from public high schools in Orleans and Jefferson Parishes are eligible to receive this full-tuition scholarship. Continued eligibility is based on a minimum 3.3 cumulative grade point average and will be assessed at the end of each academic year. The award covers eight consecutive semesters.</t>
  </si>
  <si>
    <t>http://www.xula.edu/financial-aid/how-types.html</t>
  </si>
  <si>
    <t>SAT Math: 420-560
SAT Writing: 420-540 SAT Critical Reading: 450-550</t>
  </si>
  <si>
    <t>US Catholic high school students</t>
  </si>
  <si>
    <t>St. Katharine Drexel Scholarship: Valedictorians or salutatorians from any U.S. Catholic high school are eligible to receive this full-tuition scholarship. Continued eligibility is based on a minimum 3.3 cumulative grade point average and will be assessed at the end of each academic year. The award covers eight consecutive semesters.</t>
  </si>
  <si>
    <t>Board of Trustees Scholarship: Recipients of The Board of Trustees Scholarship will receive full tuition, fees, room and board.</t>
  </si>
  <si>
    <t>http://www.xula.edu/admissions/scholarships</t>
  </si>
  <si>
    <t>President’s Scholarship: Recipients of the Presidential Scholarship will receive full tuition and fees.</t>
  </si>
  <si>
    <t>MA</t>
  </si>
  <si>
    <t>Babson College</t>
  </si>
  <si>
    <t>WEISSMAN SCHOLARSHIPS
They have earned grades in Honors, Advanced Placement (AP), and International Baccalaureate (IB) coursework that place them among the top 5 percent of students in their programs. Their standardized test scores are among the best in the nation. They have demonstrated a passion for intellectual, creative, and entrepreneurial pursuits, and have a vision for how Babson and the Weissman Scholarship Program can help further dreams, for themselves and the world.
Selection for the Weissman Scholarship is based on the following criteria:
Academic excellence and intellectual passion
Great distinction in leadership activities
Strength of vision for how your goals can be fulfilled at Babson with the support of the Weissman Scholarship Program</t>
  </si>
  <si>
    <t>http://www.babson.edu/admission/tuition-aid/undergraduate/merit-awards/weissman-scholars/Pages/selection-criteria.aspx</t>
  </si>
  <si>
    <t>27-30</t>
  </si>
  <si>
    <t>SAT Math: 620-720
SAT Critical Reading: 580-720
SAT Writing: 590-660</t>
  </si>
  <si>
    <t>Bard College at Simon's Rock</t>
  </si>
  <si>
    <t xml:space="preserve">Overall Academic Performance  </t>
  </si>
  <si>
    <t>Elizabeth Blodgett Hall and Livingston Hall Scholarships
These full tuition scholarships are named in honor of the College’s founder and her husband.</t>
  </si>
  <si>
    <t>https://simons-rock.edu/admission/tuition-and-financial-aid/scholarships.php</t>
  </si>
  <si>
    <t>28-30</t>
  </si>
  <si>
    <t>SAT Math: 610-650
SAT Critical Reading: 640-750
SAT Writing: 610-700</t>
  </si>
  <si>
    <t>Boston College</t>
  </si>
  <si>
    <t>About 15</t>
  </si>
  <si>
    <t>Gabelli Presidential Scholars Program - There is no minimum GPA or SAT score requirement. However, we are looking for students with outstanding academic records, who hold leadership roles in their school and who are committed to and have a demonstrated interest in community service. Typically, the students selected are in the top 1-2 percent of the national pool of freshman applicants.</t>
  </si>
  <si>
    <t>SAT Math: 640-750
SAT Critical Reading: 620-720
SAT Writing: 640-730</t>
  </si>
  <si>
    <t>Boston University</t>
  </si>
  <si>
    <t>Boston parochial high school graduates</t>
  </si>
  <si>
    <t>Overall Academic Performance; Leadership; Service; On-Campus Interview</t>
  </si>
  <si>
    <t>The Cardinal Medeiros Scholarship is a four-year, full-tuition award available to selected graduating seniors from parochial high schools in the Archdiocese of Boston. Recipients are chosen for academic achievement, leadership ability and dedication to community service.</t>
  </si>
  <si>
    <t>SAT Math 620-730
SAT Critical Reading 580-680 
SAT Writing 600-690</t>
  </si>
  <si>
    <t>Boston public high school graduates</t>
  </si>
  <si>
    <t>This prestigious four-year, full-tuition scholarship is awarded to 25 seniors graduating from Boston public high schools. Thomas M. Menino Scholarship recipients are selected for their ability to face the intellectual challenges at Boston University and for their potential to contribute to the University community and society.</t>
  </si>
  <si>
    <t xml:space="preserve">Trustee Scholarship - Boston University’s most prestigious merit-based award recognizes students who show outstanding academic and leadership abilities. Every year, Boston University welcomes about 20 outstanding students to the Trustee Scholars Program. Many of our current Scholars had perfect 4.0 grade point averages in high school and typically ranked in the top 5–10% of their class.
In addition to exceptional academic credentials, Trustee Scholars are intellectually and creatively adventurous and demonstrate viewpoints, experiences or achievements beyond the usual. They are, in other words, not just top students, but extraordinary people. </t>
  </si>
  <si>
    <t>Brandeis University</t>
  </si>
  <si>
    <t>Arab &amp; Jewish Israeli Citizens</t>
  </si>
  <si>
    <t>Overall Academic Performance; Involvement in coexistence efforts</t>
  </si>
  <si>
    <t>Sylvia and Joseph Slifka Israeli Coexistence Scholarship is awarded to two Israeli citizens; one Arab and one Jewish. These students, along with the two recipients of the Judd and Jennifer Malkin Israeli Scholarship, bring reality and personal commitment to the campus discussion of peaceful coexistence in Israel and in the world in general.</t>
  </si>
  <si>
    <t>http://www.brandeis.edu/student-financial-services/scholarships/international.html</t>
  </si>
  <si>
    <t>SAT Math 650-770
SAT Critical Reading 600-700 
SAT Writing 640-710</t>
  </si>
  <si>
    <t>Jewish Israeli Citizens</t>
  </si>
  <si>
    <t>Involvement in coexistence efforts</t>
  </si>
  <si>
    <t>1 every 4 years</t>
  </si>
  <si>
    <t>The Malkin Israeli Endowed Scholarship is provided by the Malkin Israeli Scholar Endowment Fund. This award is a full scholarship awarded to one Jewish Israeli student every four years who will work to foster greater tolerance and under-standing in both Israel and the United States.</t>
  </si>
  <si>
    <t>Chicago Residents</t>
  </si>
  <si>
    <t>Fannie Penikoff Scholarship - This scholarship is awarded to one outstanding entering first-year 
student from the Chicago area. This scholarship was created through a 
gift from the Fannie Penikoff Charitable Trust to the Jewish Federation 
of Metropolitan Chicago.
There is no application for this scholarship beyond the admission application and the CSS/Financial Aid PROFILE.</t>
  </si>
  <si>
    <t>http://www.brandeis.edu/student-financial-services/scholarships/merit.html</t>
  </si>
  <si>
    <t>29-34</t>
  </si>
  <si>
    <t>Clark University</t>
  </si>
  <si>
    <t>The Presidential LEEP Scholarship is for ambitious first-year applicants whose high school records place them at the top of Clark's applicant pool.</t>
  </si>
  <si>
    <t>SAT Math 560-670 SAT Critical Reading 560-670 
SAT Writing 560-670</t>
  </si>
  <si>
    <t>College of the Holy Cross</t>
  </si>
  <si>
    <t>Classics Major; strong Latin and/or Greek language background</t>
  </si>
  <si>
    <t>Bean and Fitzgerald Scholarship
The Department of Classics and the College of the Holy Cross offer competitive merit-based scholarships to outstanding high school graduates who will major in the Classics at Holy Cross. Each year, going back to the Class of 1977, we award two Rev. Henry Bean, S.J., Scholarships, which are four-year, full-tuition, merit-based scholarships. Every four years, including for the Class of 2020, we also award a full-tuition, merit-based Rev. William Fitzgerald, S.J., Scholarship. Fenwick Hall
Candidates are expected to have a strong background (equivalent of four years) in Latin and/or Greek, and significant academic achievement in all other subjects and on standardized tests. While standardized test scores are not required for admission to Holy Cross, candidates for the Bean and Fitzgerald scholarships are required to submit their scores on the standardized tests (SAT Math, Verbal and Writing, Latin SAT II, and/or Latin AP Exam) they have taken.</t>
  </si>
  <si>
    <t>SAT Math: 620-690 SAT Critical Reading: 600-690 SAT Writing: 610-700</t>
  </si>
  <si>
    <t>Music major; outstanding musical accomplishment; Overall Academic Performance</t>
  </si>
  <si>
    <t>The Brooks Scholarship is a four-year, full tuition scholarship offered to a high school senior who will major in Music or double major in music and another discipline.
Candidates must demonstrate outstanding accomplishment in the area of instrumental/vocal performance or composition as well as significant academic achievement. Holy Cross offers a rich and varied music curriculum, distinguished faculty members with international reputations, and opportunities for private study and participation in large and small music ensembles.</t>
  </si>
  <si>
    <t>Worcester, MA residents</t>
  </si>
  <si>
    <t>Overall Academic Performance; need is an additional factor</t>
  </si>
  <si>
    <t>Ellis Scholarship is a four-year, full tuition scholarship awarded annually to a high school senior who is a resident of Worcester. The Holy Cross Admissions Committee will select a recipient of the Ellis Scholarship each year based on academic excellence and personal strengths, while taking into account the financial need of the family. Students residing in Worcester are eligible. Finalists will be invited to interview with the Ellis Scholarship Committee in February.</t>
  </si>
  <si>
    <t>SAT Math 620-690 
SAT Critical Reading 610-690 
SAT Writing 610-710</t>
  </si>
  <si>
    <t>Dean College</t>
  </si>
  <si>
    <t>Hockomock Area YMCA members or volunteers</t>
  </si>
  <si>
    <t>Full Tuition - one year only</t>
  </si>
  <si>
    <t>Specific Organizational Involvement</t>
  </si>
  <si>
    <t>Hockomock Area YMCA Scholarship 
Students who are members or active volunteers in the Hockomock Area YMCA and who are graduates of a high school within the Hockomock service area are eligible for consideration for this one-time, full tuition scholarship for a student accepted to Dean College. For additional information about eligibility and to complete a scholarship application, contact the Office of Admission or the Hockomock Area YMCA.</t>
  </si>
  <si>
    <t>15-20</t>
  </si>
  <si>
    <t>Gordon College</t>
  </si>
  <si>
    <t>Residents of Urban Areas</t>
  </si>
  <si>
    <t xml:space="preserve">Overall Academic Performance; Leadership; Service  </t>
  </si>
  <si>
    <t xml:space="preserve">The Clarendon Scholars are ten diverse students selected to receive the Clarendon Scholarship, a full tuition, four year scholarship, before the start of their freshman year. Clarendon Scholars must apply to the College from an urban area and are selected because of their demonstrated leadership in their school and church, their academic promise, and their desire to positively impact their community.
To be considered for the Clarendon Scholars program, a student must:
Be a high school senior
Possess an aptitude for scholarship, a steady work ethic, and strong academics
Demonstrate a heart for service through leadership in church, community, and school.
</t>
  </si>
  <si>
    <t>SAT Math: 470-610 SAT Writing: 460-620 SAT Critical Reading: 480-620</t>
  </si>
  <si>
    <t>Massachusetts Maritime Academy</t>
  </si>
  <si>
    <t>Admiral Maurice J Bresnahan Scholarship - This 8 semester scholarship (fall and spring only) is a renewable award in the amount of in-state tuition, room and board. One scholarship is awarded each year to the top ranking Emery Rice Scholarship Recipient.</t>
  </si>
  <si>
    <t>In-state: $8,004
Out-of-state: $24,600</t>
  </si>
  <si>
    <t>SAT Math: 500-590
SAT Critical Reading: 480-570
SAT Writing: 460-550</t>
  </si>
  <si>
    <t>Captain Emery Rice Scholarship - This 8 semester scholarship (fall and spring only) is a renewable, multi-recipient (5) award in the amount of in-state tuition, room and board. Eligibility criteria can be obtained through the Admissions Office.</t>
  </si>
  <si>
    <t>Paul E Tsongas Scholarship - This 8 semester scholarship (fall and spring only) is a renewable, multi-recipient (5) award offered to qualified students in the amount of tuition and fees. Recipients must have at least a 3.75 calculated high school grade point average or be ranked in the top 10% of their high school graduating class as well as scored at least 1200 on the math and verbal SAT or scored 26 on the ACT or have received at least 2 grades of B+ or better in an AP class during their senior year of high school. This 4 year award is renewable provided the student maintains at least a 3.3 cumulative grade point average to be verified at the end of each spring semester.</t>
  </si>
  <si>
    <t>Mount Holyoke College</t>
  </si>
  <si>
    <t>Mount Holyoke's Trustee Scholarship is our most distinguished and generous merit award. Through the generosity of the College's Board of Trustees, a select group of our highest-achieving first-year students are chosen to receive this full tuition scholarship.
Trustee Scholars receive:
A full tuition scholarship (currently $43,700), renewable for four years
Organized opportunities to network with alumnae and Trustees
Special invitations to campus events with distinguished speakers and guests</t>
  </si>
  <si>
    <t>SAT Math: 610-735
SAT Writing: 630-720 SAT Critical Reading: 620-730</t>
  </si>
  <si>
    <t>Northeastern University</t>
  </si>
  <si>
    <t>Overall Academic Performance; Overcome Exceptional Odds</t>
  </si>
  <si>
    <t>Continuing our storied commitment to educational access, the Torch Scholars Program awards full-tuition scholarships to students who have overcome exceptional odds and demonstrated the potential for academic excellence. The program includes a Summer Immersion Program prior to freshman year. Torch Scholars receive full tuition, fees, and room and board as well as significant personal and academic support.</t>
  </si>
  <si>
    <t>31-34</t>
  </si>
  <si>
    <t>SAT Math 680-770
SAT Critical Reading 660-740 
SAT Writing 640-730</t>
  </si>
  <si>
    <t>Simmons College</t>
  </si>
  <si>
    <t>GPA/Test Scores; Overall Academic Performance; On-Campus Interview</t>
  </si>
  <si>
    <t>Gilbert &amp; Marcia Kotzen Scholarship
Full tuition, mandatory fees, and room and board. Plus an additional $3000 for academic pursuits outside of the classroom
Required to maintain 3.2 GPA and full-time enrollment</t>
  </si>
  <si>
    <t>SAT Math: 520-610
SAT Critical Reading: 540-630
SAT Writing: 530-630</t>
  </si>
  <si>
    <t>Smith College</t>
  </si>
  <si>
    <t>Public school students from Springfield or Holyoke, MA</t>
  </si>
  <si>
    <t>The Springfield/Holyoke Partnership
This partnership provides up to four full-tuition scholarships for students from Springfield and Holyoke, Massachusetts public schools. All students who apply to Smith from these schools will be automatically considered. This scholarship is available to U.S. citizens.</t>
  </si>
  <si>
    <t>SAT Math: 620-720
SAT Writing: 630-720 SAT Critical Reading: 620-740</t>
  </si>
  <si>
    <t>University of Massachusetts - Boston</t>
  </si>
  <si>
    <t>Chancellor's Scholarship - First-time, first-year MA residents are automatically considered with minimum 26 ACT (1200 SAT) and 3.5 GPA</t>
  </si>
  <si>
    <t>In-state: $13,435
Out-of-state: $32,023</t>
  </si>
  <si>
    <t>SAT Math 480-590 
SAT Critical Reading 470-570 
SAT Writing not reported</t>
  </si>
  <si>
    <t>University of Massachusetts--Dartmouth</t>
  </si>
  <si>
    <t>Overall Academic Performance; Service</t>
  </si>
  <si>
    <t>Endeavor Scholars Program
The Endeavor Scholarship is a four-year merit scholarship for new first-year students who have demonstrated both academic success and strong commitment to serving the community. 
The Endeavor Scholarship pays for tuition, mandatory fees, and standard room and board. The scholarship is applied after the student has been awarded financial aid and may change if the student's financial award has changed. 
The award will be for a total of no more than eight semesters (fall and spring semesters only) and is renewable each year as long as recipients meet all of therequirements.</t>
  </si>
  <si>
    <t>In-state: $13,188
Out-of-state: $27,473</t>
  </si>
  <si>
    <t>SAT Math: 470-570
SAT Writing: 430-550 SAT Critical Reading: 450-560</t>
  </si>
  <si>
    <t>University of Massachusetts--Lowell</t>
  </si>
  <si>
    <t>The Express Scholarship Program is designed to meet Airforce ROTC officer production requirements in specific fields and year group.</t>
  </si>
  <si>
    <t>In-state: $14,307
Out-of-state: $30,875</t>
  </si>
  <si>
    <t>SAT Math: 550-650
SAT Critical Reading: 520-620
SAT Writing: 500-600</t>
  </si>
  <si>
    <t>UMass Lowell is proud to award the Chancellor's Merit Scholarship, our most prestigious scholarship, to a very select number of our most academically qualified admitted freshmen who are permanent residents of Massachusetts. The Chancellor's Scholarship recognizes outstanding incoming freshmen who have demonstrated a commitment to academic excellence, leadership and community engagement.</t>
  </si>
  <si>
    <t>UMass Lowell is proud to award the Commonwealth Scholarship, to a select number of our top 5% of academically qualified admitted freshmen who are permanent residents of Massachusetts.</t>
  </si>
  <si>
    <t>Wentworth Institute of Technology</t>
  </si>
  <si>
    <t>Female STEM applicants; Overall Academic Performance</t>
  </si>
  <si>
    <t>Female STEM Scholarship - Wentworth offers two of these merit-based scholarships annually to deserving new female students. All female STEM applicants are automatically considered for this scholarship. In order to be considered for this scholarship, students must satisfy the following eligibility criteria:
 Be a female student entering Wentworth as a newly enrolled fulltime student for the 2016-2017 academic year
 Be accepted into one of Wentworth’s seven STEM academic majors: Civil Engineering Technology, Computer Science, Computer Networking, Computer Engineering Technology, Electromechanical Engineering, Electronic Engineering Technology, or Mechanical Engineering Technology
 Maintain a cumulative GPA of at least a 3.5</t>
  </si>
  <si>
    <t>SAT Math - 530-630 range of middle 50% 
 SAT Critical Reading - 480-580 range of middle 50% 
 SAT Writing - 460-560 range of middle 50%</t>
  </si>
  <si>
    <t>Westfield State University</t>
  </si>
  <si>
    <t xml:space="preserve">GPA/Test Scores; Overall Academic Performance  </t>
  </si>
  <si>
    <t>Tsongas Scholarships 
These are state-funded merit-based grants that recognize the outstanding academic achievement of selected new first-year students at Westfield State University. A limited number of Tsongas Scholarships are awarded annually. First-year applicants who are Massachusetts residents and meet the following minimum criteria will be considered automatically. 
Combined SAT-I score of 1360 or higher in Evidence-Based Reading &amp; Writing and Math; and
High school cumulative grade point average at the time of acceptance to the college of at least 4.0 on a 4.0 scale. 
Tsongas scholarships, which equal the annual cost of tuition and fees, are renewable each year for a maximum of four years by maintaining a 3.30 cumulative average on a 4.0 scale.</t>
  </si>
  <si>
    <t>In-state: $9,275
Out-of-state: $15,355</t>
  </si>
  <si>
    <t>SAT Math: 460-550
SAT Writing: 430-530 SAT Critical Reading: 450-540</t>
  </si>
  <si>
    <t>Worcester Polytechnic Institute</t>
  </si>
  <si>
    <t>Due to the generosity of Robert Foisie, each year up to 10 Foisie Scholars will be selected on a rolling basis from January to April. Each scholar will receive a four-year, full-tuition scholarship and a one-time $5,000 allowance to be used for a WPI Global Studies experience.</t>
  </si>
  <si>
    <t>https://www.wpi.edu/admissions/tuition-aid/types-of-aid/scholarships-grants/wpi-merit/foisie-scholars-program</t>
  </si>
  <si>
    <t>SAT Math: 640-740
SAT Critical Reading: 570-680
SAT Writing: 560-670</t>
  </si>
  <si>
    <t>Specific Program Participation; Minority and/or female applicant</t>
  </si>
  <si>
    <t>Offered every other year, in recognition of the extraordinary commitment that Paul A. Allaire, WPI Class of 1960, has made to FIRST and to the young people of America, WPI awards a full-tuition, four-year undergraduate scholarship (valued at more than $165,000) to a FIRST Robotics Competition (FRC) or FIRST Technical Challenge (FTC) team student participant to attend WPI in pursuit of a career in engineering, science, or business. Each team participating in the FIRST Robotics Competition or FIRST Technical Challenge may nominate one of its student members for the WPI/Paul Allaire Future Engineering Leadership Scholarship during the year the scholarship is being offered. This scholarship is intended to be awarded to a student who is Native American, African American, Latino American, and/or female.</t>
  </si>
  <si>
    <t>https://www.wpi.edu/admissions/tuition-aid/types-of-aid/scholarships-grants/wpi-merit/first-scholarships</t>
  </si>
  <si>
    <t>WPI Design Innovation Scholarship
Each year, WPI awards a full-tuition, four-year undergraduate scholarship (valued at more than $165,000) to a FIRST Robotics Competition (FRC) or FIRST Technical Challenge (FTC) team student participant. Each team participating in the FIRST Robotics Competition or FIRST Technical Challenge may nominate one of its student members for the WPI Design Innovation Scholarship.</t>
  </si>
  <si>
    <t>MD</t>
  </si>
  <si>
    <t>Coppin State University</t>
  </si>
  <si>
    <t>Golden Eagle Honors Program Scholarship Eligibility:First-semester, first-year student3.2 high school grade point average, or its equivalence1,820 SAT[Provides tuition, fees and room and board]</t>
  </si>
  <si>
    <t>In-state: $6,448
Out-of-state: $12,178</t>
  </si>
  <si>
    <t>SAT Math 390-460
SAT Critical Reading 400-460 
SAT Writing not reported</t>
  </si>
  <si>
    <t>Eagle Honors Program Scholarship Eligibility:First-semester, first-year student3.0 high school grade point average1,590 SAT[Provides tuition and fees]</t>
  </si>
  <si>
    <t>Johns Hopkins University</t>
  </si>
  <si>
    <t>Engineering Major; Overall Academic Performance</t>
  </si>
  <si>
    <t xml:space="preserve">Charles R. Westgate Scholarship in Engineering - These merit-based scholarships provide full tuition per year and a stipend toward living expenses for four years of undergraduate study in engineering. Students in any engineering major may be considered for the scholarships. </t>
  </si>
  <si>
    <t>https://finaid.jhu.edu/undergraduate-aid/types-of-aid/grants-scholarships/</t>
  </si>
  <si>
    <t>32-34</t>
  </si>
  <si>
    <t>SAT Math 710-790
SAT Critical Reading 690-760
SAT Writing 690-770</t>
  </si>
  <si>
    <t>Loyola University Maryland</t>
  </si>
  <si>
    <t xml:space="preserve">ROTC scholarships cover full tuition, fees, books and supplies. Recipients also receive a tax-free subsistence allowance each month that the recipient attends classes (up to 10 months each year): $300 freshman year, $350 sophomore year, $450 junior year and $500 senior year. </t>
  </si>
  <si>
    <t>SAT Math: 560-640
SAT Critical Reading: 540-628
SAT Writing: Not reported</t>
  </si>
  <si>
    <t>Baltimore, MD</t>
  </si>
  <si>
    <t>Catholic students; Overall Academic Performance</t>
  </si>
  <si>
    <t>Named in honor of his wife, the Marion Burk Knott Scholarships are made possible by a generous gift to the Archdiocese of Baltimore from Henry J. Knott, Baltimore businessman and philanthropist. These scholarships are four-year, full-tuition awards available on a competitive basis to Catholic students residing in the Archdiocese of Baltimore.</t>
  </si>
  <si>
    <t>McDaniel College</t>
  </si>
  <si>
    <t>Overall Academic Performance; On-Campus Interview</t>
  </si>
  <si>
    <t>Honors scholarships have a separate competitive process and invitations are extended to a select group of admitted students who are invited to campus for a brief scholarship interview. The Honors Scholarship competition requires that students have submitted complete applications for admission no later than January 2 of the senior year. Interviews are typically held in late February and decisions are made by mid-March. These four-year awards replace any academic scholarship previously awarded and have an annual value of $23,000, $25,000, or full tuition.</t>
  </si>
  <si>
    <t>SAT Math: 480-590
SAT Writing: not reported SAT Critical Reading: 480-560</t>
  </si>
  <si>
    <t>$10,000 to full tuition</t>
  </si>
  <si>
    <t>International student scholarships are available on a competitive academic basis and these awards range from $10,000 to full tuition. (Room, board, books, insurance and other fees are the responsibility of the student.) Scholarships are renewable for all four years of attendance.</t>
  </si>
  <si>
    <t>Mount Saint Mary's University</t>
  </si>
  <si>
    <t>ROTC Scholarships 
Mount students receive full tuition scholarships plus a monthly stipend from the Army ROTC program. Recipients are able to combine their ROTC scholarship with other Mount scholarships. Scholarships may be for two to four years.</t>
  </si>
  <si>
    <t>SAT Math - 450-560 
SAT Critical Reading - 460-570 
SAT Writing - 450-560</t>
  </si>
  <si>
    <t>Founder's Scholarships 
Two (2) full tuition Founder's Scholarships are awarded to incoming freshman who perform superbly during an on-campus written exam in late January or early February and a personal interview for finalists in early March.</t>
  </si>
  <si>
    <t>Mount St. Mary's University</t>
  </si>
  <si>
    <t>ROTC Scholarships 
Mount students receive full tuition scholarships plus a monthly stipend from the Army ROTC program. Recipients are able to combine their ROTC scholarship with other Mount scholarships. Scholarships may be for two to four years. Contact the Mount ROTC department at (301) 447-5350 or visit the ROTC Webpage for additional information on these scholarships.</t>
  </si>
  <si>
    <t>SAT Math: 450-560
SAT Writing: 450-560 SAT Critical Reading: 460-570</t>
  </si>
  <si>
    <t>Notre Dame of Maryland University</t>
  </si>
  <si>
    <t>Catholic Women's College students; Overall Academic Performance</t>
  </si>
  <si>
    <t>Knott Scholarships
Marion Burk Knott scholarships are awarded to Catholic students residing within the Archdiocese of Baltimore who have the highest levels academic excellence and consistent display of leadership and service.</t>
  </si>
  <si>
    <t>http://www.ndm.edu/admissions-aid/financial-aid/scholarships/institutional</t>
  </si>
  <si>
    <t>SAT Math: 460-570 
SAT Writing: not reported SAT Critical Reading: 470-570</t>
  </si>
  <si>
    <t>Women's College Students; GPA/Test Scores; On-Campus Competition</t>
  </si>
  <si>
    <t>Presidential Scholarships 
The most qualified students (with 3.7 grade point average and SAT score of 1350 or higher) receiving academic merit scholarships may be invited to campus to compete for additional scholarship dollars.</t>
  </si>
  <si>
    <t>Stevenson University</t>
  </si>
  <si>
    <t>Presidential Fellowship is awarded to incoming freshmen who have the potential to make a lasting impact on the Stevenson community. As a national leader in career-preparation education, Stevenson is the ideal place to talented, intellectually curious, and driven students to launch successful careers. 
Presidential Fellows Receive
Full-tuition scholarship renewable for four years
Invitation to participate in activities and events to encourage personal and intellectual growth</t>
  </si>
  <si>
    <t>SAT Math: 450-560
SAT Critical Reading: 450-550
SAT Writing: 450-550</t>
  </si>
  <si>
    <t>United States Naval Academy</t>
  </si>
  <si>
    <t>All Applicants</t>
  </si>
  <si>
    <t>There is no tuition or financial aid at the Naval Academy. The Navy pays 100% of the tuition, room and board, medical and dental care costs of Naval Academy midshipmen. This means ALL students who attend the Naval Academy do so on a full scholarship in return for 5 years of active duty service upon graduation. Additionally, you also enjoy regular active-duty benefits including access to military commissaries and exchanges, commercial transportation and lodging discounts and the ability to fly space-available in military aircraft around the world. Midshipmen pay is $1027.20 monthly, from which laundry, barber, cobbler, activities fees, yearbook and other service charges are deducted. Actual cash pay is $100 per month your first year, which increases each year thereafter.</t>
  </si>
  <si>
    <t>SAT Math: 610-700 
SAT Writing: not reported SAT Critical Reading: 570-680</t>
  </si>
  <si>
    <t>University of Maryland--College Park</t>
  </si>
  <si>
    <t>The Army Reserve Officers' Training Corps scholarship program package pays:
* Full tuition and mandatory fees or $10,000.00 per year room and board
* Book allowance of $1200.00 per academic year
* Tax-free monthly stipend of $300-$500 depending on class year</t>
  </si>
  <si>
    <t>https://eso.umd.edu/osfa-scholarships/veterans</t>
  </si>
  <si>
    <t>In-state: $10,182
Out-of-state: $32,045</t>
  </si>
  <si>
    <t>SAT Math: 620-730
SAT Critical Reading: 590-690
SAT Writing: Not reported</t>
  </si>
  <si>
    <t>Overall Academic Performance, Extra-Curricular Activities, On-Campus Interview</t>
  </si>
  <si>
    <t>Unknown (250 finalists are selected, but there is a full ride level and a lower level)</t>
  </si>
  <si>
    <t>Banneker/Key Scholarship - Identified through a competitive evaluation of admission application materials, scholarship candidates are reviewed in areas of academic achievement, standardized test scores, letters of recommendation, extracurricular activities, awards, honors and essays. There is no application for this award beyond the admission application used to accept a student into a University degree granting program. Every year about 400 Banneker/Key Semifinalists are invited to campus in the spring for an interview before the 250 finalists of the full Banneker/Key are selected.
There are two award levels for Banneker/Key Scholarships. The first award level covers the cost of tuition, mandatory fees, room and board, and a book allowance each year for four years. The second award level provides $8,000 towards tuition and a book allowance for in-state students or $12,000 towards tuition and a book allowance for out-or-state students.</t>
  </si>
  <si>
    <t>https://www.financialaid.umd.edu/scholarships/banneker_info.html</t>
  </si>
  <si>
    <t>Morgan State University</t>
  </si>
  <si>
    <t xml:space="preserve">ROTC Scholarships
Four-year Army ROTC scholarships are offered by the U.S. Army to selected high school seniors who desire to pursue a military career. These scholarships pay for all tuition, books, and laboratory fees and provide a $100 monthly allowance. Applications are accepted from July 1st until December 1st of each year. Three, two and one-year scholarships are awarded to college freshmen, sophomores, and juniors, respectively, on a competitive basis. </t>
  </si>
  <si>
    <t>http://www.morgan.edu/finaid/scholarships</t>
  </si>
  <si>
    <t>In-state: $7,636
Out-of-state: $17,504</t>
  </si>
  <si>
    <t>SAT Math - 400-500 
SAT Critical Reading - 400-490 
SAT Writing - Not reported</t>
  </si>
  <si>
    <t>Washington Adventist University</t>
  </si>
  <si>
    <t>National Merit Finalist** Full Tuition for 4 Years</t>
  </si>
  <si>
    <t>ME</t>
  </si>
  <si>
    <t>University of Maine</t>
  </si>
  <si>
    <t>UMaine National Merit Award Semi-Finalist status with the National Merit Scholarship Corporation 100% of Tuition and Fees</t>
  </si>
  <si>
    <t>In-state: $10,628
Out-of-state: $29,498</t>
  </si>
  <si>
    <t>SAT Math 480-610 SAT Critical Reading 480-600
SAT Writing 460-578</t>
  </si>
  <si>
    <t>MI</t>
  </si>
  <si>
    <t>Alma College</t>
  </si>
  <si>
    <t>National Merit Status; National Achievement Status; Hispanic Scholar Status</t>
  </si>
  <si>
    <t>Distinguished Scholar Award
National Merit, Achievement and Hispanic Scholars have a prestigious opportunity at Alma College: they will be invited to apply for a limited number of up to full tuition scholarships. Details will be personally provided by the Alma College Admissions staff upon accpetance.</t>
  </si>
  <si>
    <t>https://www.alma.edu/admissions/financial-aid/grants-scholarships/alma-scholarships/#merit</t>
  </si>
  <si>
    <t>SAT Math: 510-670 SAT Writing: 500-648 
SAT Critical Reading: 518-650</t>
  </si>
  <si>
    <t>Andrews University</t>
  </si>
  <si>
    <t>Test Scores</t>
  </si>
  <si>
    <t>Andrews University rewards the ACT/SAT Scholarship that covers 100% tuition for up to 144 undergraduate credits for incoming freshmen. This scholarship is for students scoring a composite score of 34 (ACT) or 1520 (SAT EBRW + Math) or higher and replaces the Andrews Partnership Scholarship (APS), APS extra, UG Targeted Scholarships, and Four in Four Scholarship.</t>
  </si>
  <si>
    <t>SAT Math 480-620
SAT Critical Reading 480-620
SAT Writing 480-600</t>
  </si>
  <si>
    <t>Andrews University rewards National Merit Finalists, National Achievement Finalists and National Hispanic Recognition Scholars a special Andrews Partnership Scholarship that covers 100% tuition for up to 144 undergraduate credits for incoming freshmen and replaces the Andrews Partnership Scholarship (APS), APS extra, UG Targeted Scholarships, and Four in Four Scholarship.</t>
  </si>
  <si>
    <t>Aquinas College</t>
  </si>
  <si>
    <t>The Spectrum Scholarship Program singles out worthy students and honors them for their academic and leadership achievements. The following scholarships are merit-based and recognize an array of students who have excelled in academics, leadership, athletics or community service. Aquinas recognizes these exceptional students with awards which range up to full tuition. With the exception of the competition scholarships, there are no minimum or maximum number of institutional scholarships awarded. For example, all accepted applicants meeting the criteria for an Academic Leadership award will receive the scholarship NOT only the first 100 or 500 etc..</t>
  </si>
  <si>
    <t>Each year one outstanding incoming freshman will receive the John E. Veneklasen Full-Tuition Scholarship. This award may be renewed for four years provided the student maintains a minimum 3.5 grade point average each year at Aquinas. Candidates for this award must meet requirements for the Monsignor Bukowski and/or Academic Leadership awards and are required to attend an on-campus competition during their senior year and be one of the top five performers. Recipients of the John E Veneklassen award are automatically admitted into our Insignis Honors Program.</t>
  </si>
  <si>
    <t>Each year the top performer in our annual Spectrum Scholarship Competition for incoming freshmen will receive the Jerome C. Byrne Full-Tuition and Room Scholarship. This award may be renewed for four years provided the student maintains a 3.7 grade point average at Aquinas. Candidates for this award must meet requirements for the Monsignor Bukowski and/or Academic Leadership awards and are required to attend an on-campus competition to be held during their senior year. Recipients of the Jerome C. Byrne award are automatically admitted into our Insignis Honors Program.</t>
  </si>
  <si>
    <t>Each year three excellent incoming freshmen will be designated R. Paul Nelson Full-Tuition Scholars. These students will have had superior high school grades and test scores and are chosen after the Spectrum Scholarship Competition held in the spring of each year. Recipients will receive a full-tuition scholarship, and this scholarship is renewable for four years provided the student maintains a 3.5 grade point average at Aquinas.</t>
  </si>
  <si>
    <t>Central Michigan University</t>
  </si>
  <si>
    <t>130 Centralis Gold Awards will be granted for 2017-2018. The value of this scholarship is equal to the cost of full tuition up to 36 credits per academic year. The scholarship is renewable for new freshmen for three additional consecutive years if a 3.7 cumulative GPA and successful completion of 30 new credit hours is maintained.</t>
  </si>
  <si>
    <t>In-state: $12,150
Out-of-state: $23,670</t>
  </si>
  <si>
    <t>SAT Math 430-580 SAT Critical Reading 470-560
SAT Writing 455-560</t>
  </si>
  <si>
    <t>Journalism or Broadcasting Major; GPA/Test Scores</t>
  </si>
  <si>
    <t>Lem Tucker Scholarship​ is awarded to two incoming freshmen who plans to major in journalism or broadcasting.</t>
  </si>
  <si>
    <t>These Centralis scholarships include CMU’s highest merit-based awards. One of these is the Centralis-Scholar Scholarship which pays 12 credits of tuition along with the room &amp; board and $250 book stipend at the beginning of the semester.</t>
  </si>
  <si>
    <t>Eastern Michigan University</t>
  </si>
  <si>
    <t>Michigan and Ohio Residents</t>
  </si>
  <si>
    <t>Full Tuition minus Federal, State and other EMU aid</t>
  </si>
  <si>
    <t>GPA/Test Scores; Pell Grant Eligible</t>
  </si>
  <si>
    <t>EMU Education First Opportunity Scholarship (EFOS) 
Type: Automatic consideration 
Amount: Full Tuition minus Federal, State and other EMU aid 
Requirement: Pell Grant eligible; resident of MI or OH, Minimum 20 ACT, Minimum GPA of 3.0, file FAFSA</t>
  </si>
  <si>
    <t>http://www.emich.edu/finaid/types/scholarships/freshman.php</t>
  </si>
  <si>
    <t>In-state: $11,219
Out-of-state: $27,712</t>
  </si>
  <si>
    <t>SAT Math - 450-590
SAT Critical Reading - 440-593
SAT Writing - 430-580</t>
  </si>
  <si>
    <t>Presidential Scholarship
Eastern Michigan’s Presidential Scholarships are awarded through our annual Presidential Scholarship Competition. Qualified students compete to receive our largest, academic award: a four-year, full-ride Presidential Scholarship, valued at approximately $85,000 over four years. Traditionally, 21 Presidential Scholarships are awarded annually.</t>
  </si>
  <si>
    <t>Grand Valley State University</t>
  </si>
  <si>
    <t>UAW Affiliation; GPA/Test Scores</t>
  </si>
  <si>
    <t>Owen Bieber Scholarship 
Full tuition 
This Scholarship is available for full-time entering students who are in some way affiliated with the UAW. 
Entering students must have a 3.5 or better GPA and 27 ACT composite score. 
a member in good standing for five years 
a retired member of the UAW 
a spouse of a five-year member or retired member 
a dependent son or daughter of a five-year member or retired member</t>
  </si>
  <si>
    <t>In-state: $11,520
Out-of-state: $16,392</t>
  </si>
  <si>
    <t>Hillsdale College</t>
  </si>
  <si>
    <t>$1,000 to full tuition</t>
  </si>
  <si>
    <t>Academic Merit Awards are based on the overall strength of the student’s application and not awarded solely on the basis of grades and test scores. Preference is given to students who present outstanding academic credentials, a superior record of leadership, substantial volunteerism, work experience and extra-curricular involvement, and a demonstrable desire to learn in a rigorous, challenging, honorable academic environment. Merit awards range from $1,000 to half tuition with a few three-quarter to full tuition awards given each year. An interview with an Admissions representative is strongly recommended.</t>
  </si>
  <si>
    <t>SAT Math: 580-660
SAT Writing: 610-730 SAT Critical Reading: 620-750</t>
  </si>
  <si>
    <t>Lake Superior State University</t>
  </si>
  <si>
    <t>Laker Gold Scholarship 
Value: Full tuition up to 17 credits per semester, inclusive of other LSSU awards, renewable. Up to three scholarships will be awarded each year through the Laker Gold Competition. 
Criteria: must meet Board of Trustees Distinguished Scholarship criteria, must have applied for admission no later than December 1st of senior year of high school, must be invited to attend annual competition and respond by invitation due date.</t>
  </si>
  <si>
    <t>https://www.lssu.edu/financial-aid/types-of-aid/scholarships/2017-2018-incoming-freshman/</t>
  </si>
  <si>
    <t>In-state: $11,089
Out-of-state: $11,089</t>
  </si>
  <si>
    <t>Lawrence Technological University</t>
  </si>
  <si>
    <t>Buell Honor provides full tuition for four years to students with high school GPA of 3.8 or higher, outstanding ACT or SAT scores. This scholarship is highly selective and competitive.</t>
  </si>
  <si>
    <t>SAT Math 500-630
SAT Critical Reading 460-590
SAT Writing 410-550</t>
  </si>
  <si>
    <t>Michigan State University</t>
  </si>
  <si>
    <t>Alumni Distinguished Scholarship is awarded to the top 15 candidates based on intellectual performance and participation in the MSU Alumni Distinguished Scholarship competition. Invitations to compete in the examination are sent to the most outstanding students who apply for admission by November 1.</t>
  </si>
  <si>
    <t>In-state: $14,063
Out-of-state: $37,890</t>
  </si>
  <si>
    <t>SAT Math 530-680
SAT Critical Reading 450-580 
SAT Writing 460-580</t>
  </si>
  <si>
    <t>Distinguished Freshman Scholarship is awarded to 20 runners-up in the Alumni Distinguished Scholarship competition; includes tuition and fees for eight semesters</t>
  </si>
  <si>
    <t>Michigan Technological University</t>
  </si>
  <si>
    <t>ROTC (US Army or Air Force) Scholarships are awarded based on merit to US citizens who have been accepted into the ROTC program. Up to full-time tuition and lab fees, plus a book allowance and a monthly stipend.</t>
  </si>
  <si>
    <t>In-state: $14,634
Out-of-state: $30,968</t>
  </si>
  <si>
    <t>SAT Math 565-690
SAT Critical Reading 545-665 SAT Writing 505-625</t>
  </si>
  <si>
    <t>Business Major; Leadership</t>
  </si>
  <si>
    <t>The Impact Scholarship is awarded competitively to Michigan high school seniors who have demonstrated leadership potential and are interested in accounting, economics, engineering management, finance, management, management information systems, and marketing.</t>
  </si>
  <si>
    <t>The Leading Scholar Award is awarded competitively to high school seniors with exemplary leadership attributes and outstanding scholarly achievement.</t>
  </si>
  <si>
    <t>Detroit Public School Student</t>
  </si>
  <si>
    <t>Wade H. McCree Jr. Incentive Scholarship is merit-based scholarship for students enrolled in a Detroit Public School. Recipients are chosen by the high school and must have a 3.0 grade point average, a 21 ACT, and be in a college prep curriculum to receive the award. Up to full-time tuition.</t>
  </si>
  <si>
    <t>Northern Michigan University</t>
  </si>
  <si>
    <t>Harden Scholarship - full ride: tuition (12-16 credits per semester), residence hall room and board (alternative policy for NMU apartments or off campus); university fee, student activity fee, one-time athletic event fee, and MacBook fee (Art and Design majors).</t>
  </si>
  <si>
    <t>In-state: $10,012
Out-of-state: $15,508</t>
  </si>
  <si>
    <t>Presidential Scholarship - full tuition (12-16 credits per semester) for in-state or out-of-state rates; most required fees (university fee, student activity fee, one-time student athletic event fee, and MacBook fee (Art and Design majors).</t>
  </si>
  <si>
    <t>Oakland University</t>
  </si>
  <si>
    <t>Presidential Scholar Award - Awarded to incoming freshmen with ACT score of 31 or higher and 3.9 GPA (out-of-state students with 3.0 GPA or better qualify for in-state tuition rates)</t>
  </si>
  <si>
    <t>In-state: $12,064
Out-of-state: $24,540</t>
  </si>
  <si>
    <t>SAT Math: 19-26
SAT Critical Reading: Not reported
SAT Writing: Not reported</t>
  </si>
  <si>
    <t>Olivet College</t>
  </si>
  <si>
    <t>$1,000-Full tuition</t>
  </si>
  <si>
    <t>Global Citizens Honors Program 
Students compete for various scholarship awards – including a full tuition scholarship and numerous additional academic scholarships – through an essay contest and interviews with Olivet College faculty.</t>
  </si>
  <si>
    <t>SAT Math: 400-500
SAT Critical Reading: 430-500 SAT Writing: Not Reported</t>
  </si>
  <si>
    <t>Rochester College</t>
  </si>
  <si>
    <t>Trustee Scholarship
Eligibility: Enter RC with 15 or fewer transferable college/university credit hours. National Merit Scholar Semi-Finalists automatically receive this award.
Amount: 100% tuition for 12 to 18 credit hours per semester (Fall and Spring terms only). Valued in excess of $94,000 over 5 years.</t>
  </si>
  <si>
    <t>SAT Math: 430-530
SAT Critical Reading: 480-640 SAT Writing: Not Reported</t>
  </si>
  <si>
    <t>Trustee Scholarship
Eligibility: Enter RC with 15 or fewer transferable college/university credit hours. Competitive Scholarship. Minimum ACT score 30 or SAT score 1320 (Math and Critical Reading) and High School cumulative GPA of 3.60 or higher based on a 4.0 scale. Must be full time boarding student. No other non-discretionary institutional aid or RC Discount may be added to a Trustee scholars student account. 
Amount: 100% tuition for 12 to 18 credit hours per semester (Fall and Spring terms only). Valued in excess of $94,000 over 5 years.</t>
  </si>
  <si>
    <t>Siena Heights University</t>
  </si>
  <si>
    <t>Trustee Scholarships 
GPA: 3.5 or higher 
Range: Up to full tuition (per academic year unless noted) 
Criteria: High school seniors demonstrating academic excellence who complete an application for admission and participate in one of the Academic Scholarship Competition Days.</t>
  </si>
  <si>
    <t>Spring Arbor University</t>
  </si>
  <si>
    <t>National Merit Scholarship Finalist/Semifinalist, must enter SAU same year as high school graduation; two finalists are selected for full tuition scholarship</t>
  </si>
  <si>
    <t>University of Detroit Mercy</t>
  </si>
  <si>
    <t>Resident of McNichols Puritan Lodge Community Counsel Area</t>
  </si>
  <si>
    <t>MPLCC Scholarship
Full Tuition/year
Interested students need to be a resident of the McNichols Puritan Lodge Community Counsel (MPLCC) area, which includes the boundaries of West McNichols on the north, and Lodge Freeway to the south, with Livernois on the west and Log Cabin and Idaho Streets on the east.</t>
  </si>
  <si>
    <t>SAT Math: 458-628
SAT Critical Reading: 443-608
SAT Writing: 425-608</t>
  </si>
  <si>
    <t>University of Michigan—​Flint</t>
  </si>
  <si>
    <t>Full Ride - $3,000</t>
  </si>
  <si>
    <t>Unlimited up to the full ride amount, which is competitively awarded</t>
  </si>
  <si>
    <t>Freshmen Merit Scholarships</t>
  </si>
  <si>
    <t>In-state: $10,884
Out-of-state: $20,802</t>
  </si>
  <si>
    <t>SAT Math: 490-640
SAT Critical Reading: 470-530
SAT Writing: 455-535</t>
  </si>
  <si>
    <t>University of Michigan--Dearborn</t>
  </si>
  <si>
    <t xml:space="preserve">Unlimited  </t>
  </si>
  <si>
    <t>The Chancellor’s Scholarship awards a full-tuition scholarship for up to four years</t>
  </si>
  <si>
    <t>In-state: $12,032
Out-of-state: $24,272</t>
  </si>
  <si>
    <t>In-state Students currently enrolled in a Michigan public high school within a school district with an economic disadvantaged status of 70% or greater as recognized by the State of Michigan (details on www.michigan.gov/cepi). Students enrolled in a Michigan charter school are also eligible if: A) their school is located geographically with an eligible district, or B) their school meets the 70% or greater economically disadvantaged threshold independently.</t>
  </si>
  <si>
    <t>Victors Scholarships are full-tuition scholarships (valued at ~$50,000 over four years). Opportunity Scholarship recipients will be invited to interview for one of the 15 full-tuition Victors Scholarships.</t>
  </si>
  <si>
    <t>Western Michigan University</t>
  </si>
  <si>
    <t>Medallion Scholarship
Value: $15,000 annually ($60,000 total award)
Eligible students participate in one of two Medallion competition days</t>
  </si>
  <si>
    <t>In-state: $11,493
Out-of-state: $26,851</t>
  </si>
  <si>
    <t>MN</t>
  </si>
  <si>
    <t>Augsburg College</t>
  </si>
  <si>
    <t>GPA/ACT Score; Pell Grant Eligible; Participated in college readiness program</t>
  </si>
  <si>
    <t>Augsburg Promise Grant. 
30 scholars will be selected 
total cost of tuition (does not include fees, room, or 
board) 
Must have: 
ACT of 20 or higher 
Cumulative GPA of 3.25 
Pell Grant eligible 
Participation in a college-readiness program 
Resident of Minnesota and a graduate of a Minnesota 
high school 
Must reside in the residence halls while attending 
Augsburg 
need to submit the $150 enrollment deposit or the 
deposit waiver form by May 1st, 2017.</t>
  </si>
  <si>
    <t>SAT Math - 440-560
SAT Critical Reading - 455-650
SAT Writing - 485-580</t>
  </si>
  <si>
    <t>Full Presidential Scholarship 
Amount: Full Tuition Scholarship 
recognizes 2 students per year from the competition taking place during Scholarship Weekend. 1 student will be selected from all finalists competing for a Fine Arts Scholarship and 1 student will be selected from all students competing for an Honor’s Scholarship/President’s Scholarship. 
All students selected to compete as finalists during Scholarship Weekend will be considered for the Full Presidential Scholarship. 
if a Full Presidential Scholarship is awarded, the recipient cannot receive any other Augsburg scholarships.</t>
  </si>
  <si>
    <t>Bethany Lutheran College</t>
  </si>
  <si>
    <t>Meyer Scholarship
Limitation 
One recipient per year 
Qualification 
ACT of 26 or better (1170 SAT composite of Critical Reading and Math) 
GPA of 3.6 or better 
Essay 
On-campus interview 
Application Procedure 
Applications must be received by March 1 for fall enrollment; on-campus interview is required 
Renewal Requirement 
Maintain Bethany GPA of 3.5 or better 
Annual Value 
Tuition 
Total value: Over $101,000</t>
  </si>
  <si>
    <t>College of St. Scholastica</t>
  </si>
  <si>
    <t>Residents of Poland</t>
  </si>
  <si>
    <t>Nationality</t>
  </si>
  <si>
    <t>Wasie Scholarships for Polish students 
Full Ride 
• Must be 100 percent Polish 
• apply for regular admission</t>
  </si>
  <si>
    <t>SAT Math: 340-540
SAT Critical Reading: 380-470
SAT Writing: 370-490</t>
  </si>
  <si>
    <t>Hamline University</t>
  </si>
  <si>
    <t>Physics Majors</t>
  </si>
  <si>
    <t>FULFORD-KARP PHYSICS SCHOLARSHIP 
Full-tuition awards will be granted to students who demonstrate interest in pursuing a degree and aptitude in the field of physics. Application due January 15. Complete our online application.</t>
  </si>
  <si>
    <t>SAT Math: 500-650
SAT Critical Reading: 480-660
SAT Writing: 480-620</t>
  </si>
  <si>
    <t>Minnesota State University—​Mankato</t>
  </si>
  <si>
    <t>ROTC Scholarships 
Open to incoming and current students, the United States Army Reserve Officers' Training Corps scholarships offer 100 percent college tuition and educational fees as well as a designated book allowance.</t>
  </si>
  <si>
    <t>In-state: $7,859
Out-of-state: $15,602</t>
  </si>
  <si>
    <t>North Central University</t>
  </si>
  <si>
    <t>GPA/Test Scores; Active membership in Assemblies of God church</t>
  </si>
  <si>
    <t>Regent's Scholarship
Amount:
100% Tuition
Details:
For the academic year immediately following high school graduation
Application deadline is March 1 (open to Fall semester entrants only)
Active membership and regular attendance at an Assemblies of God church
Minimum high school GPA of 3.5 on a 4.0 scale.
Minimum ACT Composite Score of 30 (not including writing portion)
Minimum SAT Total Score of 1320 (not including writing portion)
Renewable for up to 8 semesters by maintaining a 3.5 cumulative GPA at North Central
Application:
The Admissions Office will send information on applying for the Regent's Scholarship to students who have applied for admission to North Central and who meet the GPA and test score requirements for the scholarship.</t>
  </si>
  <si>
    <t>SAT Math: 450-570
SAT Critical Reading: 480-580 SAT Writing: Not Reported</t>
  </si>
  <si>
    <t>University of Minnesota--Morris</t>
  </si>
  <si>
    <t>Prairie Scholars
Prairie Scholars receive a scholarship package equivalent to full tuition, renewable for up to four years.</t>
  </si>
  <si>
    <t>In-state: $12,846
Out-of-state: $14,846</t>
  </si>
  <si>
    <t>SAT Math: 510-640
SAT Writing: 490-620 SAT Critical Reading: 500-660</t>
  </si>
  <si>
    <t>$4,000 to full tuition</t>
  </si>
  <si>
    <t>National Merit Finalists who choose Morris as their first-choice college will receive a full tuition scholarship, renewable for up to four years. Semi-Finalists and Commended Scholars are eligible for up to $4,000 disbursed evenly over four years, renewable for up to four years. Students must provide the Office of Admissions with documentation of their National Merit status to receive the award.</t>
  </si>
  <si>
    <t>University of St. Thomas</t>
  </si>
  <si>
    <t>US Residents</t>
  </si>
  <si>
    <t>Underrepresented first-generation students and graduates of select urban high schools</t>
  </si>
  <si>
    <t>The University of St. Thomas (UST) annually selects a number of well-qualified, first year students for receipt of Dease Scholarships. These full-tuition scholarships are awarded to underrepresented domestic, first-generation students and graduates from select urban high schools.</t>
  </si>
  <si>
    <t>Science, Math, or Engineering Majors</t>
  </si>
  <si>
    <t>These competitive scholarships are awarded by the St. Thomas Division of Science, Mathematics and Engineering to students planning to major in science, mathematics and/or engineering. Candidates are invited to campus to take math and science tests. Finalists are invited to interview with the scholarship committee.</t>
  </si>
  <si>
    <t>MO</t>
  </si>
  <si>
    <t>Central Methodist University</t>
  </si>
  <si>
    <t>The Eagle Select scholarship competition is a twice annual event for students in their senior year of high school that meet the invitation requirements. Students must meet a minimum of a 26 ACT score and have a 3.5 cumulative GPA. Upon acceptance, students may receive an invitation from the Office of Admissions to compete for scholarship awards up to full tuition (requires that students live on campus until graduation). The event is open to parents and families. It provides opportunities to see the campus and learn about financial aid, student services, and a variety of other helpful information.</t>
  </si>
  <si>
    <t>http://www.centralmethodist.edu/admissions/financial-aid/scholarships.php</t>
  </si>
  <si>
    <t>SAT Math - 410-570
SAT Critical Reading - 450-500
SAT Writing - 420-470</t>
  </si>
  <si>
    <t>Columbia College</t>
  </si>
  <si>
    <t>GPA/Test Scores; On-Campus Competition; Leadership</t>
  </si>
  <si>
    <t>Presidential Scholarship
Minimum 3.6 cumulative GPA and a 26 ACT or SAT equivalent. 
Recipients are selected from Scholarship Days. To be eligible must also demonstrate school/community leadership.</t>
  </si>
  <si>
    <t>20 - 26</t>
  </si>
  <si>
    <t>SAT Math: 470 - 535
SAT Critical Reading: 475-565 SAT Writing: Not Reported</t>
  </si>
  <si>
    <t>Culver-Stockton College</t>
  </si>
  <si>
    <t>GPA/Test Scores; Class Rank; On-Campus Competition</t>
  </si>
  <si>
    <t>Pillars for Excellence Scholarship: Full-tuition for four years at the student's freshman tuition value. This competition scholarship is awarded to a limited number of students with superior academic achievement. Eligible students will be asked to complete an essay and will be invited to campus to compete for this selective scholarship by participating in an interview with two faculty members.
Eligibility: Minimum 26 ACT or 1170 SAT (Critical Reading and Math) and a minimum 3.75 GPA based on a 4.0 grading scale (or equivalent) or Top 10% of graduating class (If class rank is unavailable, students must meet the other two requirements to be eligible to compete). The scholarship is renewable provided the student maintains a 3.20 GPA. Pillars recipients are ineligible for additional institutional scholarships or awards throughout their career at C-SC.</t>
  </si>
  <si>
    <t>http://www.culver.edu/pillars/</t>
  </si>
  <si>
    <t>SAT Math: 443-520
SAT Critical Reading: 400-540 SAT Writing: Not Reported</t>
  </si>
  <si>
    <t>Fontbonne University</t>
  </si>
  <si>
    <t>Presidential Award</t>
  </si>
  <si>
    <t>Maryville University of St. Louis</t>
  </si>
  <si>
    <t>St Louis, MO metropolitan area</t>
  </si>
  <si>
    <t>African-American Students; GPA/Test Scores</t>
  </si>
  <si>
    <t>Dr. Donald M. Suggs Scholarship is awarded to African-American students from the St. Louis metropolitan who have a GPA&gt;=3.25 OR ACT/SAT &gt;=23/1040.</t>
  </si>
  <si>
    <t>23-27</t>
  </si>
  <si>
    <t>Presidential Scholarship: Selected students who meet the minimum criteria for the Presidential, Trustee and Multicultural Scholarships are invited to compete for the appropriate scholarship at University Scholars Weekend.</t>
  </si>
  <si>
    <t>Trustee Scholarship: Selected students who meet the minimum criteria for the Presidential, Trustee and Multicultural Scholarships are invited to compete for the appropriate scholarship at University Scholars Weekend.</t>
  </si>
  <si>
    <t>Missouri State University</t>
  </si>
  <si>
    <t>Over 88% of tuition plus</t>
  </si>
  <si>
    <t>GPA/Test Scores; Class Rank; On-Campus Interview</t>
  </si>
  <si>
    <t>Presidential Scholarship
Value - $12,500 per year ($6,250 for tuition and $6,250 for on-campus housing). Total potential value over four years is $50,000. Non-Missouri residents will also receive a full waiver of non-resident fees for fall and spring semesters.
Number available - 35
Selection criteria - Rank in the top 10 percent of class (or have a 3.90 grade point average on a 4.00 scale) at the end of the sixth semester and have an ACT of 30 (or SAT of 1400*). ACT or SAT scores taken during or before October of the senior year will be considered.Finalists will be selected following an on-campus interview process. Qualified students who apply but are not chosen will receive the Board of Governors Scholarship and be considered for the University Scholarship.</t>
  </si>
  <si>
    <t>In-state: $7,076
Out-of-state: $14,126</t>
  </si>
  <si>
    <t>SAT Math: 468-613 SAT Critical Reading: 478-613 
SAT Writing: not reported</t>
  </si>
  <si>
    <t>Rockhurst University</t>
  </si>
  <si>
    <t>Nursing Major</t>
  </si>
  <si>
    <t>Tom D. Harmon Scholarship
Full tuition 
Awarded to nursing student based on competitive interviews
renewable annually
Students may not be awarded both a competitive and academic scholarship.</t>
  </si>
  <si>
    <t>SAT Math: 520-610
SAT Critical Reading: 490-600
SAT Writing	Not reported</t>
  </si>
  <si>
    <t>Trustees' Scholarship 
Full tuition 
Highly qualified entering freshman students selected based upon a competitive interview program renewable annually, must maintain a cum. GPA of 3.4 after freshman year, and 3.5 at the end of each subsequent academic year 
Must file admission application PRIOR to Jan. 31 
Students may not be awarded both a competitive and academic scholarship.</t>
  </si>
  <si>
    <t>Saint Louis University</t>
  </si>
  <si>
    <t>The Presidential Scholarship is a four-year, full-tuition award, the recipients of which represent some of the most exemplary student leaders on Saint Louis University's campus. Presidential Scholars are eligible to apply for additional funding (up to $1,200) in support of an Investigative Learning Experience (ILEX), which may take the form of a research venture, service project, internship, or other co-curricular endeavor.</t>
  </si>
  <si>
    <t>SAT Math: 560-680
SAT Critical Reading: 540-670 
SAT Writing: not reported</t>
  </si>
  <si>
    <t>Truman State University</t>
  </si>
  <si>
    <t>Test Scores; Class Rank; Overall Academic Performane; Extra-Curricular Achievements</t>
  </si>
  <si>
    <t>General John J. Pershing
Must be accepted by Jan. 15. 
top 3% of their HS class with ACT or SAT scores in the top 3% nationally with exceptional academic &amp; cocurricular accomplishments.
Twelve awards annually covering up to full tuition, room &amp; board per year at the average 2-person room rate plus a one time stipend of up to $4,000/yr. Supersedes other Truman-funded scholarships.</t>
  </si>
  <si>
    <t>In-state: $7,456
Out-of-state: $13,940</t>
  </si>
  <si>
    <t>SAT Math - 560-680 SAT Critical Reading - 580-730 SAT Writing - Not reported</t>
  </si>
  <si>
    <t>University of Missouri</t>
  </si>
  <si>
    <t>Scholarships are available to students who participate in the Reserve Officers Training Corps (ROTC) at the University of Missouri. Scholarship funds cover the costs of tuition and fees and provide allowances for textbooks and living expenses.</t>
  </si>
  <si>
    <t>In-state: $9,518
Out-of-state: $25,892</t>
  </si>
  <si>
    <t>SAT Math 530-650
SAT Critical Reading 530-650 
SAT Writing not reported</t>
  </si>
  <si>
    <t>University of Missouri--Kansas City</t>
  </si>
  <si>
    <t>GPA/Test Scores; Overall Academic Performance;Extra-Curricular Activities; Leadership</t>
  </si>
  <si>
    <t>Candidates for Trustees Scholars Program are evaluated based on their academic achievements, community or school involvement and leadership abilities.</t>
  </si>
  <si>
    <t>In-state: $9,563
Out-of-state: $23,363</t>
  </si>
  <si>
    <t>SAT Math: 520-710 
SAT Critical Reading: 510-680
SAT Writing: not reported</t>
  </si>
  <si>
    <t>Washington University</t>
  </si>
  <si>
    <t>John B. Ervin Scholars Program
Multiple full-tuition scholarships with $2,500 stipends
Multiple partial-tuition scholarships
Renewable annually, as long as the scholar is making satisfactory progress toward a degree.
Ervin applicants may apply for other Academic Scholarship &amp; Fellowship Programs that match their interests
All applicants to the Ervin Scholars Program will also be considered for the Enterprise Holdings Scholars Program, made possible through a generous contribution from Enterprise Holdings. No separate application is needed.</t>
  </si>
  <si>
    <t>SAT Math 710-790 
SAT Critical Reading 690-760 
SAT Writing 690-770</t>
  </si>
  <si>
    <t>Overall Academic Performance; Leadership; Community Service</t>
  </si>
  <si>
    <t>Annika Rodriguez Scholars Program
Multiple full-tuition scholarships with $2,500 stipends
Multiple partial-tuition scholarships
Renewable annually, as long as the scholar is making satisfactory progress toward a degree.
Rodriguez applicants may apply for other Academic Scholarship &amp; Fellowship Programs that match their interests
Washington University’s Annika Rodriguez Scholars Program recognizes students of exceptional merit who demonstrate academic and leadership achievements, as well as the passion for community service exemplified by Annika Rodriguez. In keeping with the legacy of the program, applicants should demonstrate their commitment to, or a history of, bringing diverse groups together and celebrating the cultures of different people.</t>
  </si>
  <si>
    <t>Overall Academic Performance; Leadership; Community Service; Integrity</t>
  </si>
  <si>
    <t xml:space="preserve">Danforth Scholars Program - The Danforth Scholars Program honors the student who embraces high ideals, whose life choices are guided by personal integrity, selflessness, a commitment to community, and a dedication to leadership and academic excellence.
Danforth Scholars may receive full- or partial-tuition scholarships. The scholarship is renewed each year for the duration of the degree program, provided the scholar progresses academically and upholds the high standards of character required of scholars.
The Program is open to prospective graduate or undergraduate students applying to Washington University. Undergraduates must be nominated to receive consideration. </t>
  </si>
  <si>
    <t>Business Major; Test Scores; Class Rank; Overall Academic Performance</t>
  </si>
  <si>
    <t>Up to 6 full-tuition and up to 10 partial-tuition</t>
  </si>
  <si>
    <t>Olin Business School Distinguished Scholars Program
Up to six full-tuition scholarships and up to 10 partial-tuition scholarships
Renewable annually, as long as the scholar is making satisfactory progress toward a degree.
Distinguished Scholars generally score in the top ranges on the SATs or ACTs. Most are in the top 10 percent of their classes in high school and have followed an extremely rigorous curriculum. In addition, Olin Business School looks for evidence of outstanding leadership and community service potential when selecting the recipient.</t>
  </si>
  <si>
    <t>Arts &amp; Sciences Majors</t>
  </si>
  <si>
    <t>Up to 16 full-tuition plus stipend; Up to 16 half-tuition</t>
  </si>
  <si>
    <t>Honorary Scholars Program in Arts &amp; Sciences
Four scholarship and fellowship programs, based on proposed area of study
Up to 16 full-tuition scholarships with $1,000 stipends.
Up to 16 half-tuition scholarships
Renewable annually, as long as the scholar is making satisfactory progress toward a degree
Applicants may apply for only one of the four scholarships: Compton, Mylonas, Moog, or Lien
Applicants may also apply for the Howard Nemerov Writing Scholarships, Entrepreneurial Scholars Program, and Ervin and Rodriguez Scholars Program.</t>
  </si>
  <si>
    <t>Test Scores; Class Rank; Overall Academic Performance; Portfolio Review</t>
  </si>
  <si>
    <t>1 full-tuition</t>
  </si>
  <si>
    <t>Fitzgibbon Scholarships in Architecture
One full-tuition scholarship and up to five $6,000 scholarships
Renewable annually, as long as the scholar is making satisfactory progress toward a degree.
Fitzgibbon Scholarship applicants may also apply for the Entrepreneurial Scholars Program, Ervin, and Rodriguez Scholars Program.
Fitzgibbon Scholars generally score in the top ranges on the SATs or ACTs. Most are in the top 10 percent of their classes in high school and have followed an extremely rigorous curriculum. They are to present evidence of their creative ability through a portfolio.</t>
  </si>
  <si>
    <t>Portfolio Review</t>
  </si>
  <si>
    <t>Conway/Proetz Scholarships in Art
One full-tuition scholarship and up to five $6,000 scholarships
Renewable annually, as long as the scholar is making satisfactory progress toward a degree.
Conway/Proetz Scholarship applicants may also apply for the Entrepreneurial, Ervin, and Rodriguez Scholars Program.
Each College of Art applicant who submits a digital portfolio containing 10-20 pieces by January 15 will be considered; no separate scholarship application is required. See below for details on what to include in the portfolio.</t>
  </si>
  <si>
    <t>Engineering Major; Overall Academic Performance; GPA/Test Scores; Class Rank</t>
  </si>
  <si>
    <t>Alexander S. Langsdorf Fellowships in Engineering
Up to 10 full-tuition fellowships
Renewable annually, as long as the scholar is making satisfactory progress toward a degree.
We encourage you to apply for both a Langsdorf Fellowship and the McKelvey Undergraduate Research Award.
Engineering applicants may also apply for the Entrepreneurial, Ervin, and Rodriguez Scholars programs.
Fellows generally score in the top ranges on the SATs or ACTs. Most are in the top 10 percent of their classes in high school and have followed an extremely rigorous curriculum.</t>
  </si>
  <si>
    <t>Webster University</t>
  </si>
  <si>
    <t>Presidential Scholarship 
Value: Full tuition - Renewable (up to five awarded annually) 
Must have a 3.75 cumulative G.P.A. (on a 4.0 scale), a minimum 27 ACT composite or 1280 combined SAT Critical Reading and Math, rank in the top 20% of their high school graduating class. Finalists are required to participate in an on-campus interview at Webster University.</t>
  </si>
  <si>
    <t>ROTC scholarship 
Full tuition plus 
ROTC students receive an average of $1200 a year for books and an average monthly stipend ranging between $300 and $500</t>
  </si>
  <si>
    <t>Westminster College</t>
  </si>
  <si>
    <t>The G. Robert Muelhauser Award of Excellence - 2 full tuition awards offered annually at Scholarship/Leadership Days</t>
  </si>
  <si>
    <t>SAT Math: 530-615
SAT Critical Reading: 428-535 SAT Writing: 443-523</t>
  </si>
  <si>
    <t>William Woods University</t>
  </si>
  <si>
    <t>Amy Shelton McNutt 
Full Tuition, Room and Board for four years if you maintain a GPA of 3.5 (1 recipient per year)</t>
  </si>
  <si>
    <t>SAT Math - 445-520 SAT Critical Reading - 430-540 SAT Writing - Not Reported</t>
  </si>
  <si>
    <t>WWU Scholar - Full Tuition
Requirement
ACT of 30 or SAT 1330
Minimum GPA 3.5
Successful completion of the LEAD program</t>
  </si>
  <si>
    <t>MS</t>
  </si>
  <si>
    <t>Alcorn State University</t>
  </si>
  <si>
    <t>GPA/Test Scors; Overall Academic Performance</t>
  </si>
  <si>
    <t>PRESIDENT'S EXCELLENCE SCHOLARSHIP
The President's Excellence scholarships are awarded to enrolling Freshmen with a composite score of 28 or above on the ACT or its equivalence on the SAT (1250 reading and math only) and a 3.0 or better high school cumulative grade point average (GPA) on a 4.0 scale upon graduation.  This scholarship is renewable each year provided the student maintains a 3.0 or above cumulative GPA. This scholarship includes fully funding tuition, room and board for four years and providing a $500 per semester book allowance and a $1,000 stipend each semester. The recipient of this scholarship must be a first-time freshmen.</t>
  </si>
  <si>
    <t>eBRW+M</t>
  </si>
  <si>
    <t>SAT Math - 390-500; SAT Critical Reading - 390-480; SAT Writing - Not reported</t>
  </si>
  <si>
    <t>PROVOST SCHOLAR SCHOLARSHIP     
The Provost Scholar scholarships are awarded to enrolling Freshmen with a composite score of 24-27 on the ACT or its equivalence on the SAT(1090-1240 reading and math only) and a 3.0 or better high school cumulative grade point average (GPA) on a 4.0 scale upon graduation.  This scholarship is renewable each year provided the student maintains a 3.0 or above cumulative GPA.  This scholarship covers room, board, tuition and a $400.00 per semester book allowance.  The recipient of this scholarship must be a first-time freshman.</t>
  </si>
  <si>
    <t>UNIVERSITY SCHOLAR SCHOLARSHIP
The University Scholar scholarships are awarded to students with 22 or 23 on the ACT or its equivalence on the SAT(1020-1080 reading and math only) and a 3.0 or better high school grade point average (GPA) on a 4.0 scale upon graduation. This scholarship covers tuition and also provides an additional $200.00 for books per semester. This scholarship is renewable provided the student maintains a 3.0 or above cumulative GPA. The recipient of this scholarship must be a first-time freshman.</t>
  </si>
  <si>
    <t>Jackson State University</t>
  </si>
  <si>
    <t>Automtatic</t>
  </si>
  <si>
    <t>Presidential Academic Scholarship
Requirements:  
Incoming Freshman, College Preparatory Curriculum GPA of 3.5
(as calculated by 
Undergraduate Admissions)
; ACT score of 28 or above or SAT 
score of 1250 and above (Reading 
and Math only, old scoring).  
Covers: 
Full Tuition, Room and Board
(campus only)
, Fees (mailbox, 
student activity, capital improvement, and non-resident fee) and $750
per semester for books.
Scholarship may be renewed for 3 years if an institutional GPA of 3.5
is maintained and with at 
least 30 credit hours earned each academic year.</t>
  </si>
  <si>
    <t>http://www.jsums.edu/admissions/files/2017/10/hsacademicscholarshipappl.pdf?x59239</t>
  </si>
  <si>
    <t>In-state: $7,261
Out-of-state: $17,614</t>
  </si>
  <si>
    <t>Full Academic Scholarship
Requirements:  
Incoming Freshman, College Preparatory Curriculum GPA of 
3.0 (as calculated by 
Undergraduate Admissions)
; ACT score of 25-27 or SAT score of 1130-1240
(Reading and Math only, old scoring).  Covers: 
Full Tuition, Room and Board charges 
(campus charges only)
Scholarship may be renewed for 3 years if an institutional GPA of 3.
25 is maintained and with at least 30 credit hours earned each academic year.
This scholarship does not cover non-resident fee or other fees.</t>
  </si>
  <si>
    <t>Tuition Academic 
Scholarship Requirements:  Incoming Freshman, 
College Preparatory Curriculum GPA of 3.0 (as calculated by 
Undergraduate Admissions);
ACT score of 23-24, or SAT 
score of 1050-1120
(Reading and Math only, old scoring).  Covers:  Tuition only
Scholarship may be renewed for 
3years
if an institutional GPA of 3.0
is maintained and with at least 30 credit hours earned each academic year. This scholarship does not cover non-resident
fee or other fees.</t>
  </si>
  <si>
    <t>Millsaps College</t>
  </si>
  <si>
    <t>Over 80% of Tuition</t>
  </si>
  <si>
    <t>Scholarship Grid</t>
  </si>
  <si>
    <t>23 - 28</t>
  </si>
  <si>
    <t>SAT Math: 525-630
SAT Critical Reading: 520-630
SAT Writing: Not Reported</t>
  </si>
  <si>
    <t>Tier 1- $30,000 - Full Tuition International applicants with an equivalent 3.9 GPA or above will automatically be considered upon submission of a complete undergraduate application for admission.</t>
  </si>
  <si>
    <t>http://www.millsaps.edu/financial-aid/scholarships-grants-loans-students.php</t>
  </si>
  <si>
    <t>Prospective Students from Attala, Carroll, Choctaw, Montgomery, or Webster Counties in Mississippi</t>
  </si>
  <si>
    <t>E.H. Sumners Grant</t>
  </si>
  <si>
    <t>Mississippi College</t>
  </si>
  <si>
    <t>Presidential Scholarship Interviews - A scholarship competition for freshmen Presidential Scholars.</t>
  </si>
  <si>
    <t>SAT Math: 490-600
SAT Critical Reading: 500-640
SAT Writing: Not reported</t>
  </si>
  <si>
    <t>Mississippi State University</t>
  </si>
  <si>
    <t>National Merit Finalist</t>
  </si>
  <si>
    <t>In-state: $7,780
Out-of-state: $20,900</t>
  </si>
  <si>
    <t>SAT Math: 480-640
SAT Critical Reading: 480-620
SAT Writing: Not reported</t>
  </si>
  <si>
    <t>National Merit Semifinalist</t>
  </si>
  <si>
    <t>Hispanic Recognition Status</t>
  </si>
  <si>
    <t>The University awards scholarship to those students who have been recognized by the College Board's National Hispanic Recognition Program</t>
  </si>
  <si>
    <t xml:space="preserve">GPA/Test Scores; Overall Academic Performance; Leadership  </t>
  </si>
  <si>
    <t>Presidential Scholarship -
Award:
Awarded to 10-12 of the most outstanding entering freshmen on a competitive basis
This scholarship is worth approximately $75,000, which covers tuition and **room and board for four years of undergraduate study, as well as $6,000 for study abroad and $4,000 for undergraduate research
Non-resident students may also receive a scholarship to cover up to 100% of the out-of-state portion of tuition
Presidential Scholarships replace Academic Excellence Scholarships
Criteria:
Minimum 30 ACT (1330 SAT, before March 2016 or 1390 SAT, March 2016-Present)
Outstanding high school academic record with a scholarship GPA of 3.75
Application to the Shackouls Honors College by December 1
Exceptional high school and community leadership</t>
  </si>
  <si>
    <t>https://www.admissions.msstate.edu/freshmen/money-matters/scholarships/competitive-scholarships/#schillig</t>
  </si>
  <si>
    <t>Rust College</t>
  </si>
  <si>
    <t>Honor’s Track 
Scholarship covers the cost of attending Rust College, including any federal or state aid for (4) years. 
Requirements: 
1. 22 ACT or 1530 SAT score. 
2. Maintain a 3.50 GPA. 
3. Write a 500 word essay.</t>
  </si>
  <si>
    <t>http://www.rustcollege.edu/administration/financial-aid/types_of_aid.html</t>
  </si>
  <si>
    <t>14-18</t>
  </si>
  <si>
    <t>University of Mississippi</t>
  </si>
  <si>
    <t>Stamps Leadership Scholarship
Award Amount: Up to Cost of Attendance after other awards. The package includes a $12,000 stipend for educational activities outside the classroom, including study abroad, research, and other enrichment pursuits.
Eligibility: Entering freshmen with exceptional academic and leadership records
How to Apply: Apply for admission to The University of Mississippi and complete online Special Programs &amp; Scholarships Application.</t>
  </si>
  <si>
    <t>In-state: $7,754
Out-of-state: $22,022</t>
  </si>
  <si>
    <t>SAT Math 500-600 SAT Critical Reading 490-600
SAT Writing not reported</t>
  </si>
  <si>
    <t>Academic Excellence Scholarship National Merit/Achievement Semifinalist/Finalist Award is awarded to entering freshmen with National Merit/Achievement Semifinalist/Finalist status and a 3.0 or higher GPA.</t>
  </si>
  <si>
    <t xml:space="preserve">Academic Excellence Scholarship </t>
  </si>
  <si>
    <t>http://finaid.olemiss.edu/scholarships/#8</t>
  </si>
  <si>
    <t>Robert M. Carrier Scholarship is awarded to entering freshmen who are Mississippi residents and possessing exceptional academic and leadership record.</t>
  </si>
  <si>
    <t>W.R. Newman Scholarship is awarded to entering freshmen who are Mississippi residents and possessing exceptional academic and leadership record.</t>
  </si>
  <si>
    <t>Sally Vick Hill Scholarship is awarded to entering freshmen who are Mississippi residents and possessing exceptional academic and leadership record.</t>
  </si>
  <si>
    <t>Business Major; Overall Academic Performance; Leadership</t>
  </si>
  <si>
    <t>Christine and Clarence Day Business Scholarship is awarded to entering freshmen who are Mississippi high-school graduates pursuing business degrees. Outstanding academic and leadership record required.</t>
  </si>
  <si>
    <t>SMBHC Honors Scholarship is awarded to entering freshmen selected to the Honors College; must be a Mississippi resident</t>
  </si>
  <si>
    <t>McDonnell Barksdale Scholarship is awarded to entering freshmen selected to the Honors College; must be a Mississippi resident</t>
  </si>
  <si>
    <t>In State Full Tuition Plus</t>
  </si>
  <si>
    <t>Doris Raymond Honors Scholarship is awarded to entering freshmen selected to the Honors College</t>
  </si>
  <si>
    <t>International Studies Major</t>
  </si>
  <si>
    <t>Croft Scholarship is awarded to entering freshmen with strong academic and leadership records who demonstrate an interest in international studies and who are actively pursuing a degree in international studies</t>
  </si>
  <si>
    <t>Ole Miss Women’s Council (OMWC) Scholarships are awarded to young men and women entering the freshman class at The University of Mississippi, unless otherwise designated by specific scholarships. Academic and leadership record is considered. Some scholarships may be need-based.</t>
  </si>
  <si>
    <t>Toyota-Haley Barbour Scholarship - Entering freshmen who are selected as a member of the Center for Manufacturing Excellence; exceptional academic, service, and leadership record required.</t>
  </si>
  <si>
    <t>University of Southern Mississippi</t>
  </si>
  <si>
    <t>National Merit Semi-Finalists receive full tuition. National Merit Finalists who list USM as their first choice receive a full ride plus a book stipend</t>
  </si>
  <si>
    <t>https://www.usm.edu/undergraduate-scholarships/freshman-designation-based-scholarships</t>
  </si>
  <si>
    <t>In-state: $7,334
Out-of-state: $16,204</t>
  </si>
  <si>
    <t>SAT Math 445-565
SAT Critical Reading 450-555 
SAT Writing not reported</t>
  </si>
  <si>
    <t>Presidential Scholarship - Composite 30 ACT or higher (combined SAT of 1330 or higher) and have been offered admission to the Honors College</t>
  </si>
  <si>
    <t>Academic Excellence Scholarship</t>
  </si>
  <si>
    <t>Honors College Discovery Scholarship 
A select group of students participating in the competition will be awarded the Discovery Scholarship, which consists of the following: 
Full tuition for four years (and a waiver of the nonresident fee, if applicable) 
The cost of campus housing for the fall and spring semesters of freshman year 
A one-time $5,000 scholarship toward the USM study-abroad program of the recipient's choice 
A one-time $1,750 research grant designed to support Honors College thesis research</t>
  </si>
  <si>
    <t>William Carey University</t>
  </si>
  <si>
    <t>WILLIAM CAREY UNIVERSITY SCHOLARS 
First-time freshmen who receive a 29 or higher ACT or 1300 or higher SAT (critical reading and math only) and fulfill the application 
requirements will be eligible to receive 30 hours of tuition for the first two years, 33 hours of tuition for the last two years, and a $1725 
room waiver. This is a comprehensive scholarship and may not be combined with any other scholarship offered by William Carey 
University. The WCU Scholar is a resident only scholarship. Recipients must maintain an overall GPA of 3.5.</t>
  </si>
  <si>
    <t>SAT Math - 490-650; SAT Critical Reading - 420-490; SAT Writing - Not reported</t>
  </si>
  <si>
    <t>MT</t>
  </si>
  <si>
    <t>Carroll College</t>
  </si>
  <si>
    <t>Carroll College Army ROTC offers full-ride Army ROTC scholarships</t>
  </si>
  <si>
    <t>SAT Math - 490-620 
SAT Critical Reading - 500-630
SAT Writing - 490-600</t>
  </si>
  <si>
    <t>Montana State University</t>
  </si>
  <si>
    <t>GPA/Test Scores; Overall Academic Performance; Leadership; Service; Unique Personal Qualities; On-Campus Interview</t>
  </si>
  <si>
    <t>Up to 22 Presidential; the number of Provost is unknown</t>
  </si>
  <si>
    <t>Presidential and Provost Scholarships - 
The Presidential Scholarships are Montana State University's most distinguished academic awards, recognizing scholastic achievement, demonstrated leadership and unique personal qualities. Scholarship recipients receive annual tuition waivers, a generous stipend and other unique incentives for each of four years. 
Finalists, who do not receive the Presidential Scholarship, will be considered for the Provost Scholarship.
Both Presidential and Provost scholarships include full tuition waivers and stipends (Presidential stipend is higher)</t>
  </si>
  <si>
    <t>http://www.montana.edu/honors/scholarships.html</t>
  </si>
  <si>
    <t>In-state: $7,031
Out-of-state: $23,042</t>
  </si>
  <si>
    <t xml:space="preserve">SAT Math - 510-640 
SAT Critical Reading - 510-630 
SAT Writing - 490-610 </t>
  </si>
  <si>
    <t xml:space="preserve">Armed Forces Scholarships - ROTC Scholarships are available for both incoming high school students and current university students that have a need for a scholarship to complete their undergraduate degree or master's degree. Scholarships range from full 4 year scholarships down to 2 year scholarships, and guarantee a career in an exciting and cutting edge profession. All scholarships pay for full tuition and mandatory fees, for both resident and non-resident students, a yearly book allowance and a tax-free monthly stipend to defray the cost of living. </t>
  </si>
  <si>
    <t>http://www.montana.edu/admissions/scholarships/index.html#freshman</t>
  </si>
  <si>
    <t>21-29</t>
  </si>
  <si>
    <t>University of Great Falls</t>
  </si>
  <si>
    <t>$16,000-Full Tuition</t>
  </si>
  <si>
    <t>Competitive Academic Awards  - 
UGF Scholars and Catholic High School Scholars may be awarded $16,000 to full tuition. Separate application is required and includes an essay and campus interview. Full time enrollment, participation in campus activities, on-campus residency and satisfactory academic progress are required to maintain the award through graduation.</t>
  </si>
  <si>
    <t>SAT Math - 410-530
SAT Critical Reading - 410-520
SAT Writing - 400-510</t>
  </si>
  <si>
    <t>Majoring in Exercise Science, Biology or Chemistry with the intent to pursue 
graduate education in a health sciences field; Overall Academic Performance</t>
  </si>
  <si>
    <t>Fichna Trust Scholarship for Health Sciences
The Fichna Trust has established a full ride scholarship for students pursuing a career in health sciences at the University of Great Falls. The scholarship covers tuition, fees, books, housing and meal plan and is renewable for four years.</t>
  </si>
  <si>
    <t>Chemistry, Biology or Math Major</t>
  </si>
  <si>
    <t>S-STEM Scholarship for Science and Math 
You may qualify for a full tuition scholarship, renewable for four years, at the University of Great Falls in partnership with the National Science Foundation.</t>
  </si>
  <si>
    <t xml:space="preserve">University of Montana  </t>
  </si>
  <si>
    <t>The Presidential Leadership Scholarship is the University of Montana’s premier freshman scholarship. Presidential Scholars are chosen solely on academic merit with scholarships being renewable for a total of four years. Approximately 25 PLS awards are made each year to incoming freshman.
Resident students receive a full tuition waiver. Non-resident students either have their tuition discounted through the WUE program or they receive a waiver equivalent to in-state tuition (currently $4,373). All PLS recipients also receive a stipend of $7,500 for the Gold Level or $5,000 for the Silver Level.</t>
  </si>
  <si>
    <t>http://www.dhc.umt.edu/scholarships/dhcScholarships.php#pls</t>
  </si>
  <si>
    <t>In-state: $6,215
Out-of-state: $23,669</t>
  </si>
  <si>
    <t>84%%</t>
  </si>
  <si>
    <t>SAT Math: 490-600
SAT Critical Reading: 490-620
SAT Writing: 480-600</t>
  </si>
  <si>
    <t>University of Montana—​Western</t>
  </si>
  <si>
    <t>Chancellor's Leadership - Awarded to MT resident with at least cumulative 3.6 GPA and 26 ACT or 1760 SAT</t>
  </si>
  <si>
    <t>In-state: $4,284
Out-of-state: $16,206</t>
  </si>
  <si>
    <t>SAT Math: 390-530
SAT Critical Reading: 410-520
SAT Writing: Not reported</t>
  </si>
  <si>
    <t>NC</t>
  </si>
  <si>
    <t>Appalachian State University</t>
  </si>
  <si>
    <t>For the highest-achieving students who have earned entry into The Honors College, the Chancellor’s Scholarship is a four-year program of rigorous study with full institutional costs (tuition, fees, room and board, book rental) paid. Chancellor’s Scholars are provided with study-abroad opportunities beginning in their freshman year, numerous classroom and experiential research opportunities and personalized academic mentoring in a unique, living-learning community.</t>
  </si>
  <si>
    <t>In-state: $7,136
Out-of-state: $21,652</t>
  </si>
  <si>
    <t>SAT Math: 530-620
SAT Critical Reading: 530-620
SAT Writing: 500-600</t>
  </si>
  <si>
    <t>The Wilson Scholars Program is Appalachian's premier scholarship, earned by students with excellent academic records, a demonstrated history of service and leadership, and a desire to make significant impacts in their communities. This prestigious program provides full institutional costs (tuition, fees, room and board, book rental), including out-of-state fees, as well as an annual $2,500 Experiential scholarship for investment in learning activities such as study abroad, undergraduate research, service-learning trips or internships.</t>
  </si>
  <si>
    <t>Full In State Tuition</t>
  </si>
  <si>
    <t>Committment to Diversity</t>
  </si>
  <si>
    <t>Diversity Scholars Program - a four-year leadership development program that combines funding at the amount of full in-state tuition and fees (tuition, fees, book rental), with participation in specially designed leadership development workshops, service-learning, international experiences and mentorship opportunities.</t>
  </si>
  <si>
    <t>Catawba College</t>
  </si>
  <si>
    <t>GPA/Test Scores; Academic Rigor</t>
  </si>
  <si>
    <t>McCorkle's Scholarship - Amounts to be announced 
SAT Math sub-score &amp; critical Reading sub-scores totaling 1150 or ACT composite Score of 25 &amp; academic grade point average of 3.7. Freshman status.</t>
  </si>
  <si>
    <t>SAT Math: 440-560
SAT Critical Reading: 430-550
SAT Writing	410-510</t>
  </si>
  <si>
    <t>Overall Academic Performance; Service; Character</t>
  </si>
  <si>
    <t>The Spirit of Catawba Scholarship is a full tuition award for bright students who excel in one or more of the primary values of Catawba: Scholarship, Character, Culture, and Service. Students are invited to compete for this award on the basis of their application for admission or by nomination by their admissions counselor.</t>
  </si>
  <si>
    <t>Theatre Major</t>
  </si>
  <si>
    <t>Catawba offers a full-tuition Theatre Arts scholarship that is auditioned for and awarded in tandem with our audition days. The Hobgood Theatre Arts Scholarship is awarded to the incoming student who best demonstrates the most potential in the Department’s long-established mission of "Changing the Face of the American Theatre." In order to qualify for this prestigious scholarship, students must meet the minimum cumulative GPA requirement of 3.5 (weighted), must have an SAT Ccritical Reading score of at least 500, and must meet all the application requirements.</t>
  </si>
  <si>
    <t>Davidson College</t>
  </si>
  <si>
    <t>Chicago public high school graduates</t>
  </si>
  <si>
    <t>Overall Academic Performance; financial need</t>
  </si>
  <si>
    <t>CHARLES SCHOLARSHIP
Annual Award Amount: Full cost of attendance (room, board, tuition, fees, spending allowance for books, travel, personal expenses)
Number Awarded: Up to three in each first-year class
Eligibility: Graduates of Chicago public high schools with strong records of academic and personal accomplishment who have established financial need. Preference is given to students of color, particularly Hispanic and Latino students.</t>
  </si>
  <si>
    <t>SAT Math: 630-720
SAT Writing: 610-720 SAT Critical Reading: 630-720</t>
  </si>
  <si>
    <t>Overall Academic Performance; Character; Leadership; Service</t>
  </si>
  <si>
    <t>Up to 8</t>
  </si>
  <si>
    <t>JOHN M. BELK SCHOLARSHIP
Annual Award Amount: Comprehensive cost (tuition, fees, room and board) and two $3,000 special study stipends
Number Awarded: Up to eight in each first-year class
Eligibility: Students who demonstrate exceptional achievement and promise in academics, character, leadership, and service</t>
  </si>
  <si>
    <t>Leadership</t>
  </si>
  <si>
    <t>WILLIAM HOLT TERRY SCHOLARSHIP
Annual award: Full tuition and one special opportunity stipend
Number awarded: Two in each first-year class
Eligibility: You have demonstrated exemplary leadership skills and personal qualities through student government, athletics, service, or other activities.</t>
  </si>
  <si>
    <t>Duke University</t>
  </si>
  <si>
    <t>Robertson Scholars Leadership Program - There is no such thing as a ‘typical Robertson Scholar’. Our Scholars pursue a range of passions, academic interests, and personal and professional goals.</t>
  </si>
  <si>
    <t>East Carolina University</t>
  </si>
  <si>
    <t>Full In-State Tuition</t>
  </si>
  <si>
    <t>The Honors College at East Carolina University is a diverse intellectual community for academically talented students of strong character. Students who are accepted to the Honors College will receive a merit scholarship equal to the value of in-state tuition.</t>
  </si>
  <si>
    <t>In-state: $6,916
Out-of-state: $22,874</t>
  </si>
  <si>
    <t>SAT Math 500-570 SAT Critical Reading 480-560
SAT Writing 450-540</t>
  </si>
  <si>
    <t>Elizabeth City State University</t>
  </si>
  <si>
    <t>UNC Campus scholarship is awarded to entering freshmen that graduate from a North Carolina high school. This award has a maximum value to equal the cost of tuition, fees, room, board and books up to $3,800 per academic year. This is awarded after all other need-based funds are awarded. Freshmen students can receive this for 8 semesters.</t>
  </si>
  <si>
    <t>In-state: $4,888
Out-of-state: $17,859</t>
  </si>
  <si>
    <t>15-19</t>
  </si>
  <si>
    <t>SAT Math - 390-480 
SAT Critical Reading - 370-460 
SAT Writing - 350-440</t>
  </si>
  <si>
    <t>Elon University</t>
  </si>
  <si>
    <t>The U.S. Army and U.S. Air Force award three or four-year ROTC scholarships, which cover the cost of tuition and books, plus $100 per month for personal expenses. Elon provides free on-campus housing and board during the time the ROTC scholarship pays tuition. The room and board scholarship is equal to the amount of a regular double room and up to the cost of the All Access + 7 meal plan.</t>
  </si>
  <si>
    <t>SAT Math: 560-650
SAT Critical Reading: 550-640
SAT Writing: 550-650</t>
  </si>
  <si>
    <t>Gardner-​Webb University</t>
  </si>
  <si>
    <t xml:space="preserve">Academic Fellows </t>
  </si>
  <si>
    <t>SAT Math: 430-550
SAT Critical Reading: 420-530
SAT Writing: 410-530</t>
  </si>
  <si>
    <t xml:space="preserve">Presidential Fellows </t>
  </si>
  <si>
    <t>Lees-​McRae College</t>
  </si>
  <si>
    <t>Elizabeth McRae Scholarship - This scholarship is awarded by Lees-McRae College and covers full tuition for a full-time student. Two scholarships are available for freshmen entering the College in the fall semester. Recipients are chosen from all students invited to attend Scholar’s Day. Scholar's Day includes interview and essay competition with the top two performers selected as recipients. The scholarship covers tuition and is renewable for four years as long as the recipient(s) maintain a minimum 3.0 GPA.</t>
  </si>
  <si>
    <t>SAT Math - 420-520
SAT Critical Reading - 420-540
SAT Writing - Not reported</t>
  </si>
  <si>
    <t>Only offered every 4 years; will be offered again in 2020-2021</t>
  </si>
  <si>
    <t>Named in honor of Ed and Dotti Shelton for their generous and humble leadership, guidance and support of Lees-McRae College, the Shelton Scholars Program will be the highest honor bestowed upon entering freshmen. This prestigious award will provide full tuition, room and board to one student selected during Scholars Day.</t>
  </si>
  <si>
    <t>Meredith College</t>
  </si>
  <si>
    <t>GPA/Test Scores; Leadership; Communication</t>
  </si>
  <si>
    <t>Meredith College Legacy Scholarship are choosen from the Honors applicant pool. The criteria for awarding the scholarship are rigorous and selective. Selection criteria include superior standardized test scores (SAT/ACT); an unweighted high school GPA of 3.8 and above, based on a 4.0 grading scale; superlative leadership in high school and the community; and strong communication and interpersonal skills.</t>
  </si>
  <si>
    <t>SAT Math - 460-570 
SAT Critical Reading - 460-560 
SAT Writing - Not reported</t>
  </si>
  <si>
    <t>Meredith College Presidential Scholarships are full tuition scholarships available each year for incoming freshmen. Like the Meredith Legacy Scholarship, the selection of a recipient for the Presidential Scholarship takes into account superior academic achievement, intellectual promise and leadership ability.</t>
  </si>
  <si>
    <t>Methodist University</t>
  </si>
  <si>
    <t xml:space="preserve">The Wright Scholars Program is a distinguished merit scholarship program for students who demonstrate high academic achievement, leadership qualities, commitment to community service and good citizenship. </t>
  </si>
  <si>
    <t>SAT Math: 450-570
SAT Critical Reading: 440-540
SAT Writing: 420-510</t>
  </si>
  <si>
    <t>North Carolina A&amp;T State University</t>
  </si>
  <si>
    <t>National Alumni Association Scholarship - Minimum qualifications include having a 3.0 or higher high school GPA and a 1080 or higher SAT or 22 ACT score.</t>
  </si>
  <si>
    <t>In-state: $6,265
Out-of-state: $19,025</t>
  </si>
  <si>
    <t>SAT Math 420-500
SAT Critical Reading 410-490 
SAT Writing 370-450</t>
  </si>
  <si>
    <t>Lewis and Elizabeth Dowdy Scholarship - Minimum qualifications include having 3.75 or higher high school GPA and a 1200 SAT (verbal and math only) or 26 ACT score and a one page double spaced essay.</t>
  </si>
  <si>
    <t>North Carolina Central University</t>
  </si>
  <si>
    <t xml:space="preserve">Soaring Eagle Scholarship:
Incoming freshmen designated National Achievement, Hispanic, or Merit Semifinalists by the National Merit Corporation and having a 1650 on the SAT or incoming freshmen who have at least a 3.50 high school GPA and scores of 1900 on the SAT or 29 on the ACT will receive the following over four years: In-state tuition and fees, room, board, books, $500/semester stipend, internships, and a laptop. </t>
  </si>
  <si>
    <t>In-state: $6,051
Out-of-state: $18,509</t>
  </si>
  <si>
    <t>SAT Math 400-470
SAT Critical Reading 400-470
SAT Writing 380-460</t>
  </si>
  <si>
    <t xml:space="preserve">Soaring Eagle Scholarship:
Incoming freshmen who have at least a 3.50 high school GPA and scores of 1900 on the SAT or 29 on the ACT will receive the following over four years: In-state tuition and fees, room, board, books, $500/semester stipend, internships, and a laptop. </t>
  </si>
  <si>
    <t>North Carolina State University--Raleigh</t>
  </si>
  <si>
    <t>US Citizen or Permanent Resident</t>
  </si>
  <si>
    <t>Overall Academic Performance; Leadership; Service; Character</t>
  </si>
  <si>
    <t>Park Scholarship Program is a prestigious, competitive academic scholarship program for students who demonstrate exceptional academic ability, exemplary character, and exceptional potential in leadership and service.</t>
  </si>
  <si>
    <t>In-state: $8,880
Out-of-state: $26,399</t>
  </si>
  <si>
    <t>SAT Math 590-680
SAT Critical Reading 570-650 
SAT Writing 540-630</t>
  </si>
  <si>
    <t>North Carolina Wesleyan College</t>
  </si>
  <si>
    <t>John &amp; Charles Wesley Heritage Scholarship - Full Tuition, Room (double only), Board, &amp; Books</t>
  </si>
  <si>
    <t>http://ncwc.edu/scholarships/</t>
  </si>
  <si>
    <t>SAT Math - 380-490 
SAT Critical Reading - 380-480 
SAT Writing - Not reported</t>
  </si>
  <si>
    <t>Trustee Scholarship - Full Tuition &amp; Books</t>
  </si>
  <si>
    <t>Class Rank</t>
  </si>
  <si>
    <t>Valedictorian/Salutatorian Scholarship - Full Tuition &amp; Books;Must be 1st or 2nd in class ranking on final transcript</t>
  </si>
  <si>
    <t>Queens University</t>
  </si>
  <si>
    <t>Royal Scholarship Program
Every year we invite hundreds of admitted students to compete for additional scholarship awards, beyond the merit scholarships above. To be considered for our full-tuition Presidential Scholarship, or our prestigious Byrum Scholarship for academic and leadership achievement,</t>
  </si>
  <si>
    <t>SAT Math: 470-570
SAT Critical Reading: 470-580
SAT Writing: Not reported</t>
  </si>
  <si>
    <t>Salem College</t>
  </si>
  <si>
    <t>Full Scholarships
The Robert E. Elberson Scholarship is a high honors, full scholarship that covers tuition and room and board and includes a semester of study abroad at Harlaxton College in Gratham, England. It is awarded to one incoming first-year student a year.</t>
  </si>
  <si>
    <t>20-28</t>
  </si>
  <si>
    <t>SAT Math: 470-600
SAT Critical Reading: 470-640
SAT Writing: Not reported</t>
  </si>
  <si>
    <t>Overall Academic Performance; Leadership; On-Campus Competition</t>
  </si>
  <si>
    <t>Full-Tuition Scholarships
Chatham, Davis, Weyand, Womble, and Whitaker Scholarships are prestigious awards that cover full tuition (not room and board) and are offered each year to ten to fifteen first-year students. These scholarships are designed to recognize and encourage young women of outstanding achievement and ability. Students are judged on the basis of superior academic performance and evidence of leadership, responsibility, and concern for others. The following characteristics are also considered: initiative, motivation, creativity, resourcefulness, and vigor. Fifteen finalists for the Elberson Scholarship and Full Tuition Scholarships will be invited for the Scholarship competition, which begins on Saturday of Salem's Scholarship weekend, February 13, and continues through Monday, February 15, 2016. Each award is renewable annually if the recipient maintains a 3.0 college GPA and is a full-time resident student.</t>
  </si>
  <si>
    <t>Studio Art, Art History, or Design Major; Portfolio; On-Campus Interview</t>
  </si>
  <si>
    <t>John Preston Davis Art Full-Tuition Scholarship 
Students interested in majoring in Studio Art, Art History or Design can apply for the Dr. John Preston Davis Art Scholarship. The Davis Scholarship is worth full tuition and is renewable annually with a 3.0 GPA. Students will need to submit an essay (topic below) and provide a letter of recommendation (if majoring in Studio Art or Design, one of these letters should be from an art teacher). Finalists will be invited to interview at Scholarship Weekend. Studio Art and Design candidates should bring a portfolio at the time of the interview.</t>
  </si>
  <si>
    <t>University of North Carolina-Chapel Hill</t>
  </si>
  <si>
    <t>Priority to Math, Science or Engineering Majors; Overall Academic Performance; Leadership</t>
  </si>
  <si>
    <t>Colonel Robinson Scholars - Based entirely on merit. This highly competitive program looks for outstanding academic achievement in high school and strong potential for continued leadership and engagement at Carolina. The Colonel Robinson Scholarship emphasizes mathematics, science, and engineering disciplines, so students with a demonstrated interest in those fields are given priority.</t>
  </si>
  <si>
    <t>In-state: $8,566
Out-of-state: $33,648</t>
  </si>
  <si>
    <t>SAT Math 610-700
SAT Critical Reading 590-690 
SAT Writing 590-700</t>
  </si>
  <si>
    <t>ROTC Scholarships - A prospective student can be awarded a scholarship for tuition, stipend, and book fees worth up to $160,000 over the course of a four year college career. The University of North Carolina Tar Heel Battalion provides 2, 3, and 4-year scholarships that cover the entire cost of tuition and fees. The scholarships are awarded by merit to the most outstanding students who apply.</t>
  </si>
  <si>
    <t>Nomination Required; Leadership; Character; Overall Academic Performance</t>
  </si>
  <si>
    <t>The Morehead-Cain is a four-year merit scholarship to the University of North Carolina at Chapel Hill</t>
  </si>
  <si>
    <t>The Robertson Scholars Leadership Program’s investment begins with the selection of a diverse community of undergraduate students – generally 18 at Duke and 18 at UNC-Chapel Hill each year – who demonstrate extraordinary potential.</t>
  </si>
  <si>
    <t>Up to Full ride plus</t>
  </si>
  <si>
    <t>The Pogue Scholars program is based entirely on merit with an emphasis on commitment to diversity.  Full ride for out-of-state students, $9,000 per year for in-state students.</t>
  </si>
  <si>
    <t>The Carolina Scholars program is Based entirely on merit. This highly competitive program looks for outstanding academic achievement in high school and strong potential for continued leadership and engagement at Carolina. .  Full ride for out-of-state students, $9,000 per year for in-state students.</t>
  </si>
  <si>
    <t>University of North Carolina--Charlotte</t>
  </si>
  <si>
    <t>The Levine Scholars Program is UNC Charlotte’s most prestigious merit scholarship program that carry a high honor, one that bestows tremendous opportunities and assumes high expectations of its recipients – as students, as leaders within the University, and as citizens of the greater global community. Applicants for this program must demonstrate a commitment to community service, hold an academic record that reflects a sustained passion for knowledge, and possess a capacity for ethical leadership that elevates fellow students to a higher standard.</t>
  </si>
  <si>
    <t>In-state: $6,763
Out-of-state: $19,934</t>
  </si>
  <si>
    <t>22-25</t>
  </si>
  <si>
    <t>SAT Math: 510-600
SAT Critical Reading: 500-580
SAT Writing: 470-560</t>
  </si>
  <si>
    <t>University of North Carolina--Greensboro</t>
  </si>
  <si>
    <t>Montgomery County Public School District, MD</t>
  </si>
  <si>
    <t>Kinesiology Major</t>
  </si>
  <si>
    <t>The Carol Jean Eiserer Memorial Scholarship provides for out-of-state tuition, fees, and on-campus room and board for a graduate of the Montgomery County Public Schools in Maryland, majoring in Kinesiology.</t>
  </si>
  <si>
    <t>http://www.uncg.edu/hhs/scholarship/JeanEiserer.php</t>
  </si>
  <si>
    <t>In-state: $7,041
Out-of-state: $21,903</t>
  </si>
  <si>
    <t>SAT Math 470-550
SAT Critical Reading 470-560
SAT Writing 440-540</t>
  </si>
  <si>
    <t>UNCG Blue &amp; Gold Scholarships recognize and encourage exceptional academic ability and talent. Blue &amp; Gold Scholarship winners are among the most outstanding students at UNCG and their achievements enrich and enhance the University.  Approximately thirty renewable scholarships(ranging from $1,500 to full tuition, fees, room and board) are offered annually to entering freshmen. Blue &amp; Gold Scholarship recipients are chosen primarily on the basis of superior scholastic and personal achievement and potential. Successful candidates generally present a minimum SAT score of 1200 (critical reading and math) or an ACT score of 27, and a minimum high school GPA of 3.5.</t>
  </si>
  <si>
    <t>https://fia.uncg.edu/uncg-grants-and-scholarships/blue-gold-scholarships/</t>
  </si>
  <si>
    <t>The Honors College awards the prestigious Katharine Smith Reynolds Scholarship, which is made possible by the Z. Smith Reynolds Foundation of Winston-Salem for North Carolina residents.</t>
  </si>
  <si>
    <t>http://honorscollege.uncg.edu/futurestudents/honors-college-scholarships.htm</t>
  </si>
  <si>
    <t>University of North Carolina-Wilmington</t>
  </si>
  <si>
    <t>Jefferies and Faris Associates Merit Scholarship is intended to provide a tuition and fees scholarship to an undergraduate UNCW student. Because the scholarship is renewable contingent on continuing satisfactory progress, a new recipient may not be named every year.</t>
  </si>
  <si>
    <t>In-state: $6,951
Out-of-state: $20,920</t>
  </si>
  <si>
    <t>SAT Math: 560-630
SAT Critical Reading: 560-630
SAT Writing: 520-620</t>
  </si>
  <si>
    <t>in state</t>
  </si>
  <si>
    <t>The Aaron and Elizabeth Silverman Scholarship Fund provides in-state tuition and fees scholarships to academically strong students. Scholastic achievement and graduation from an accredited North Carolina high school are the only criteria. The scholarship(s) can be awarded to a prospective student or to those students currently enrolled.</t>
  </si>
  <si>
    <t>The Devereux H. Lippitt Scholarship is awarded annually to a North Carolina student based on academic achievement. This scholarship is intended to cover the in-state cost of tuition and fees and is given in memory of Devereux Haigh Lippitt by his family. This scholarship may be renewed; therefore, it may not be available every year.</t>
  </si>
  <si>
    <t>Wake Forest</t>
  </si>
  <si>
    <t>full ride plus</t>
  </si>
  <si>
    <t>Guy T. Carswell Scholarships are awarded to students with outstanding qualities of academic promise, leadership, and talent.</t>
  </si>
  <si>
    <t>SAT Math 610-720
SAT Critical Reading 590-690 
SAT Writing 600-700</t>
  </si>
  <si>
    <t>Nancy Susan Reynolds Scholars must be not only excellent students and promising scholars, but also creative leaders who are able to influence others in directions likely to benefit society. They will have achieved unusual distinction in the classroom and beyond.</t>
  </si>
  <si>
    <t>Overall Academic Performance; Interest in Medical Career</t>
  </si>
  <si>
    <t>The Bradford Scholarship is awarded to a student with an intent and capacity to prepare for a career in medicine.</t>
  </si>
  <si>
    <t>Female; Overall Academic Performance; Leadership</t>
  </si>
  <si>
    <t>The Fletcher Scholarship is awarded based upon ability and leadership to a female from North Carolina, possessing the qualities of thoughtfulness and determination.</t>
  </si>
  <si>
    <t>the Graylyn Scholarship is offered to one student each year and recognizes leadership and academic excellence, with funding provided by and in recognition of the Graylyn International Conference Center of Wake Forest University.</t>
  </si>
  <si>
    <t>The O.W. Wilson Scholarship is awarded to students who have clearly superior records and excellent potential.</t>
  </si>
  <si>
    <t>The Stamps Leadership Scholar Award is awarded to approximately five entering first-year students who demonstrate outstanding academic achievement, a high degree of intellectual curiosity and scholarship, exceptional promise in leadership, service and social responsibility, perseverance, character, integrity, and innovation.</t>
  </si>
  <si>
    <t>http://financialaid.wfu.edu/merit-based-scholarships/stamps/</t>
  </si>
  <si>
    <t>Overall Academic Performance; Member of underrepresented group</t>
  </si>
  <si>
    <t>Wake Forest awards Joseph G. Gordon scholarships to students who show exceptional promise and achievement and who are members of constituencies traditionally underrepresented at Wake Forest.</t>
  </si>
  <si>
    <t>ND</t>
  </si>
  <si>
    <t>Minot State University</t>
  </si>
  <si>
    <t>Great Plains Exceptional Scholar Award 
Full Tuition for 4 Consecutive Years 
(does not include fees)</t>
  </si>
  <si>
    <t>In-state: $6,568
Out-of-state: $6,568</t>
  </si>
  <si>
    <t>SAT Math: 440-520
SAT Critical Reading: 425-510
SAT Writing: Not reported</t>
  </si>
  <si>
    <t>University of Jamestown</t>
  </si>
  <si>
    <t>Wilson Scholarship</t>
  </si>
  <si>
    <t>18-28</t>
  </si>
  <si>
    <t>SAT Math: 385-581
SAT Critical Reading: 371-579
SAT Writing: Not reported</t>
  </si>
  <si>
    <t>University of North Dakota</t>
  </si>
  <si>
    <t>North Dakota Scholars Program provides merit-based, full-tuition scholarships to qualifying North Dakota high school graduates who choose to earn undergraduate degrees in North Dakota. The amount of the scholarship is equal to the tuition rate charged at the scholar's institution, not to exceed the highest regular resident undergraduate tuition rate in the North Dakota University System.</t>
  </si>
  <si>
    <t>In-state: $8,137
Out-of-state: $19,291</t>
  </si>
  <si>
    <t>NE</t>
  </si>
  <si>
    <t>Creighton University</t>
  </si>
  <si>
    <t>Scott Scholars. 
incoming freshmen enrolling in the Heider College of Business,
Must have a minimum of 3.9 high school GPA on a 4.0 scale and a minimum ACT test score of 32 or SAT test score of 1400-1430 (Math + Critical Reading).</t>
  </si>
  <si>
    <t>SAT Math - 540-650; SAT Critical Reading - 510-630; SAT Writing - 510-620</t>
  </si>
  <si>
    <t>The ROTC scholarships contribute towards tuition and fees, a book allowance, and a 10-month stipend. Recipients are selected by the Army ROTC and by the Air Force ROTC . Creighton will provide a full room and board supplement upon activation of the scholarship.</t>
  </si>
  <si>
    <t>Nebraska Wesleyan University</t>
  </si>
  <si>
    <t>Huge-NWU Scholarship
The Huge-NWU Scholarship is awarded annually to exceptional first-year students at Nebraska Wesleyan University. Made possible by the Harry and Reba Huge Foundation, this scholarship supports academic excellence in all fields with up to full tuition, fees and residency over four years.
Applicants are also eligible for:
$4,000 Huge-NWU Commendation Scholarships (11 awards)
$1,000 Huge-NWU Recognition Scholarship (number of awards varies)
Application Deadline: December 1</t>
  </si>
  <si>
    <t>SAT Math: 460-650
SAT Critical Reading: 480-600 SAT Writing: Not Reported</t>
  </si>
  <si>
    <t>Board of Trustees Scholar - International Students</t>
  </si>
  <si>
    <t>SAT Math: 450-570
SAT Critical Reading: Not reported
SAT Writing: 455-570</t>
  </si>
  <si>
    <t>Board of Trustees Scholar - Domestic Students</t>
  </si>
  <si>
    <t>University of Nebraska--Kearney</t>
  </si>
  <si>
    <t>Board of Regents Scholarship is a full waiver of tuition awarded to Nebraska residents with a scholarship index of 100 to 86. The scholarship is renewable for up to 125 credit hours at UNK.</t>
  </si>
  <si>
    <t>In-state: $6,953
Out-of-state: $13,381</t>
  </si>
  <si>
    <t>SAT Math 420-530
SAT Critical Reading 440-540
SAT Writing not reported</t>
  </si>
  <si>
    <t>Full Tuition Plus for 2 Yrs</t>
  </si>
  <si>
    <t>Requires military service</t>
  </si>
  <si>
    <t>unknown</t>
  </si>
  <si>
    <t>Guaranteed Reserve Forces Duty (GRFD) is a 2 year scholarship which can be used with the G.I. Bill</t>
  </si>
  <si>
    <t>Multicultural Community Leadership</t>
  </si>
  <si>
    <t>Multicultural Community Service Scholarships are designed to provide students an opportunity to serve UNK by establishing a diverse and lively community. Recipients of this scholarship will receive a full tuition waiver up to 15 credit hours per semester. This scholarship is renewable for eight semesters and two summers. Recipients will be selected primarily on the basis of leadership in the multicultural community through participation in school and community activities</t>
  </si>
  <si>
    <t xml:space="preserve">The Blue &amp; Gold Scholarship is a full waiver of tuition awarded to non-resident students with a scholarship index of 100 to 86. </t>
  </si>
  <si>
    <t>Test Scores; Class Rank</t>
  </si>
  <si>
    <t xml:space="preserve">Unknown  </t>
  </si>
  <si>
    <t>The Omaha World Herald/Kearney Hub scholarship is UNK’s most prestigious scholarship. High School Seniors with an ACT of 30 or higher, and who rank in the top 10% of their class, are eligible to apply.</t>
  </si>
  <si>
    <t>University of Nebraska--Lincoln</t>
  </si>
  <si>
    <t>ROTC Scholarships from the Army, Navy, Marine Corps, and Air Force are awarded on a competitive basis to eligible students. Depending on the military service, special scholarships are reserved for engineering, business, physical science, social science, and nursing students. ROTC scholarships pay for tuition, most books, and fees.</t>
  </si>
  <si>
    <t>In-state: $8,538
Out-of-state: $23,058</t>
  </si>
  <si>
    <t>SAT Math 500-660
SAT Critical Reading 500-630 
SAT Writing not reported</t>
  </si>
  <si>
    <t>The Regents Scholarship is awarded to superior incoming freshmen who are graduates of Nebraska high schools. The scholarship is valued at full tuition for up to 135 credit hours or the completion of a bachelor's degree, whichever occurs first.</t>
  </si>
  <si>
    <t>Students who are finalists in nationally recognized scholarship competitions (e.g., National Merit Scholarship) are eligible for consideration for Chancellor's Scholarship. This covers full tuition coverage plus a $2,000 stipend annually, for up to four academic years and three inclusive summers, or the completion of a bachelor's degree, whichever comes first.</t>
  </si>
  <si>
    <t>University of Nebraska--Omaha</t>
  </si>
  <si>
    <t>GPA/Class Rank; Test Scores</t>
  </si>
  <si>
    <t>Regents Scholarships are offered to residents of Nebraska that are graduating seniors of Nebraska high schools. Applicants with a minimum ACT composite of 30 and either a rank in the top 25% of their graduating class OR a cumulative GPA of 3.5 or higher will qualify for the award.
The Regents Scholarship covers undergraduate resident tuition for full-time students and is renewable with a cumulative GPA of 3.25 or higher. The award is renewable for up to five total years or until 135 attempted credit hours is reached (not including hours earned through dual enrollment or AP classes) or a bachelor's degree is earned.</t>
  </si>
  <si>
    <t>In-state: $7,822
Out-of-state: $20,939</t>
  </si>
  <si>
    <t>Distinguished Scholarship
The University annually awards five Distinguished Scholarships. These scholarships have a total estimated value over a four-year period of $25,000 to $30,000. All five are awarded through the UNO Distinguished Scholarship Competition. Academically talented high school seniors are invited to campus each spring to compete by examination for these top awards.</t>
  </si>
  <si>
    <t>https://www.unomaha.edu/admissions/financial-support-and-scholarships/types-of-aid/scholarships/uno.php#regent</t>
  </si>
  <si>
    <t>Wayne State College</t>
  </si>
  <si>
    <t>Neihardt Scholars Program - Must have an ACT of 25 or above and have a 3.5 GPA on a 4.0 scale for six semesters. Program offers special classes and advising. Must maintain a 3.3 GPA to renew.</t>
  </si>
  <si>
    <t>In-state: $6,427
Out-of-state: $11,227</t>
  </si>
  <si>
    <t>NSCS Board of Trustees' Scholarship - Must be a Nebraska resident with an ACT of 25 or above. Must
maintain a 3.25 GPA to renew.  Full tuition renewable for 4 years.</t>
  </si>
  <si>
    <t>Omaha World-Herald Scholarship</t>
  </si>
  <si>
    <t>Overall Academic Performance; interest in specific career fields</t>
  </si>
  <si>
    <t>Rural Health Opportunities Program (RHOP) - For students from rural Nebraska who demonstrate academic
potential and a desire to practice medicine, dentistry, dental
hygiene, pharmacy, clinical laboratory science, physicians assistant,
physical therapy, radiography, or nursing in rural Nebraska.</t>
  </si>
  <si>
    <t>NJ</t>
  </si>
  <si>
    <t>Bloomfield College</t>
  </si>
  <si>
    <t>$6,000 - Full Tuition</t>
  </si>
  <si>
    <t>Presidential Scholarship
Incoming Freshmen
$7,000 - Full Tuition
3.0 - 3.5
980 - 1600+ (Math + Critical Reading/writing) or ACT Score: 19 - 36</t>
  </si>
  <si>
    <t>SAT Math: 390-480
SAT Critical Reading: 380-470 SAT Writing: Not Reported</t>
  </si>
  <si>
    <t>$9000 - Full Tuition</t>
  </si>
  <si>
    <t>Trustee Scholarship
Incoming Freshmen
$9,000 - Full Tuition
3.6 - 4.0
980-1600 (Math + Critical Reading/writing) or ACT Score: 19 - 36</t>
  </si>
  <si>
    <t>Caldwell University</t>
  </si>
  <si>
    <t>Test Scores; Overall Academic Performance</t>
  </si>
  <si>
    <t>Presidential Scholarships * are generally awarded to full-time freshmen with outstanding high school achievement and SAT scores exceeding 1200 (math and verbal combined). Awards range from $20,000 to full tuition and are renewable each year for four years.</t>
  </si>
  <si>
    <t>SAT Math: 430-550
SAT Writing: 420-530 SAT Critical Reading: 420-530</t>
  </si>
  <si>
    <t>College of New Jersey</t>
  </si>
  <si>
    <t>The College of New Jersey Army ROTC offers four-year, tuition-and-fees scholarships. Awardees will receive additional spending money and a one-time housing credit for the first semester.</t>
  </si>
  <si>
    <t>In-state: $15,794
Out-of-state: $26,971</t>
  </si>
  <si>
    <t>SAT Math: 570-670 
SAT Writing: 550-650 SAT Critical Reading: 550-640</t>
  </si>
  <si>
    <t>US Citizens or Permanent Residents</t>
  </si>
  <si>
    <t>50%-100% Tuition</t>
  </si>
  <si>
    <t>Community Service; Passion for Social Justice</t>
  </si>
  <si>
    <t>About 25</t>
  </si>
  <si>
    <t>The Bonner Community Scholars are a diverse group of students who share a common desire and commitment—to work as part of a team (of students, staff and community members) that strives to improve the quality of life in the Trenton area.</t>
  </si>
  <si>
    <t>College of St. Elizabeth</t>
  </si>
  <si>
    <t>Presidential Scholarship 
Full Tuition 
Awarded to a limited number of residential freshman or transfer students who demonstrate the highest level of academic achievement.</t>
  </si>
  <si>
    <t>SAT Math: 358-460
SAT Writing: 358-450 SAT Critical Reading: 350-443</t>
  </si>
  <si>
    <t>Fairleigh Dickinson University</t>
  </si>
  <si>
    <t>Presidential Scholarship
Full tuition
Highly selective/competitive scholarship
Consideration begins with students who meet the following criteria:
SAT (Critical Reading + Math) = 1300 or higher or ACT = 29 or higher
Minimum GPA of 3.5
Guidance/career counselor or EducationUSA advisor must submit a Presidential Scholarship Nomination Form
Nominations from agents/consultants are not accepted. Note that the paper form may only be submitted for international students and American's Abroad. Counselors submitting forms for domestic students must use the electronic form on www.fdu.edu/presidential
Personal essay of 400-500 words on a topic of the applicant's choosing
Conditions:
On-campus housing required for the duration of study
Renewable up to 4 years
DEADLINE: Fall - January 15; Spring - November 1</t>
  </si>
  <si>
    <t>SAT Math: 440-540
SAT Writing: 420-520 SAT Critical Reading: 430-520</t>
  </si>
  <si>
    <t>New Jersey Institute of Technology</t>
  </si>
  <si>
    <t>National Merit Scholarship (tuition, fees, room &amp; board if on campus)
This is a four-year scholarship awarded to students who have been selected by the National Merit Scholarship Corporation (NMSC) as finalists in the National Merit Scholarship Academic Program, an academic competition for recognition and scholarships. To enter the competition, a student must be either a U.S. citizen or a U.S. lawful permanent resident (intending to become a U.S. citizen at the earliest opportunity allowed by law); take the PSAT/NMSQT® in the specified year of the high-school program; and be enrolled full time in high school and planning to enroll full time in college immediately upon graduation. To maintain eligibility, you must be enrolled full time and maintain a minimum GPA of 3.0. This scholarship may be adjusted if you receive additional gift-aid assistance that would cause you to exceed your total cost of attendance.</t>
  </si>
  <si>
    <t>In-state: $16,430
Out-of-state: $31,034</t>
  </si>
  <si>
    <t>SAT Math 580-670
SAT Critical Reading 510-620 
SAT Writing 500-620</t>
  </si>
  <si>
    <t>Honors Merit Awards (up to tuition, fees, room and board if on campus) You must be accepted into the Albert Dorman Honors College to be eligible for this award.</t>
  </si>
  <si>
    <t>Half to Full Tuition</t>
  </si>
  <si>
    <t>Architecture Major</t>
  </si>
  <si>
    <t>Architecture Design Competition Scholarships (half- to full-tuition awards) 
This is a five-year scholarship for freshmen, sponsored by the New Jersey School of Architecture.</t>
  </si>
  <si>
    <t>Rutgers University</t>
  </si>
  <si>
    <t>Up to in-state full ride</t>
  </si>
  <si>
    <t xml:space="preserve">Rutgers First-Year Student Awards Admitted students who apply by December 1 and are offered admission to at least one school at Rutgers–New Brunswick will be considered for awards ranging from $3,500–$26,750 per year. No separate application is required, and scholarships are renewable provided the student maintains full-time enrollment status and meets the minimum academic criteria set for each scholarship.
Merit-based awards are competitive and are based on the academic strength and prowess of individual applicants, the overall strength of our applicant pool, and available funding. </t>
  </si>
  <si>
    <t>https://admissions.newbrunswick.rutgers.edu/paying-for-college/scholarships#FirstYear</t>
  </si>
  <si>
    <t>In-state: $14,372
Out-of-state: $30,023</t>
  </si>
  <si>
    <t>SAT Math 580-700
SAT Critical Reading 530-640 
SAT Writing 540-660</t>
  </si>
  <si>
    <t>Not Reported</t>
  </si>
  <si>
    <t>Seton Hall University</t>
  </si>
  <si>
    <t>ROTC Scholarships are available to incoming freshmen and incoming transfer students pursuing a commission with the Army, Army Reserve or National Guard.</t>
  </si>
  <si>
    <t>SAT Math 520-620
SAT Critical Reading 500-600 
SAT Writing 500-600</t>
  </si>
  <si>
    <t>St. Peter's University</t>
  </si>
  <si>
    <t>Presidential Academic Scholarship
Annual Award: Full Tuition.Typical Student Profile: 3.5 Grade Point Average or higher and SAT score of 1300 (CR/MT) or higher or ACT score 31 or greater. This scholarship recognizes a student’s superior academic achievement. This award covers full tuition, valued at more than $100,000 over 4 years.</t>
  </si>
  <si>
    <t>SAT Math 410-510
SAT Critical Reading 400-500 
SAT Writing 400-490</t>
  </si>
  <si>
    <t>Stevens Institute of Technology</t>
  </si>
  <si>
    <t>The Ann P. Neupauer Scholarship is Stevens’ newest and most prestigious academic honor, named in honor of the late Mrs. Neupauer, a generous friend of the Institute. The Neupauer Scholarship is a four-year, full tuition award.</t>
  </si>
  <si>
    <t>SAT Math 650-745
SAT Critical Reading 590-680 
SAT Writing Not Reported</t>
  </si>
  <si>
    <t>NM</t>
  </si>
  <si>
    <t>New Mexico State University</t>
  </si>
  <si>
    <t>President’s Associates Excellence Scholarship</t>
  </si>
  <si>
    <t>http://fa.nmsu.edu/scholarships/</t>
  </si>
  <si>
    <t>In-state: $6,729
Out-of-state: $21,234</t>
  </si>
  <si>
    <t>SAT Math 430-540
SAT Critical Reading 410-530
SAT Writing 400-520</t>
  </si>
  <si>
    <t>National Merit Status; National Achievement Status; Hispanic Recognition Status</t>
  </si>
  <si>
    <t>Conroy Achievement Scholarship is awarded to National Merit Semi-finalist and National Achievement Scholar by the National Merit Scholarship Corporation or National Hispanic Scholar by College Board.</t>
  </si>
  <si>
    <t xml:space="preserve">National Merit Status  </t>
  </si>
  <si>
    <t>Conroy Merit Scholarship is awarded National Merit Finalists by the National Merit Scholarship Corporation.</t>
  </si>
  <si>
    <t>University of New Mexico</t>
  </si>
  <si>
    <t>National Scholars - National Merit Finalists (available at different links for in-state and out-of-state students)</t>
  </si>
  <si>
    <t>In-state: $6,950
Out-of-state: $21,936</t>
  </si>
  <si>
    <t>SAT Math 470-600
SAT Critical Reading 480-610 
SAT Writing 460-590</t>
  </si>
  <si>
    <t>Regents Scholarship - Students with 3.9 GPA and 31 ACT/1420 SAT. Out of state students can be eligible for out-of-state tuition waiver. (available at different links for in-state and out-of-state students</t>
  </si>
  <si>
    <t>National Hispanic Status; American Indian Scholar Status</t>
  </si>
  <si>
    <t>National Hispanic &amp; American Indian Scholars</t>
  </si>
  <si>
    <t>Presidential Scholarship - 25 ACT (1200 SAT) and 3.75 Unit GPA and NM High School graduate or NM GED recipient</t>
  </si>
  <si>
    <t>NV</t>
  </si>
  <si>
    <t>University of Nevada - Las Vegas</t>
  </si>
  <si>
    <t>National Merit Finalists who list UNLV as their first choice</t>
  </si>
  <si>
    <t>In-state: $7,063
Out-of-state: $20,973</t>
  </si>
  <si>
    <t>SAT Math 450-560
SAT Critical Reading 440-560
SAT Writing 420-530</t>
  </si>
  <si>
    <t>The value of scholarship consideration is based upon highest ACT or SAT score achieved for those who are being considered for Valedictorian Scholarship. This scholarship is not an entitlement program. Funding is limited to first come, first served. Not all students will be offered funds.</t>
  </si>
  <si>
    <t>University of Nevada - Reno</t>
  </si>
  <si>
    <t>National Merit Finalists who select UNR as their first choice (Residency status determines how far the amount goes in covering above and beyond tuition)</t>
  </si>
  <si>
    <t>In-state: $7,143
Out-of-state: $21,053</t>
  </si>
  <si>
    <t>SAT Math 490-600
SAT Critical Reading 480-590 
SAT Writing 460-570</t>
  </si>
  <si>
    <t>NY</t>
  </si>
  <si>
    <t>Cazenovia College</t>
  </si>
  <si>
    <t>Presidential Scholars Award* 
Who Qualifies: High school or preparatory school valedictorians or salutatorians who have achieved academic excellence or those students who are in the top 1% of their secondary school graduating class.</t>
  </si>
  <si>
    <t>SAT Math - 410-530; SAT Critical Reading - 420-530
SAT Writing - Not reported</t>
  </si>
  <si>
    <t>Clarkson University</t>
  </si>
  <si>
    <t>Entrepreneurs</t>
  </si>
  <si>
    <t>Prospective students that are selected into these programs at the Young Entrepreneurs and Innovators Business Plan Competition will receive guidance and support from faculty and alumni mentors, office space in our incubator, and will attend Clarkson without payment of tuition for their four year undergraduate career through a combination of merit-based financial aid (after accounting for other aid for which the student may be eligible) and a purchase by Clarkson of 10% equity in their firm at fair market value.</t>
  </si>
  <si>
    <t>https://www.clarkson.edu/undergraduate-admissions/1st-year-students-applying-financial-aid-scholarships/scholarships-special</t>
  </si>
  <si>
    <t>SAT Math 560-660
SAT Critical Reading 520-630
SAT Writing 490-600</t>
  </si>
  <si>
    <t>College at Brockport--SUNY</t>
  </si>
  <si>
    <t>In-state students</t>
  </si>
  <si>
    <t>The Honors College Scholarship
All freshmen admitted to the Honors College in the fall semester who are New York State residents are awarded the Honors College Scholarship in the amount of in-state tuition</t>
  </si>
  <si>
    <t>In-state: $7,928
Out-of-state: $17,778</t>
  </si>
  <si>
    <t>SAT Math: 470-570
SAT Critical Reading: 460-550
SAT Writing: 440-530</t>
  </si>
  <si>
    <t>2.98(based on weighted GPAs)</t>
  </si>
  <si>
    <t>College of Mount St. Vincent</t>
  </si>
  <si>
    <t>Filipino students; Overall Academic Performance</t>
  </si>
  <si>
    <t>Corazon C. Aquino Scholarship 
This four-year, full-tuition scholarship is awarded to a high-achieving incoming student of Filipino descent. Recipients must maintain a 3.2 cumulative grade point average for renewal each year. There is no separate application for this scholarship. Recipients will be selected in early March.</t>
  </si>
  <si>
    <t>18-21</t>
  </si>
  <si>
    <t>SAT Math: 410-500
SAT Writing: 420-510 SAT Critical Reading: 420-500</t>
  </si>
  <si>
    <t>Writing talent</t>
  </si>
  <si>
    <t>Fonthill Writing Award 
This four-year, full-tuition scholarship is awarded to a prospective student intent on developing their writing skills. Recipients must maintain a 3.0 GPA. A panel comprised of the Department of English faculty, including the Director of Writing, will judge applicant portfolios. The recipient must choose the Writing Minor program or be an active participant in the College newspaper.</t>
  </si>
  <si>
    <t xml:space="preserve">Fellows Program (Honors) Scholarship </t>
  </si>
  <si>
    <t>http://www.concordia-ny.edu/admission/undergraduate-admission/scholarships</t>
  </si>
  <si>
    <t>SAT Math - 390-500 
SAT Critical Reading - 400-500 
SAT Writing - 410-490</t>
  </si>
  <si>
    <t>Lutheran LCMS Congregation Member; Specific Major</t>
  </si>
  <si>
    <t>Vocatio Scholarship - Active member of an LCMS congregation, meets general admission criteria, must be enrolled in one of the following programs: Pre-Seminary, Pre-Deaconess, Lutheran Teacher Diploma</t>
  </si>
  <si>
    <t>CUNY—​Baruch College</t>
  </si>
  <si>
    <t>H. Richard and Estelle Davis Scholarship 
To provide full or partial scholarship(s) to entering freshmen or currently enrolled student who demonstrates financial need and academic excellence</t>
  </si>
  <si>
    <t>In-state: $6,861
Out-of-state: $17,331</t>
  </si>
  <si>
    <t>SAT Math: 580-690 
SAT Writing: not reported SAT Critical Reading: 520-630</t>
  </si>
  <si>
    <t>Partial-Full Tuition</t>
  </si>
  <si>
    <t>Robert and Renee Schnell Scholarship 
To provide full or partial scholarship(s) to entering freshmen or currently enrolled students who demonstrate financial need and academic excellence. Currently enrolled students must have a GPA of 3.0.</t>
  </si>
  <si>
    <t>First generation American or immigrant; financial need; Overall Academic Performance</t>
  </si>
  <si>
    <t>Karl and Helen Meyer Scholarship 
To provide an annual, full tuition scholarship to in incoming freshman who is a first generation American or an immigrant and who demonstrates financial need and academic promise. The scholarship shall be renewed for up to three additional years provided the recipient maintains a minimum 3.0 GPA and continues to demonstrate financial need.</t>
  </si>
  <si>
    <t>Kenneth Peskin Scholarship 
To provide an annual, full tuition scholarship to in incoming freshman who is a first generation American or an immigrant and who demonstrates financial need and academic promise. The scholarship shall be renewed for up to three additional years provided the recipient maintains a minimum 3.0 GPA and continues to demonstrate financial need.</t>
  </si>
  <si>
    <t>Martin M. Rosner Scholarship 
To provide one (1) full scholarship to an entering freshman who demonstrates financial need and academic excellence (as indicated by High School GPA and SAT scores) and is a first generation American or immigrant.</t>
  </si>
  <si>
    <t>Accounting Major; Overall Academic Performance; Financial Need</t>
  </si>
  <si>
    <t>Max Brenner Scholarship 
To provide three (3) full tuition scholarships to entering freshman who demonstrate financial need and academic promise and who plan to pursue accounting as a major. The recipients shall be eligible to continue to receive the scholarship throughout his or her undergraduate career, provided he or she continues to demonstrate financial need; maintains a 3.0 GPA,; remains in the accounting program; and is enrolled as a full time student.</t>
  </si>
  <si>
    <t>Overall Academic Performance; Financial Need; Child of Trade Unionist</t>
  </si>
  <si>
    <t>Owen Boyle Scholarship 
To provide a full tuition scholarship (instate tuition rate) for an incoming freshman who demonstrates financial need and academic promise and is the child of a trade unionist or himself or herself a trade unionist. The scholarship is renewable for students who continue to demonstrate financial need and maintain a minimum 3.0 GPA.</t>
  </si>
  <si>
    <t>GPA/Test Scores; Overall Academic Performance; Financial Need</t>
  </si>
  <si>
    <t>Phyllis Milton Scholarship 
One full tuition scholarship for incoming freshman who demonstrates financial need and academic excellence (as indicated by High School GPA and SAT scores). The scholarship is renewable for students who continue to demonstrate financial need and maintain a minimum 3.0 GPA. Candidates will be selected by the Office of Financial Aid.</t>
  </si>
  <si>
    <t>CUNY--John Jay College of Criminal Justice</t>
  </si>
  <si>
    <t>Macaulay Honors College at John Jay College
An outstanding academic record coupled with the ability to lead and achieve at the highest levels distinguish a William E. Macaulay Honors College student. Macaulay students at John Jay are selected from among the most highly competitive applicants to the City University of New York. In recognition of their achievements, they are hailed as University Scholars when they enter the program. Each student receives a full four-year tuition scholarship, a state-of-the-art laptop computer, and an Opportunities Fund of $7500, which can be used toward study abroad, internships and other academically enriching experiences. In addition, the Macaulay’s Cultural Passport provides students with special admission to New York City's historical landmarks and artistic and cultural institutions.</t>
  </si>
  <si>
    <t>In-state: $6,810
Out-of-state: $17,280</t>
  </si>
  <si>
    <t>SAT Math: 440-530 
SAT Writing: not reported SAT Critical Reading: 420-520</t>
  </si>
  <si>
    <t>CUNY--Lehman College</t>
  </si>
  <si>
    <t>Macaulay Honors College Scholarship
The Macaulay Honors College is an outstanding educational and financial opportunity for entering freshmen with highly competitive academic records. Students apply by submitting a completed Honors College application.
Financial Package:
full tuition for four years of study
an academic expense account of $7,500 over four years to cover enriching experiences, such as study abroad, internships, or research projects;
a laptop computer and textbook allowance;
a Cultural Passport which provides access to the many riches of New York City, including concerts, theater, art, science and history museums, galleries, and other cultural institutions.
Program Benefits:
challenging courses and seminars with a world-class faculty of eminent scientists, writers, and artists;
participation in seminars with university scholars from other campuses;
internships and research opportunities in the arts, sciences, business, and government;
opportunities to attend local and national conferences and special university events.</t>
  </si>
  <si>
    <t>In-state: $6,809
Out-of-state: $17,279</t>
  </si>
  <si>
    <t>SAT Math: 460-540
SAT Writing: 410-500 SAT Critical Reading: 430-510</t>
  </si>
  <si>
    <t>Elmira College</t>
  </si>
  <si>
    <t>ROTC Scholarships 
Scholarships for High School Students 
High School Students can apply online for a four year Army ROTC Scholarship. This Scholarship includes full tuition in a four year undergraduate program, $1200 per year in book money, mandatory fees, and a monthly stipend that increases each academic year. Elmira College will supplement our full tuition scholarship with full room and board for all new contracted ROTC cadets, making the package total value more than $165,000!</t>
  </si>
  <si>
    <t>SAT Math - 460-570 
SAT Critical Reading - 450-560 
SAT Writing - Not reported</t>
  </si>
  <si>
    <t>Fordham University</t>
  </si>
  <si>
    <t>Overall Academic Performance; Class Rank</t>
  </si>
  <si>
    <t>Freshmen candidates for admission graduating at the top of their class are considered for the highly competitive Presidential Scholarship.</t>
  </si>
  <si>
    <t>SAT Math: 590-680
SAT Critical Reading: 580-670
SAT Writing: 590-680</t>
  </si>
  <si>
    <t>Freshmen candidates for admission who are Theatre majors and exhibit exceptional talent are considered for this highly competitive Fordham Excellence in Theather Scholarship.</t>
  </si>
  <si>
    <t>National Merit Status; National Achievement Status; Hispanic Recognition Status; GPA; Class Rank</t>
  </si>
  <si>
    <t>Semi-finalists and finalists in the National Merit, National Achievement, or Hispanic Recognition competition who possess an A to A- average, and are also in the top 1-2 percent of their high school class may receive this award.</t>
  </si>
  <si>
    <t>https://www.fordham.edu/info/21251/fordham_scholarships_and_grants/2532/scholarships_for_us_citizenseligible_non-citizens</t>
  </si>
  <si>
    <t>Hofstra University</t>
  </si>
  <si>
    <t>Hempstead or Uniondale High School Graduates</t>
  </si>
  <si>
    <t>Hofstra University annually offers the valedictorian of Hempstead High School and the valedictorian of Uniondale High School full four year tuition scholarships to Hofstra University.</t>
  </si>
  <si>
    <t>SAT Math: 550-640
SAT Critical Reading: 540-620
SAT Writing: Not reported</t>
  </si>
  <si>
    <t>Hofstra University Trustee Scholars Program is full-tuition scholarship offered to our very highest achieving admitted students.</t>
  </si>
  <si>
    <t>Houghton College</t>
  </si>
  <si>
    <t>$12,000 to full tuition</t>
  </si>
  <si>
    <t>Founder's Scholarship
The SAT score used for Academic Scholarships includes the student's highest scores on the critical reading and math sections. The high school GPA is based on a 4.0 scale. Weighted GPAs will be re-calculated.
Scholarships are renewed annually, providing the student maintains a set GPA at the end of each year (3.0 for President's and below and 3.25 for Founder's). Full-time attendance is required.</t>
  </si>
  <si>
    <t>SAT Math: 490-620
SAT Writing: 480-600 SAT Critical Reading: 500-630</t>
  </si>
  <si>
    <t>Honors Scholarships 
Candidates for Honors at Houghton are considered both for placement in to our selective honors experiences as well as for our top Founder's award - the James S. Luckey Full-Tuition Scholarship.</t>
  </si>
  <si>
    <t>National Merit Finalists and Semi-Finalists will receive automatic consideration for Honors at Houghton and our top Founder's awards ranging from $14,000 to full tuition.</t>
  </si>
  <si>
    <t>http://www.houghton.edu/financial-aid/scholarships-grants/</t>
  </si>
  <si>
    <t>Ithaca College</t>
  </si>
  <si>
    <t>ROTC Scholarships - These scholarships may cover up to full tuition at Ithaca College; mandatory fees and textbook costs, $300-$1,200 per year; and a $300- 500 per month stipend during the academic year.</t>
  </si>
  <si>
    <t>SAT Math: 550-630
SAT Critical Reading: 550-640
SAT Writing: 560-640</t>
  </si>
  <si>
    <t>At Least 10</t>
  </si>
  <si>
    <t>Park Scholar Awards cover the entire cost of attendance (tuition, room, and board) at Ithaca College and include stipends for living expenses, books, and a one-time computer purchase of $2,500. Four-year awards are renewable for up to three years (for a total of eight semesters), while rising junior awards are renewable for a total of four semesters.
At least 10 merit-based scholarships are awarded to outstanding high school seniors each year. In addition, at least three merit-based scholarships are awarded to Park School rising juniors each spring.</t>
  </si>
  <si>
    <t>Long Island University - Post</t>
  </si>
  <si>
    <t>National Merit Finalists who designate LIU Post as their first choice</t>
  </si>
  <si>
    <t>SAT Math 460-560 
SAT Critical Reading 450-550 
SAT Writing 440-550</t>
  </si>
  <si>
    <t>Molloy College</t>
  </si>
  <si>
    <t>Partial to full tuition</t>
  </si>
  <si>
    <t>Hispanic Students; Overall Academic Performance; Community Involvement</t>
  </si>
  <si>
    <t>Encarnacion Amor Verde Scholarship
These partial to full tuition scholarships are awarded to full-time students of Hispanic ancestry, with preference given to incoming freshmen. Eligible candidates must have a strong academic background (the equivalent of a B+ high school average) and have demonstrated involvement in and commitment to the Hispanic community. The recipient must maintain an overall cumulative index of 3.0.</t>
  </si>
  <si>
    <t>SAT Math: 490-580
SAT Writing: 470-560 SAT Critical Reading: 480-570</t>
  </si>
  <si>
    <t>Molloy College Scholar's Program 
These are full tuition scholarships for entering full-time freshmen. Awards are based on academic achievement and college aptitude test scores. Minimum eligibility requirements are a minimum of 95 percent high school average and either a minimum score of 1300 combined from critical reading and math or a minimum of 29 on the ACT. Students must maintain a minimum cumulative index of 3.5 for a maximum of eight consecutive semesters taking a maximum of 16 credits each semester for renewal. Recipients must also file the required financial aid applications annually for renewal of this scholarship.</t>
  </si>
  <si>
    <t>Art, Music or Communication Arts Talents; Audition/Portfolio</t>
  </si>
  <si>
    <t>Fine Arts and Performing Arts Scholarships 
These are up-to-the-full tuition scholarships awarded to entering full-time freshmen who are adjudged to have exceptional talent or have achieved proficiency in art, music or communication arts. Qualifications are demonstrated through audition, the submission of a portfolio or other documented experience. Recipients must major in the areas for which the scholarships are awarded and maintain at least a 3.0 cumulative average for a maximum of 8 consecutive semesters for renewal. Recipients must also file the required financial aid applications annually for renewal of this scholarship.</t>
  </si>
  <si>
    <t>Morrisville State College</t>
  </si>
  <si>
    <t>Madison or Chenango County, NY</t>
  </si>
  <si>
    <t>Local Campus Award 
Eligible Students: Incoming Freshmen from Madison and Chenango Counties 
Morrisville State College is committed to the local communities with campuses 
in both Morrisville and Norwich, NY. Awarded to incoming freshmen ranked 
in the top 10% of their graduating class from high schools in Madison or 
Chenango counties, the Local Campus Award provides full tuition and fees less 
any Pell and Tap awards to our local freshmen in recognition of their academic 
merit.</t>
  </si>
  <si>
    <t>in-state: $8,023, out-of-state: $17,873</t>
  </si>
  <si>
    <t>870-1040</t>
  </si>
  <si>
    <t>Roberts Wesleyan College</t>
  </si>
  <si>
    <t>Monroe or Ontario County, NY</t>
  </si>
  <si>
    <t>First generation college student</t>
  </si>
  <si>
    <t>First in Family Farash Foundation Scholarship
The Farash First in Family Scholarship is made available to:
A chosen entering freshman
From Monroe or Ontario County (New York)
Who will be the first in his/her family to have attended any college/university
This scholarship reflects Max and Marian Farash’s belief in the importance of education in all its aspects, the power of entrepreneurship, and a dedication to the civic and religious fabric of community.
This scholarship includes:
All additional funds needed to completely pay for the Farash Scholar’s tuition, room and board, textbooks, and mandatory fees. 
The Foundation’s support will continue over the course of the students’ college careers, up to five years.
Opportunities to interact with other Farash Scholars from surrounding institutions.
Required community service with local nonprofit organizations.</t>
  </si>
  <si>
    <t>SAT Math: 470-590
SAT Writing: 440-570 SAT Critical Reading: 480-590</t>
  </si>
  <si>
    <t>Natiional Merit Status</t>
  </si>
  <si>
    <t>The Roberts Merit Scholarship awards full-tuition scholarships (minus other RWC, federal, and state grants and scholarships) to National Merit Scholar Finalists. 
This award is renewed annually, provided the student maintains a 3.40 cumulative grade point average. The following criteria apply to first-time freshmen applicants: 
National Merit Scholar Finalist for full-tuition 
Character consistent with the goals of Roberts Wesleyan College</t>
  </si>
  <si>
    <t>Rochester Institute of Technology</t>
  </si>
  <si>
    <t>ROTC Scholarships - Students enrolling in ROTC who are academically qualified.</t>
  </si>
  <si>
    <t>SAT Math: 580-690
SAT Writing: 520-630 SAT Critical Reading: 550-660</t>
  </si>
  <si>
    <t>St. John's University</t>
  </si>
  <si>
    <t>Presidential Scholarship is a limited number of these prestigious full-tuition scholarships are offered each year to newly admitted freshmen.</t>
  </si>
  <si>
    <t>SAT Math 480-600
SAT Critical Reading 480-580 
SAT Writing not reported</t>
  </si>
  <si>
    <t>Art proficiency</t>
  </si>
  <si>
    <t>St. John’s Department of Fine Arts offers full and partial scholarships to Fall incoming freshmen who demonstrate a proficiency in the visual arts.</t>
  </si>
  <si>
    <t>St. Lawrence University</t>
  </si>
  <si>
    <t>Our Trustee Scholarship is awarded to the top male and top female, first-year students. The scholarship is based on academic excellence, character and leadership. The amount of the scholarship covers full tuition for up to four years or eight semesters.</t>
  </si>
  <si>
    <t>SAT Math: 550-660
SAT Critical Reading: 550-650
SAT Writing: 540-640</t>
  </si>
  <si>
    <t>SUNY College of Technology—​Alfred</t>
  </si>
  <si>
    <t>Excellence in Education Scholarship 
Free tuition (equivalent to NYS tuition rate), room (standard room, double occupancy), and board (14-meal plan); multiple scholarships available; students must possess a 94 (3.7 on 4.0 scale) or better high school average through their junior year; at least a 1250 (critical reading and math) combined SAT or 28 composite ACT score is required,</t>
  </si>
  <si>
    <t>SAT Math: 430-550
SAT Critical Reading: 410-530
SAT Writing: Not reported</t>
  </si>
  <si>
    <t>STEM Major; Class Rank</t>
  </si>
  <si>
    <t>The NYS STEM Incentive Program provides a full SUNY or CUNY tuition scholarship for the top 10 percent of students in each New York State high school if they pursue a STEM degree in an associate or bachelor degree program and agree to work in a STEM field in New York State for 5 years after graduation.</t>
  </si>
  <si>
    <t>SUNY Polytechnic Institute</t>
  </si>
  <si>
    <t>SUNY Poly College of Nanoscale Science &amp; Engineering (CNSE) Nanoscale Engineering or Nanoscale Science Program
International students completed their high school/secondary school from outside the U.S. must submit one of the following test scores:
-High School Grade 87.5% and above
-TOEFL 100 and above (ETS School Code: 2896)
-IELTS 7.5 and above</t>
  </si>
  <si>
    <t>https://www.sunypoly.edu/admissions/international/undergraduate/international-admissions-undergraduate-merit-scholarships.html</t>
  </si>
  <si>
    <t>$7,777 in-state 
$17,627 out-of-state</t>
  </si>
  <si>
    <t>24-27</t>
  </si>
  <si>
    <t>1090-1220</t>
  </si>
  <si>
    <t>SUNY—​Geneseo</t>
  </si>
  <si>
    <t>Childhood Education Major with Special Education</t>
  </si>
  <si>
    <t>Gustave A. &amp; Geraldine S. Werner Foundation Annual Scholarship 
These four-year, full-tuition scholarships are for students majoring in Childhood Education with Special Education. The selected students must maintain a 2.8 (or better) cumulative GPA in order to continue to be eligible to receive funds. The recipients are selected by the School of Education.</t>
  </si>
  <si>
    <t>https://www.geneseo.edu/scholarships/undergraduate-scholarships</t>
  </si>
  <si>
    <t>In-state: $8,176
Out-of-state: $18,026</t>
  </si>
  <si>
    <t>SAT Math: 550-650
SAT Critical Reading: 550-640
SAT Writing: Not reported</t>
  </si>
  <si>
    <t>Syracuse University</t>
  </si>
  <si>
    <t>Air Force: The awarding and value of these scholarships are determined by the Air Force. In addition to the tuition funding provided by the Air Force, ROTC scholarship recipients receive Syracuse University financial assistance equal to the cost of housing and meals as specified in the Syracuse University Cost of Attendance.</t>
  </si>
  <si>
    <t>SAT Math 560-660
SAT Critical Reading 530-630 
SAT Writing 530-640</t>
  </si>
  <si>
    <t>The awarding and value of these scholarships are determined by the Army. In addition to the tuition funding provided by the Army, ROTC scholarship recipients receive Syracuse University financial assistance equal to the cost of housing and meals as specified in the Syracuse University Cost of Attendance. This gift aid will include any SU awards.</t>
  </si>
  <si>
    <t>Liberal Arts Major</t>
  </si>
  <si>
    <t>The Coronat Scholars Program is a highly competitive award offered to incoming freshman in The College of Arts and Sciences who are pursuing a liberal arts major. This is a full tuition award and provides students the chance to receive further opportunities, such as additional funding for studying abroad, organized trips, and admission to the Renee Crown University Honors Program.</t>
  </si>
  <si>
    <t>http://financialaid.syr.edu/typesofaid/scholarships/su/#Coronat Scholars</t>
  </si>
  <si>
    <t>Junior Achievement Participation; Overall Academic Performance</t>
  </si>
  <si>
    <t>Junior Achievement Scholarship This scholarship for full tuition is awarded by Syracuse University to one outstanding first-year student who has applied through Junior Achievement of CNY. Selection is made jointly by Junior Achievement of CNY and Syracuse University based on academic record, quality of work in JA, personal achievement, and an interview.</t>
  </si>
  <si>
    <t>The King's College</t>
  </si>
  <si>
    <t>Founder's Scholarship
The King’s College is awarding four scholarships amounting up to the full cost of tuition to students who embody the combination of leadership and academic skills that the College highly values. The Founders’ Scholarship is awarded through a competitive process that includes an essay, presentation, and team building components. To be considered for the scholarship, students must submit a 1200-1500 word essay on this year’s prompt, visit the campus the Thursday before an Inviso Visit Event to give a four to five minute speech, and participate in a leadership team building exercise during the on-campus visit.</t>
  </si>
  <si>
    <t>SAT Math: 520-590
SAT Writing: 530-640 SAT Critical Reading: 550-660</t>
  </si>
  <si>
    <t>University at Buffalo--SUNY</t>
  </si>
  <si>
    <t>Academically exceptional freshmen may earn a four-year UB Presidential Scholarship, the most selective and highly valued award in all of SUNY. The required is awarded to is available through the Honors College. Finalists interview on campus. Presidential scholars participate in the Honors College and must maintain rigorous academic standards to retain their award.</t>
  </si>
  <si>
    <t>In-state: $9,574
Out-of-state: $26,814</t>
  </si>
  <si>
    <t>SAT Math: 550-650
SAT Critical Reading: 510-610
SAT Writing: Not reported</t>
  </si>
  <si>
    <t xml:space="preserve">Engineering Major </t>
  </si>
  <si>
    <t>Steven B. Sample Distinguished Honors Scholarship in the School of Engineering and Applied Sciences is a one four-year scholarship covering all resident tuition and fees, minus any other aid received, is available to an incoming freshman Honors student in the School of Engineering and Applied Sciences. A separate scholarship is awarded to is required.</t>
  </si>
  <si>
    <t>Creative or Performing Arts Major; GPA/Test Scores</t>
  </si>
  <si>
    <t>Millonzi Distinguished Honors Scholarship is one four-year scholarship covering all resident tuition and fees, minus any other aid received, available to an incoming freshman Honors student in the creative or performing arts.</t>
  </si>
  <si>
    <t>Vaughn College of Aeronautics and Technology</t>
  </si>
  <si>
    <t>GPA; financial need</t>
  </si>
  <si>
    <t>Walter Hartung Memorial Scholarship 
Vaughn College is pleased to work in partnership with The Resource Foundation to award annual tuition scholarships to promising students enrolled in any of Vaughn’s bachelor of science degree programs. 
Incoming Vaughn students will need to meet the following eligibility criteria to be considered for the Walter Hartung Memorial Scholarship: 
• Enrolled in a bachelor of science degree program 
• Achieved a high school grade average of not less than 80 percent 
• Recommended by one of his or her high school teachers 
• Demonstrates financial need</t>
  </si>
  <si>
    <t>SAT Math - 472-574
SAT Critical Reading - 413-519
SAT Writing - Not reported</t>
  </si>
  <si>
    <t>OH</t>
  </si>
  <si>
    <t>Bluffton University</t>
  </si>
  <si>
    <t>Presidential Scholarship
Students with a 3.5 GPA (or higher) and a 25 ACT/1130 SAT (or higher) automatically qualify to participate in the annual Presidential Scholarship Competition on Saturday, Jan. 28, 2017. Students attending this event compete for two full-tuition Presidential scholarships.
This is a full-tuition scholarship valued at more than $100,000 for four years. Two scholarships are awarded each year to winners of the Presidential Scholarship Competition. This scholarship is renewable all four years if student maintains a cumulative 3.0 GPA.</t>
  </si>
  <si>
    <t>Bowling Green State University</t>
  </si>
  <si>
    <t>The BGSU Alumni Laureate Scholarship is a distinctive, prestigious program funded by our most generous alumni in order to provide recipients with eight uninterrupted Fall and Spring semesters of support from caring mentors.</t>
  </si>
  <si>
    <t>https://www.bgsu.edu/admissions/scholarships-and-financial-aid/freshman-scholarships.html</t>
  </si>
  <si>
    <t>In-state: $10,796
Out-of-state: $18,332</t>
  </si>
  <si>
    <t>SAT Math 460-580
SAT Critical Reading 460-580
SAT Writing 420-550</t>
  </si>
  <si>
    <t>Presidential Scholars Award Competition for Fall 2018
The Honors College and the Office of Admissions will host a scholarship competition for incoming freshmen. The Presidential Scholars Award is a full-fee scholarship and is renewable.</t>
  </si>
  <si>
    <t>Leadership; Community Service</t>
  </si>
  <si>
    <t xml:space="preserve">The Sidney A. Ribeau President’s Leadership Academy is a four-year leadership development program that prepares students to lead with integrity and make meaningful contributions to society. Awardees receive a renewable scholarship up to the cost of in-state tuition and general fees. </t>
  </si>
  <si>
    <t>Capital University</t>
  </si>
  <si>
    <t>Multicultural Students; GPA/Test Scores; On-Campus Competition</t>
  </si>
  <si>
    <t>Capital Scholars Award is a competitive scholarship (by invitation only) awarded to selected high school senior multicultural students with at least a 3.00 cumulative GPA and at least a 21 ACT composite or a 980 SAT math/verbal total (not including the writing portions of either test). Apply to Capital by Dec. 1 of your senior year to be invited. This full-tuition award is based on an on-campus essay and group conversation interview.</t>
  </si>
  <si>
    <t>SAT Math: 480-580 SAT Critical Reading: 
480-610
SAT Writing: 460-590</t>
  </si>
  <si>
    <t>Capital students can earn many different types and levels of ROTC scholarships. All are based on merit, leadership potential and physical aptitude. You can apply as a senior in high school or as a freshman or sophomore in college. Awards are based upon standard occupancy rates. Learn more on the Capital University ROTC website.</t>
  </si>
  <si>
    <t>Collegiate Fellowship is a competitive scholarship (by invitation only) awarded to selected high school seniors with at least a 28 ACT composite or a 1250 SAT math/verbal total. Apply to Capital by Dec. 1 of your senior year to be invited. This full-tuition award is based on an on-campus essay and group conversation interview</t>
  </si>
  <si>
    <t>Case Western Reserve University</t>
  </si>
  <si>
    <t>Major in arts, humanities, natural, social, and behavioral sciences, management or accountancy; On-Campus Competition</t>
  </si>
  <si>
    <t>Andrew and Eleanor Squire Scholarship is a four-year full-tuition scholarship was originally established by Case Western Reserve University trustee Andrew Squire and his wife Eleanor. Finalists will be invited to a required on campus competition in March to determine the winners.</t>
  </si>
  <si>
    <t>SAT Math 680-770
SAT Critical Reading 620-720 
SAT Writing 620-720</t>
  </si>
  <si>
    <t>Leadership; Character; On-Campus Competition</t>
  </si>
  <si>
    <t>Consisting of full-tuition, room, board, fees, books, and elective summer experiences that provide complementary life-shaping practical knowledge, the Milton A. and Roslyn Z. Wolf Scholarship is a four-year scholarship awarded based first upon character or a student's demonstrated potential to be a leader and "make a difference in the world" and secondly upon their academic performance, intellect and accomplishments.</t>
  </si>
  <si>
    <t>https://case.edu/admission/affording-cwru/scholarships/scholarship-competitions/</t>
  </si>
  <si>
    <t>Any first year or transfer student can apply</t>
  </si>
  <si>
    <t>Intended to help economically and educationally disadvantaged students attain an education at Case Western Reserve University, the Louis Stokes Congressional Black Caucus Foundation Scholarship offers a full-tuition award, renewable for up to five years; a grant of up to $2,500 to cover the purchase of a computer and books; and assistance securing a paid summer internship. Finalists will be invited to a required on campus competition in March to determine the winners.</t>
  </si>
  <si>
    <t>Engineering or Science Major; Overall Academic Achievement</t>
  </si>
  <si>
    <t>The A.W. Smith Innovation Scholarship seeks to identify students with the potential for significant innovation in the fields of engineering or science. Two full-tuition scholarships are awarded to students who show exceptional achievement in hands-on engineering or science through the presentation of a "project" by submitting video (3 minutes) or PDF slides (no more than 10).</t>
  </si>
  <si>
    <t>Science or Engineering Major; On-Campus Competition</t>
  </si>
  <si>
    <t>The Alexander A. Treuhaft Memorial Scholarship is a four-year full-tuition scholarship is offered to outstanding first-year applicants in science and engineering. Finalists will be invited to a required on campus competition in March to determine the winners.</t>
  </si>
  <si>
    <t>Music, Theatre or Dance Major</t>
  </si>
  <si>
    <t>A small number of Performing Arts full-tuition scholarships are available to students who exhibit excellence in the performing arts and will major in either music, theater, or dance. Scholarships are awarded based on an audition. Students interested in music awards should submit a video audition as part of the Arts Supplement through the Common is awarded to. Students interested in theater or dance should contact individual departments to make arrangements for an audition.</t>
  </si>
  <si>
    <t>Cedarville University</t>
  </si>
  <si>
    <t>ROTC-Funded Scholarships
Four-year scholarships are available to students currently in high school. Two- and three-year scholarships are available to students already enrolled in college. Most scholarships cover full tuition, course fees, and books. Scholarship students also receive a monthly stipend for living expenses. An application is required to be considered for one of these scholarships.</t>
  </si>
  <si>
    <t>SAT Math: 520-640
SAT Critical Reading: 540-650
SAT Writing: 520-630</t>
  </si>
  <si>
    <t>Denison University</t>
  </si>
  <si>
    <t>5 or more</t>
  </si>
  <si>
    <t>5 different full tuition scholarships - Based on superior academic achievement, outstanding leadership and personal merit. These awards require the student to be nominated by the admissions committee.</t>
  </si>
  <si>
    <t>https://denison.edu/campus/finances/types-of-scholarships-aid</t>
  </si>
  <si>
    <t>SAT Math 580-680 
SAT Critical Reading 580-680 
SAT Writing not reported</t>
  </si>
  <si>
    <t>Hiram College</t>
  </si>
  <si>
    <t>Trustee Scholarship (full tuition) - Holistic application review
Presidential Scholarship (3/4 tuition) -same criteria</t>
  </si>
  <si>
    <t>http://www.hiram.edu/academics/undergraduate/scholarship-grants/</t>
  </si>
  <si>
    <t>SAT Math 430-578 
SAT Critical Reading 450-590 
SAT Writing 433-575</t>
  </si>
  <si>
    <t>Kent State University</t>
  </si>
  <si>
    <t>The selection process for Founders Scholarship is very competitive and only 50 awards are given each year. Additional criteria as determined by donor.</t>
  </si>
  <si>
    <t>In-state: $10,012
Out-of-state: $18,376</t>
  </si>
  <si>
    <t>SAT Math 470-580
SAT Critical Reading 480-580
SAT Writing 460-560</t>
  </si>
  <si>
    <t>Kenyon College</t>
  </si>
  <si>
    <t>KENYON FULL AND HALF TUITION SCHOLARSHIPS
These extraordinary renewable scholarships are awarded to the top students in every entering class regardless of financial need. Students are evaluated holistically and do not have to be specialists in any particular area. The college is looking to recognize extraordinary leadership, scholarship and community membership. There is no separate application for these scholarships.</t>
  </si>
  <si>
    <t>SAT Math: 610-690
SAT Critical Reading: 630-730
SAT Writing: 620-720</t>
  </si>
  <si>
    <t>Marietta College</t>
  </si>
  <si>
    <t>John G. McCoy Scholarship
Invitation Only</t>
  </si>
  <si>
    <t>SAT Math - 470-610
SAT Critical Reading - 470-590
SAT Writing - Not reported</t>
  </si>
  <si>
    <t>Trustees' Scholarship
Invitation Only</t>
  </si>
  <si>
    <t>Miami University--Oxford</t>
  </si>
  <si>
    <t>As the largest single source of Navy and Marine Corps officers, the NROTC Scholarship Program fills a vital need in preparing mature young men and women for leadership and management positions in an increasingly technical Navy and Marine Corps. Full-ride scholarships, book money, a stipend, room and board, and commissioning opportunities are available for both prospective freshmen as well as current Miami students.</t>
  </si>
  <si>
    <t>In-state: $14,288
Out-of-state: $31,592</t>
  </si>
  <si>
    <t>SAT Math 590-690
SAT Critical Reading 550-650 
SAT Writing not reported</t>
  </si>
  <si>
    <t>Miami hosts Reserve Officer Training Corps (ROTC) opportunities for students interested in the Air Force and Navy. Xavier University Army ROTC in Cincinnati serves as the host program for Miami ROTC Army cadets. Air Force ROTC offers a scholarship program for highly qualified high school seniors as well as students already in college who are interested in commissioning as Air Force officers. Many scholarships pay full tuition, money for books, and a monthly tax-free stipend.</t>
  </si>
  <si>
    <t>The Stamps Scholar Program was created for the purpose of recognizing and rewarding exceptional students who exemplify leadership, perseverance, scholarship, service, and innovation. Miami University will nominate (with the student's consent) up to five candidates who have been officially notified of his/her acceptance to Miami that best exemplify the values of the program: leadership, scholarship, service, and innovation. The Stamps Family Charitable Foundation (SFCF) will conduct a selection process with the top candidates including a personal interview. This program is available only to first-time, full-time freshmen admitted to Oxford campus in the fall semester.</t>
  </si>
  <si>
    <t>http://www.stampsfoundation.org/2012/11/01/miami-university-miami-oh/</t>
  </si>
  <si>
    <t>Xavier University Army ROTC is the host program for Miami Army ROTC cadets. Cadets attend their academic classes at Miami University and fulfill their military science duties at the Xavier campus in Cincinnati. Along with being one of the nation's top Army ROTC programs, we offer four-year, three-year, and two-year scholarships that cover full-tuition and fees along with $1,200 annually for books and a monthly stipend dependent on the academic class of the cadet</t>
  </si>
  <si>
    <t xml:space="preserve">University Merit Scholarships </t>
  </si>
  <si>
    <t>http://miamioh.edu/admission/merit-grid/index.html</t>
  </si>
  <si>
    <t>Muskingum University</t>
  </si>
  <si>
    <t>The John Glenn Scholarship is Muskingum's highest award - a four-year, full-tuition scholarship offered to a small number of entering first-year students through the Academic Scholarship Program.</t>
  </si>
  <si>
    <t>SAT Math 460-560
SAT Critical Reading 420-570
SAT Writing 420-560</t>
  </si>
  <si>
    <t>Oberlin College</t>
  </si>
  <si>
    <t>Oberlin College was pleased to begin partnering with the Stamps Foundation in 2013 to offer merit scholarships for outstanding students. Along with the merit scholarship that assists with the cost of tuition and fees, the Stamps Scholarship provides each recipient with $5,000 of enrichment funds that students can use over the course of their four years at Oberlin. There is no separate application for the Stamps Scholarship. All admitted students will be considered.</t>
  </si>
  <si>
    <t>SAT Math 620-710
SAT Critical Reading 640-740 
SAT Writing 630-730</t>
  </si>
  <si>
    <t>Citizen of a sub-Saharan African country</t>
  </si>
  <si>
    <t>Specific Residency; College of Arts &amp; Sciences; Overall Academic Performance</t>
  </si>
  <si>
    <t>EDUARDO CHIVAMBO MONDLANE SCHOLARSHIP 
The Eduardo Chivambo Mondlane Scholarship continues the outreach that enabled Mr. Mondlane to attend Oberlin College. Successful candidates will be offered up to a full-tuition scholarship for four years. 
Eligibility 
Any citizen from a sub-Saharan African country who is applying to Oberlin College of Arts and Sciences is eligible. 
Application 
There is no separate application for the Mondlane Scholarship, apart from the regular admissions application. 
Selection 
The Oberlin College Office of Admissions will select Mondlane Scholars. Criteria for selection include a strong academic record and the potential to excel within an American liberal arts curriculum. This award does not require any supplementary materials.</t>
  </si>
  <si>
    <t>http://new.oberlin.edu/dotAsset/4576483.pdf</t>
  </si>
  <si>
    <t>Japanese National</t>
  </si>
  <si>
    <t>EDWIN O. REISCHAUER SCHOLARSHIP 
The Ambassador Edwin O. Reischauer Scholarship fosters Japanese-American understanding and cooperation. Successful candidates will be offered up to a full-tuition scholarship for four years at Oberlin College. Reischauer Scholars will be educated in the liberal arts and committed to international understanding. 
Eligibility 
Any Japanese national who has been accepted for admission to the Oberlin College of Arts and Sciences is eligible for this award. 
Application 
There is no separate application for the Reischauer Scholarship, apart from the regular admissions application. 
Selection 
The Oberlin College Office of Admissions will select Reischauer Scholars. Criteria for selection include a strong academic record and the potential to excel within an American liberal arts curriculum. This award does not require any supplementary materials.</t>
  </si>
  <si>
    <t>http://new.oberlin.edu/dotAsset/4576485.pdf</t>
  </si>
  <si>
    <t>Ohio Northern University</t>
  </si>
  <si>
    <t>Mathile Scholarship (Full-tuition) 
Selected students with a minimum ACT score of 30 (1330 SAT, critical reading plus math) and a minimum high school GPA of 3.5 will be invited to an on-campus evaluation for this scholarship. Based on these on-campus evaluations, the Mathile Family Foundation will support two full-tuition renewable scholarships. The Mathile Scholarship will replace all other ONU scholarships.</t>
  </si>
  <si>
    <t>SAT Math - 530-640
SAT Critical Reading - 480-600 
SAT Writing - 510-590</t>
  </si>
  <si>
    <t>Business area majors; Overall Academic Performance</t>
  </si>
  <si>
    <t>James F. Dicke Scholarship (Full tuition plus $1,000 annual book stipend) 
Students who are admitted to the James F. Dicke College of Business Administration and are eligible for the Presidential Scholarship will be considered for this award. A selection committee will determine finalists who will be invited to campus to interview. From these interviews one student will be chosen to receive the James F. Dicke Scholarship. The scholarship will renew each year for a maximum of four years. The James F. Dicke Scholarship will replace all other ONU scholarships and awards.</t>
  </si>
  <si>
    <t>Ohio State University--Columbus</t>
  </si>
  <si>
    <t>Eminence Fellows Program and Scholarship - Recipients of the Eminence award typically rank in the top three percent of their graduating classes and have an ACT composite score of 34 or higher or combined SAT Critical Reading and Math score of 1520 or higher.</t>
  </si>
  <si>
    <t>In-state: $10,037
Out-of-state: $29,229</t>
  </si>
  <si>
    <t>27–31</t>
  </si>
  <si>
    <t>SAT Math: 610-720
SAT Critical Reading: 560-670
SAT Writing: 560-660</t>
  </si>
  <si>
    <t>Overall Academic Performance; Financial Need</t>
  </si>
  <si>
    <t>At least 88</t>
  </si>
  <si>
    <t>Land Grant Opportunity Scholarship for Ohio residents is an access merit scholarship - The Land Grant Opportunity Scholarship is awarded to at least one student from each of Ohio’s 88 counties. Those selected demonstrate both academic merit and financial need.</t>
  </si>
  <si>
    <t>Overall Academic Performance; Leadership in Diversity</t>
  </si>
  <si>
    <t>Morrill Scholarship Program - Applicants should be academically exceptional high school seniors who will contribute to campus diversity and actively engage as advocates and champions of diversity, inclusion and academic excellence on campus. Award levels 
Distinction: Equals the value of the cost of attendance for both Ohio residents and nonresidents. 
Prominence: Equals the value of in-state tuition plus the nonresident surcharge for nonresidents 
Excellence: Equals the value of in-state tuition for Ohio residents</t>
  </si>
  <si>
    <t>Ohio University</t>
  </si>
  <si>
    <t>Up to full in-state tuition</t>
  </si>
  <si>
    <t>GPA/Test Scores; Financial Need</t>
  </si>
  <si>
    <t>OHIO Signature Scholars who are admitted to an Honors Tutorial degree program are eligible for consideration for OHIO Premier Scholarship</t>
  </si>
  <si>
    <t>In-state: $11,744
Out-of-state: $21,208</t>
  </si>
  <si>
    <t>SAT Math: 500-610
SAT Critical Reading: 490-600
SAT Writing: 470-590</t>
  </si>
  <si>
    <t>Appalachian Ohio</t>
  </si>
  <si>
    <t>Residency Requirement; GPA/Test Scores; Class Rank</t>
  </si>
  <si>
    <t>The Appalachian Scholars Program provides a four-year renewable scholarship and academic support to students from Appalachian Ohio. To be considered, applicants must: be academically talented as indicated by standardized test scores, grade point average, and class rank and must participate in an Appalachian Scholars Program interview.</t>
  </si>
  <si>
    <t>https://www.ohio.edu/omsar/appalachian/index.cfm</t>
  </si>
  <si>
    <t>The Templeton Scholars Award is a merit-based scholarship program for high achieving students.</t>
  </si>
  <si>
    <t>University of Cincinnati</t>
  </si>
  <si>
    <t>Named in honor of the youngest person ever to graduate from UC, the Darwin T. Turner Scholarship Program provides in-state tuition and book allowance stipend.</t>
  </si>
  <si>
    <t>In-state: $11,000
Out-of-state: $26,334</t>
  </si>
  <si>
    <t>SAT Math 530-660
SAT Critical Reading 510-630
SAT Writing 490-620</t>
  </si>
  <si>
    <t>The Presidential Award is a part of Cincinnatus Scholarship Program that provides multiple levels of scholarship to the brightest and most promising prospective freshmen in academic disciplines throughout all of the undergraduate colleges.</t>
  </si>
  <si>
    <t>The Excellence Award is a part of Cincinnatus Scholarship Program that provides multiple levels of scholarship to the brightest and most promising prospective freshmen in academic disciplines throughout all of the undergraduate colleges.</t>
  </si>
  <si>
    <t>University of Dayton</t>
  </si>
  <si>
    <t>U.S. Air Force ROTC scholarships are offered nationally and may be used at the University of Dayton. Aerospace studies courses are taken at Wright State University in Dayton, and all other courses (including PT) are taken at UD. C</t>
  </si>
  <si>
    <t>SAT Math 520-630
SAT Critical Reading 510-620 
SAT Writing 520-610</t>
  </si>
  <si>
    <t>U.S. Army ROTC scholarships are offered nationally and may be used at the University of Dayton. The department of military science oversees the Fighting Flyer Battalion, and all courses are taken on campus. Currently, the University provides those AROTC cadets receiving four-year scholarships with a room and board incentive</t>
  </si>
  <si>
    <t>University of Mount Union</t>
  </si>
  <si>
    <t>Presidential Scholarship Competition
Any high school senior who has achieved an ACT score of at least 27 or SAT-I score of at least 1210 (CR+M) and has earned either a minimum grade point average of 3.5 or a high school rank in the top 15 percent of the class is eligible to compete for the University of Mount Union’s full-tuition Presidential Scholarships.</t>
  </si>
  <si>
    <t>SAT Math - 440-590 
SAT Critical Reading - 460-540
SAT Writing - Not reported</t>
  </si>
  <si>
    <t>University of Toledo</t>
  </si>
  <si>
    <t>Presidential Scholarship
Awards: Full tuition and general fee (up to 16 credit hours), room and board, and a one-time, $3,000 stipend for a summer experience 
Minimum Requirements: 
• 3.8 High School GPA
• 30 ACT/1400 SAT 
• High School graduating class of 2017
Students must submit a separate online application which includes an extracurricular resume, personal essays, and list of references</t>
  </si>
  <si>
    <t>In-state: $9,975
Out-of-state: $19,313</t>
  </si>
  <si>
    <t>SAT Math 470-620
SAT Critical Reading 450-580 
SAT Writing 430-560</t>
  </si>
  <si>
    <t>Walsh University</t>
  </si>
  <si>
    <t>Youngstown Diocesan High School Graduates</t>
  </si>
  <si>
    <t>Residency Requirement; GPA/Test Scores; Class Rank; Leadership; Extra-Curriculars; Service</t>
  </si>
  <si>
    <t>Walsh University Founders Scholarships are awarded each year to qualified entering freshman in an amount equivalent to the cost of regular full-time tuition. One Founders Scholarship may be awarded to a top scholar at each of six Youngstown Diocesan high schools per year. Candidates should have a cumulative grade point average of 3.75 or higher, strong ACT or SAT score (27/1200 critical reading + math minimum), and class ranks typically in the top quartile or higher. Student leadership, high school activities, and church and/or community service are all considered.</t>
  </si>
  <si>
    <t>18-27</t>
  </si>
  <si>
    <t>SAT Math 430-620
SAT Critical Reading 450-630 
SAT Writing not reported</t>
  </si>
  <si>
    <t>Walsh University Presidential Scholarships are awarded each year to a limited number of qualified entering freshmen in an amount equivalent to the cost of regular full-time tuition. Candidates should have a cumulative grade point average of 3.75 or higher, strong ACT or SAT score (27/1200 critical reading + math minimum), and class ranks typically in the top quartile or higher. Student leadership, high school activities, and church and/or community service are all considered.</t>
  </si>
  <si>
    <t>Wilmington College</t>
  </si>
  <si>
    <t>Presidential Scholarship
• Qualifications: 3.5 – 4.0 cumulative grade point average and 25-36 ACT composite (1200 minimum SAT critical reading and math combined score). 
• Recipients must reside on campus. 
• Recipients must participate in the Honors Program. 
• Renewable so long as the recipient meets the requirements designated in the Award Intent Form that will be signed to accept the scholarship.</t>
  </si>
  <si>
    <t>SAT Math: 420-550
SAT Critical Reading: 440-560 SAT Writing: Not Reported</t>
  </si>
  <si>
    <t>Wittenberg University</t>
  </si>
  <si>
    <t>Child of Military Veteran</t>
  </si>
  <si>
    <t>Yellow Ribbon Grant
Up to full tuition – This grant is offered to military veterans and/or their families. The recipient must be a child of a military veteran who qualifies. The scholarship, when combined with other VA benefits, provides up to full tuition to qualifying applicants. Eligible students must work with the VA to apply for this award.</t>
  </si>
  <si>
    <t>SAT Math: 490-610
SAT Writing: 460-560 SAT Critical Reading: 490-610</t>
  </si>
  <si>
    <t>Wright State University</t>
  </si>
  <si>
    <t>National Merit Status; National Achievement Status</t>
  </si>
  <si>
    <t>National Merit and National Achievement Scholarship Program Finalists, Semi-Finalists and Commended students; designate Wright State University as university of first choice; The value of in-state tuition, room/board*, and books (*up to the value of residential default meal plan) for finalists &amp; semi-finalists; commended students receive $7,000 per year</t>
  </si>
  <si>
    <t>In-state: $8,730
Out-of-state: $17,350</t>
  </si>
  <si>
    <t>SAT Math: 450-590
SAT Critical Reading: 460-590
SAT Writing: 430-560</t>
  </si>
  <si>
    <t xml:space="preserve">Valedictorian Scholarship - The value of in-state tuition </t>
  </si>
  <si>
    <t>Up to in-state tuition</t>
  </si>
  <si>
    <t>Competitive Honors Scholarships - Amounts vary from $2,500 up to the value of in-state tuition Eligibility CriteriaMeet two of three criteria: (1) 3.5 cumulative GPA; (2) rank in top 10 percent of graduating class; (3) ACT composite or SAT math and critical reading score only at 90th percentile or above (approximately 28 ACT or 1290 SAT)</t>
  </si>
  <si>
    <t>Trustees Scholarship - The value of in-state tuition, room/board, and books Eligibility CriteriaMeet two of three criteria: (1) 3.75 cumulative GPA; (2) rank in top 5 percent of graduating class; (3) ACT composite or SAT math and critical reading score only at 95th percentile or above (approximately 30 ACT or 1360 SAT)</t>
  </si>
  <si>
    <t>GPA/Test Scores; Engineering or Computer Science Major</t>
  </si>
  <si>
    <t>Duval Family Scholarship - Amount varies from $1,000 up to the amount of in-state tuition Eligibility CriteriaStudent must be pursuing a major within the Engineering &amp; Computer Science areas.</t>
  </si>
  <si>
    <t>https://engineering-computer-science.wright.edu/admission/scholarships-tuition-and-financial-aid</t>
  </si>
  <si>
    <t>In-State Tuition Plus</t>
  </si>
  <si>
    <t>Female Engineering or Computer Science Major; GPA/Test Scores; Class Rank</t>
  </si>
  <si>
    <t>Virginia Arlene Di Flora Memorial Scholarship - The value of in-state tuition plus $500 book allowanceEligibility CriteriaFemale pursing a major within the College of Engineering and Computer Science; rank in top 20 percent of graduating class.</t>
  </si>
  <si>
    <t>Gasper Family Endowed Scholarship</t>
  </si>
  <si>
    <t>In-State Tuition</t>
  </si>
  <si>
    <t>Major in Science, Technology, Engineering, Mathematics, or Medicine; GPA/Test Scores</t>
  </si>
  <si>
    <t>Wright STEPP Scholarship - The value of in-state tuitionEligibility CriteriaPursue a major in Science, Technology, Engineering, Mathematics, or Medicine (STEMM); 3.0 GPA; completed all required Wright STEPP summer program sessions. Submit the FAFSA (Free Application for Federal Student Aid).</t>
  </si>
  <si>
    <t>http://www.wright.edu/raiderconnect/financial-aid/first-year-scholarships#tid-602</t>
  </si>
  <si>
    <t>Art or Art History Major; Portfolio Review</t>
  </si>
  <si>
    <t>ArtsGala Scholarship Department of Art and Art History - Amount varies from $500 to the value of in-state tuitionEligibility CriteriaBased on portfolio review with Department of Art and Art History</t>
  </si>
  <si>
    <t>Music Major; Audition</t>
  </si>
  <si>
    <t>ArtsGala Scholarship Department of Music - Amount varies from $500 to the value of in-state tuitionEligibility CriteriaBased on audition with School of Music</t>
  </si>
  <si>
    <t>Theatre, Dance, Motion Pictures Major; Audition/Interview</t>
  </si>
  <si>
    <t>ArtsGala Scholarship Department of Theatre, Dance and Motion Pictures - Amount varies from $500 to the value of in-state tuitionEligibility CriteriaBased on audition/interview with Department of Theatre, Dance, and Motion Pictures</t>
  </si>
  <si>
    <t>Audition</t>
  </si>
  <si>
    <t>Dayton Ballet II &amp; Dayton Contemporary Dance Company II Scholarships - Amount varies from $500 to the value of in-state tuitionEligibility CriteriaBased on audition with Department of Theatre, Dance, and Motion Pictures; must provide a DVD with B.F.A. Admission/Scholarship Applications</t>
  </si>
  <si>
    <t>Music Scholarship</t>
  </si>
  <si>
    <t>Theatre Arts Talent Scholarships; Tom Hanks Scholarship; Augsburger/Estevez Scholarship (Martin Sheen) - Amount varies from $500 to the value of in-state tuitionEligibility CriteriaBased on audition with Department of Theatre, Dance, and Motion Pictures</t>
  </si>
  <si>
    <t>Must attend Lake Campus; different scholarships with different eligibility</t>
  </si>
  <si>
    <t>Lake Campus Scholarships - Varies by scholarship award; up to value of full in-state tuition Eligibility CriteriaMust attend Lake Campus; eligibility varies by scholarship</t>
  </si>
  <si>
    <t>Xavier University</t>
  </si>
  <si>
    <t>Art Major; Portfolio</t>
  </si>
  <si>
    <t xml:space="preserve">Edgecliff McAuley Art Scholarships 
awarded to incoming first-year students majoring in art with good academic achievement and outstanding artistic talent. The current four-year value of these awards is nearly $250,000. 
Typical art scholarships range in value from quarter to full tuition and are awarded based upon artistic talent and achievement. Portfolios are to be submitted to the department of art. </t>
  </si>
  <si>
    <t>SAT Math: 490-600
SAT Critical Reading: 490-600
SAT Writing: 480-590</t>
  </si>
  <si>
    <t>3.52(based on weighted GPAs)</t>
  </si>
  <si>
    <t>Army ROTC 
cover full college tuition and educational fees, a $1,200 yearly book allowance and a monthly stipend starting at $300/month during the academic school year. Additional financial incentives may be offered by Xavier to assist with costs not covered by the Army ROTC scholarship including room and or board.</t>
  </si>
  <si>
    <t>OK</t>
  </si>
  <si>
    <t>Oklahoma Baptist University</t>
  </si>
  <si>
    <t>Western Oklahoma</t>
  </si>
  <si>
    <t>GPA/Test Scores; Residency Requirement</t>
  </si>
  <si>
    <t>Allen Scholarship - This full-tuition scholarship is awarded to a student from Western Oklahoma who has at least a 27 ACT or 1270 SAT and a 3.5 GPA.</t>
  </si>
  <si>
    <t>SAT Math - 440-560 
SAT Critical Reading - 450-580 
SAT Writing - Not reported</t>
  </si>
  <si>
    <t>Oklahoma Resident Choctaw Student</t>
  </si>
  <si>
    <t>GPA/Test Scores; Nationality/Residency Requirement</t>
  </si>
  <si>
    <t>Martin Scholarship - This full-tuition scholarship is awarded to an Oklahoma resident Choctaw student who is recognized by the Choctaw Nation as being Choctaw with at least a 25 ACT or 1190 SAT and a 3.0 GPA.</t>
  </si>
  <si>
    <t>University Scholar - Eight awards are made to incoming full-time freshmen. Students must have at least a 32 ACT or 1440 SAT with a 3.75 high school GPA to apply.</t>
  </si>
  <si>
    <t>Oklahoma Christian University</t>
  </si>
  <si>
    <t>National Merit Finalist Scholarship - This scholarship is determined by the National Merit Corporation and is awarded in the spring of a high school student's senior year. A student may receive this award up to 8 semesters and must maintain a 3.0 cumulative college GPA to keep the award. To be eligible for the National Merit Finalist scholarship, students must select Oklahoma Christian as their first-choice university to the National Merit Corporation.</t>
  </si>
  <si>
    <t>SAT Math - 490-620 
SAT Critical Reading - 480-610 
SAT Writing - Not reported</t>
  </si>
  <si>
    <t>Oklahoma City University</t>
  </si>
  <si>
    <t>Oklahoma City University is committed to the recruitment and retention of National Merit Scholars. OCU offers a full-tuition scholarship to our National Merit Scholars.</t>
  </si>
  <si>
    <t>http://www.okcu.edu/financialaid/types-of-assistance/scholarships/freshmen</t>
  </si>
  <si>
    <t>SAT Math: 480-610
SAT Critical Reading: 485-600
SAT Writing: 473-580</t>
  </si>
  <si>
    <t>National Achievement Status</t>
  </si>
  <si>
    <t>Oklahoma City University is committed to the recruitment of National Achievement Scholars. OCU offers a full-tuition scholarship to our National Achievement Scholars.</t>
  </si>
  <si>
    <t>American Indian; Overall Academic Performance; Leadership</t>
  </si>
  <si>
    <t xml:space="preserve">American Indian Scholarship
Oklahoma City University's highly competitive American Indian Scholarship rewards talented students that have demonstrated academic excellence, commitment to serving their communities, and proven leadership success. Scholarship recipients become members of a carefully selected class of student leaders who share similar passions for excellence, service, and success. 
This generous scholarship includes full tuition, room and board, and membership in the prestigious President's Leadership Class, which is comprised of distinguished scholars that share in an academic and co-curricular living/learning experience. This award is available for a total of four years (eight consecutive semesters) with the caveat that scholarship recipients maintain a minimum 3.0 cumulative grad point average (GPA) and fully participate in the program. </t>
  </si>
  <si>
    <t>Pre-engineering Major; Test Scores</t>
  </si>
  <si>
    <t>Pre-Engineering Studies Scholarship
Deadline: February 1, annually
Oklahoma City University is proud to partner with Washington University in St. Louis to offer a 3+2 dual degree program. Eligible students* will complete 3 years of pre-engineering studies at Oklahoma City University followed by 2 years of study in the engineering field of their choice at Washington University, leading to two Bachelor of Science degrees.
This scholarship is a competitive, full-tuition scholarship awarded to an outstanding Freshman student who chooses to pursue pre-engineering studies at Oklahoma City University. This award covers tuition for 6 semesters at OCU and cannot be combined with other university scholarships.</t>
  </si>
  <si>
    <t>27 Science &amp; Math</t>
  </si>
  <si>
    <t>SAT Math 640</t>
  </si>
  <si>
    <t>Biology Major; Overall Academic Performance</t>
  </si>
  <si>
    <t>The Frank G. Brooks Memorial Scholarship is a competitive, full-tuition scholarship awarded to an outstanding Freshman student who chooses to study Biology at Oklahoma City University. This award cannot be combined with other university scholarships.</t>
  </si>
  <si>
    <t>Oklahoma State University</t>
  </si>
  <si>
    <t xml:space="preserve">Oklahoma State University welcomes all Merit Finalists and Merit Scholars. OSU offers very attractive financial assistance opportunities for National Merit Scholars who name OSU as their first choice with the National Merit Scholarship Corporation, and apply for admission/scholarships at OSU. </t>
  </si>
  <si>
    <t>In-state: $8,321
Out-of-state: $22,443</t>
  </si>
  <si>
    <t>SAT Math 500-620
SAT Critical Reading 470-590 
SAT Writing not reported</t>
  </si>
  <si>
    <t xml:space="preserve">Oklahoma State University may nominate a very limited number of resident and nonresident new freshmen for the Academic Scholar Program of the Oklahoma State Regents for Higher Education (OSRHE). </t>
  </si>
  <si>
    <t>http://financialaid.okstate.edu/in-state-scholarships</t>
  </si>
  <si>
    <t>Oklahoma Wesleyan University</t>
  </si>
  <si>
    <t>75% of full tuition</t>
  </si>
  <si>
    <t>Valedictorian and Salutatorian Scholarship - OKWU offers 75% tuition to the valedictorian and 45% tuition to the salutatorian of accredited high schools, some restrictions may apply.
Must be ranked #1 in his or her class as verified at time of awarding and on final, official transcript.
Must meet the OKWU admission criteria.
Transcripts will be evaluated on a weighted GPA, 4.0 scale.
Must be entering as a first-time, full-time freshman student directly out of high school.
Renewable annually with a 3.5 cumulative GPA.
Students may only add Wesleyan Member and Church Matching funds to this award.
OKWU limits the total number of Valedictorian/Salutatorian Scholarships it awards annually.
The Valedictorian Scholarship is awarded for a maximum time period of 10 continuously enrolled semesters.</t>
  </si>
  <si>
    <t>SAT Math 430-560
SAT Critical Reading 410-520 
SAT Writing 400-500</t>
  </si>
  <si>
    <t>National Merit Scholarship: This award is for finalist, semi-finalists or those receiving commendation in the National Merit Program who is enrolled full-time and living on campus at the institution.This scholarship may be received for up to four years of continuous enrollment.Students can be awarded up to a maximum of 100% tuition. An academic scholarship will not be added to this award for finalists and semi-finalists.· Finalist: Full-Tuition· Semi-Finalist: Half-Tuition· Commendation: $1,500 per year</t>
  </si>
  <si>
    <t>Oral Roberts University</t>
  </si>
  <si>
    <t>75% or more of full tuition</t>
  </si>
  <si>
    <t>GPA/Test Scores; Christian Committment; Leadership</t>
  </si>
  <si>
    <t>Fellows are awarded up to $20,000/year annually.  The application must be 
postmarked no later than December 1 to be considered.
Eligibility:  Open to freshman applicants with a 31-36 ACT or 1410-1600 SAT
(Math/Critical Reading) and a 3.5 (weighted or unweighted) cumulative high 
school GPA.  Each applicant must have one academic and one spiritual letter of 
recommendation, demonstrated leadership skills, and proven church and community 
service.  Those selected must remain a member of the Honors Program in good 
standing and maintain a 3.5 GPA each year in order for the scholarship to 
continue.</t>
  </si>
  <si>
    <t>SAT Math 450-560
SAT Critical Reading 455-550
SAT Writing not reported</t>
  </si>
  <si>
    <t>Southwestern Christian University</t>
  </si>
  <si>
    <t>Academic Scholarship Level VI Honors</t>
  </si>
  <si>
    <t>http://swcu.edu/Websites/swcu/images/Academic%20Scholarship%20Application%20FINAL%20'17.pdf</t>
  </si>
  <si>
    <t>University of Central Oklahoma</t>
  </si>
  <si>
    <t xml:space="preserve">GPA/Test Scores  </t>
  </si>
  <si>
    <t>Baccalaureate Scholarship - Oklahoma resident. Minimum 30 ACT on national 
ACT test and minimum 3.5 unweighted GPA. 
Interview required</t>
  </si>
  <si>
    <t>http://sites.uco.edu/em/files/UCOFr.Scholarship.pdf</t>
  </si>
  <si>
    <t>In-state: $6,699
Out-of-state: $16,459</t>
  </si>
  <si>
    <t>Oklahoma Academic Scholar
Program. Oklahoma resident. 99.5 percentile on national ACT/SAT. Contact school counselor for application.</t>
  </si>
  <si>
    <t>GPA/Test Scores; Leadership; Service; Extra-Curriculars</t>
  </si>
  <si>
    <t>President’s Leadership
Scholarship - Minimum 3.0 unweighted GPA &amp; 20 ACT. Active involvement in student organizations and
demonstrate community involvement.</t>
  </si>
  <si>
    <t>Academic Scholar Institutional 
Nominee Program - Oklahoma resident. Achieve one of the following: 30 on national ACT/SAT OR 3.8 unweighted GPA AND rank in TOP 4% of graduating class</t>
  </si>
  <si>
    <t>University of Oklahoma</t>
  </si>
  <si>
    <t>National Merit Finalists who list OU as their first choice</t>
  </si>
  <si>
    <t>University of Science and Arts of Oklahoma</t>
  </si>
  <si>
    <t>GPA/Test Scorres or National Merit Status</t>
  </si>
  <si>
    <t>Academic Scholars Program - Students automatically qualify for the Academic Scholars Program by being named a Presi­dential Scholar by the U.S. Department of Education, a National Merit Scholar or National Merit Finalist, or by scoring in the 99th percentile on a National ACT. In addition to automatic qualifiers, three additional Academic Scholars may be selected each year by institutional nomination. The recipients of these three scholarships must meet at least one of the following requirements: 1) have a National ACT composite score of 30 or the SAT equivalent and a 3.5 GPA, or 2) have a GPA of 3.8 on a 4.00 scale or higher and rank in the top 4% of their high school class.</t>
  </si>
  <si>
    <t>In-state: $6,570
Out-of-state: $16,020</t>
  </si>
  <si>
    <t>SAT Math 410-510 SAT Critical Reading 390-490 SAT Writing not reported</t>
  </si>
  <si>
    <t>Regional University Baccalaureate Scholarship - Also known as the "Regents Baccalaureate" Scholarship at USAO; this four-year scholarship is awarded to high school seniors having a National ACT score of at least 30 and an exceptional high school GPA and rank (Preference given to 3.50 GPA and higher). Must be an Oklahoma resident and a U.S. citizen. Recipients of this scholarship must maintain a graduation retention GPA of 3.25 and complete 24 hours each academic year to maintain the scholarship.
Scholarship covers tuition, basic fees, room and meal plan (if dependent and living on campus). The room waiver is a double occupancy room in Sparks Hall or the equivalent amount towards an apartment in Lawson Court. The meal plan is the 225 meals or one of lesser value. Scholarship amount is dependent upon enrollment status and the student's final financial aid package.</t>
  </si>
  <si>
    <t>University of Tulsa</t>
  </si>
  <si>
    <t>The TU Presidential Scholarship is the most prestigious academic merit award given by the university. The award is based on a number of factors, including exceptional performance in rigorous college preparatory curriculum, ACT/SAT scores and demonstrated leadership, and/or service.</t>
  </si>
  <si>
    <t>26-32</t>
  </si>
  <si>
    <t>SAT Math: 570-700
SAT Critical Reading: 560-700
SAT Writing: Not reported</t>
  </si>
  <si>
    <t>OR</t>
  </si>
  <si>
    <t>Lewis &amp; Clark College</t>
  </si>
  <si>
    <t>Overall Academic Performance; Personal Accomplishment</t>
  </si>
  <si>
    <t>The Barbara Hirschi Neely Scholarship, Lewis &amp; Clark’s highest merit award, recognizes incoming first-year students of exceptional academic achievement and distinctive personal accomplishment. Special preference is given to students committed to studying the sciences, or students with an unusually keen interest in intercultural and international issues. To be eligible for consideration, students must submit a completed admissions application no later than January 15.
Up to five scholarships are awarded to entering first-year students and are renewable annually, provided the student maintains satisfactory academic progress. The scholarship provides full tuition and fees, valued at more than $160,000 over four years.</t>
  </si>
  <si>
    <t>SAT Math: 590-670
SAT Critical Reading: 600-720
SAT Writing: 580-630</t>
  </si>
  <si>
    <t>3.9(based on weighted GPAs)</t>
  </si>
  <si>
    <t>Linfield College</t>
  </si>
  <si>
    <t>Linfield Merit Award
Students who are Finalists in the National Merit Scholarship Corporation Program, and who list Linfield as their first choice college, and are eligible for a college sponsorship through National Merit, will be awarded a Linfield Merit Award. The amounts range from half tuition on a no-need basis, to full tuition with sufficient financial need. The award is guaranteed through the sophomore year, and renewed for the junior and senior years if the student maintains a 3.350 Linfield cumulative GPA, is a full-time student, and applies for renewal of financial aid in a timely manner.</t>
  </si>
  <si>
    <t>SAT Math: 480-580 
SAT Writing: 460-560 SAT Critical Reading: 470-580</t>
  </si>
  <si>
    <t>3.60(based on weighted GPAs)</t>
  </si>
  <si>
    <t>Portland State University</t>
  </si>
  <si>
    <t>Presidential Scholarship - This is a tuition waiver award.  It is awarded to incoming freshmen based on high school GPA and SAT/ACT scores.  Funds are very limited.  Award amount is PSU regular rate tuition for 12 cr per term, fall, winter, spring.  It is renewable for up to four years.  Full-time enrollment at PSU is required.</t>
  </si>
  <si>
    <t>https://www.pdx.edu/scholarships/future-freshman</t>
  </si>
  <si>
    <t>In-state: $8,337
Out-of-state: $24,852</t>
  </si>
  <si>
    <t xml:space="preserve">SAT Math - 460-570 
SAT Critical Reading - 470-590 
SAT Writing - 440-560 </t>
  </si>
  <si>
    <t>University of Oregon</t>
  </si>
  <si>
    <t>The Stamps Leadership Scholarship—the University of Oregon’s most prestigious and generous undergraduate scholarship—is awarded competitively to outstanding incoming freshmen from Oregon. Twenty students—five per year—will be awarded this merit-based scholarship by the Stamps Family Charitable Foundation in partnership with the University of Oregon.</t>
  </si>
  <si>
    <t>In-state: $10,762
Out-of-state: $33,442</t>
  </si>
  <si>
    <t>SAT Math 500–610
SAT Critical Reading 500–620 
SAT Writing 490–600</t>
  </si>
  <si>
    <t>University of Portland</t>
  </si>
  <si>
    <t>Army ROTC Scholarship Program 
This program will cover tuition and fees, a textbook allowance, and a monthly stipend during the academic year. The Army ROTC Scholarship provides full tuition and fees for the duration of the designated scholarship. Army ROTC students scholarship recipients will also receive a room and board scholarship (capped at the double room rate) during all years the student is receiving the scholarship and living on campus.</t>
  </si>
  <si>
    <t>SAT Math: 550-640
SAT Critical Reading: 540-660
SAT Writing: Not reported</t>
  </si>
  <si>
    <t>PA</t>
  </si>
  <si>
    <t>Arcadia University</t>
  </si>
  <si>
    <t>GPA/Test Scores; Class Rank; Leadership</t>
  </si>
  <si>
    <t>The Arcadia University President's Scholarship 
A full tuition scholarship awarded to a limited number of first-year applicants. 
Criteria: 
Applicant must be enrolling as a first-year, full-time student. 
Applicants are evaluated for the award based on their grades, class rank, SAT and/or ACT scores, and leadership in school and the community. 
Application process: No special application required, all first-year students who apply for full-time admission will be considered. 
Special Notes: 
Students selected for the President’s Scholarship are not eligible for any other Arcadia merit aid that may have been awarded during the admission application process. 
The value of this merit scholarship does not change annually even though tuition will increase; the amount of the President's Scholarship will always equals the cost of fall and spring tuition for the scholar's first year of entry. 
The Arcadia University President's Scholarship was formerly named the Landman Scholarship.</t>
  </si>
  <si>
    <t>SAT Math: 498-600
SAT Writing: 480-490 SAT Critical Reading: 498-600</t>
  </si>
  <si>
    <t>Cedar Crest College</t>
  </si>
  <si>
    <t xml:space="preserve">Cedar Crest Competition Scholarship 
A full-tuition scholarship awarded to one first-year student who is the winner of our annual Scholarship Competition Day. </t>
  </si>
  <si>
    <t>SAT Math - 410-530
SAT Critical Reading - 420-550
SAT Writing - 410-520</t>
  </si>
  <si>
    <t>Chatham University</t>
  </si>
  <si>
    <t xml:space="preserve">Overall Academic Performance </t>
  </si>
  <si>
    <t>Presidential Scholarship
Full Tuition annually
The Presidential Scholarship is an annually renewable scholarship that covers full tuitionfor each academic year, for a total of four years (or 120 credits) of study at Chatham University.</t>
  </si>
  <si>
    <t>SAT Math: 470-560 SAT Writing: 460-580 SAT Critical Reading: 485-585</t>
  </si>
  <si>
    <t>Rachel Carson Scholarship
Full Tuition annually
The Rachel Carson Scholarship is an annually renewable scholarship that covers tuition for each academic year, for a total of four years (or 120 credits) of study at Chatham University.</t>
  </si>
  <si>
    <t>DeSales University</t>
  </si>
  <si>
    <t>Leadership Scholarship
Your chance to earn one of six DeSales University full-tuition scholarships 
The leadership scholarship is a Full -Tuition scholarship offered to six students who have shown outstanding leadership in their high school careers and who plan to continue to develop those skills at DeSales. All who enter have a chance to win some scholarship money.</t>
  </si>
  <si>
    <t>SAT Math: 440-590
SAT Writing: 450-580 SAT Critical Reading: 450-590</t>
  </si>
  <si>
    <t>$22,000-Full tuition</t>
  </si>
  <si>
    <t>Presidential Scholarships - $22,000 to full tuition annually</t>
  </si>
  <si>
    <t>Drexel University</t>
  </si>
  <si>
    <t>Science Major; Female; Specific Program Completion</t>
  </si>
  <si>
    <t>Women In Natural Sciences (WINS) - Drexel University offers one full-tuition scholarship to an incoming freshman female student who is interested in studying within the sciences and has participated in the WINS program at the Academy of Natural Sciences.</t>
  </si>
  <si>
    <t>SAT Math 560–670
SAT Critical Reading 530–630 
SAT Writing 520–630</t>
  </si>
  <si>
    <t>International Student</t>
  </si>
  <si>
    <t>The Drexel Global Scholar program recognizes a select number of incoming international students with exceptional academic achievement and outstanding commitment to global leadership and international community building.</t>
  </si>
  <si>
    <t>Eastern University</t>
  </si>
  <si>
    <t>Music Major Scholarship 
Up to Full Tuition for music majors. It is recommended but not required that the audition be scheduled prior to April 1 to be considered for a music scholarship. To make an appointment for an audition call the music department at 610-225-5733.</t>
  </si>
  <si>
    <t>SAT Math: 450-570
SAT Writing: 450-580 SAT Critical Reading: 460-580</t>
  </si>
  <si>
    <t>Elizabethtown College</t>
  </si>
  <si>
    <t>The Stamps Leadership Scholarship Program recognizes and rewards exceptional students who exemplify leadership, perseverance, scholarship, service, overcoming obstacles and innovation. Stamps Scholars receive an award meeting 100% of the total cost of attendance (tuition) plus access to a $6,000 enrichment fund which can be used for study abroad, internship support, community/civic engagement opportunities and other qualified educational activities.</t>
  </si>
  <si>
    <t>SAT Math: 500-620
SAT Critical Reading: 500-610
SAT Writing: 470-600</t>
  </si>
  <si>
    <t>Gannon University</t>
  </si>
  <si>
    <t>Presidential Scholarship*
Eligible candidates must apply and be accepted to the University by December 15. The top 10 percent of accepted students by this date will be invited to compete in a scholarship contest with the ability to earn a full tuition scholarship. Up to the top 10 participants in the scholarship contest will receive full tuition scholarships. Details of the scholarship contest are included with students’ acceptance letters.</t>
  </si>
  <si>
    <t>SAT Math: 463-570
SAT Critical Reading: 460-560 SAT Writing: Not Reported</t>
  </si>
  <si>
    <t>Gwynedd Mercy University</t>
  </si>
  <si>
    <t>Presidential Scholarship 
Full Tuition- The Presidential Scholarship is a full tuition scholarship available to selected first-time freshmen. To be eligible, you will need SAT scores of at least 1300 (Math and Critical Reading combined), a cumulative high school GPA of at least 3.5, and an interview with an Admissions Counselor. This full tuition scholarship is renewable for three years as long as you continue to meet eligibility requirements and maintain a cumulative GPA of at least 3.5.</t>
  </si>
  <si>
    <t>SAT Math: 420-510 
SAT Writing: 400-500 SAT Critical Reading: 410-500</t>
  </si>
  <si>
    <t>Harrisburg University of Science and Technology</t>
  </si>
  <si>
    <t>Baltimore City School District Graduates</t>
  </si>
  <si>
    <t>GPA</t>
  </si>
  <si>
    <t>Baltimore Partnership Scholarship. Awarded to recent graduates from Baltimore City School District with a cumulative high school GPA of 2.7 or higher who are enrolling full-time in a degree program at HU. Applicants must apply for all state and federal grants before their respective deadlines. International students are not eligible for this scholarship. Full tuition less all federal and state grants and first $3,500 in federal loans.</t>
  </si>
  <si>
    <t>Washington D.C. School District Graduates</t>
  </si>
  <si>
    <t>DC Partnership Scholarship. Awarded to recent graduates with a cumulative high school GPA of 2.7 or higher from Washington, D.C. School District enrolling full-time in a degree program at HU. Applicants must apply for all federal grants and the DC-CAP Award before their respective deadlines. International students are not eligible for this scholarship. Full tuition less all federal and DC-CAP grants and first $3500 in federal loans.</t>
  </si>
  <si>
    <t>Delaware County School District, PA</t>
  </si>
  <si>
    <t>Delaware Strong Scholarship. Awarded to recent graduates from any Delaware County School District in PA with a cumulative high school GPA of 3.0 or higher who are enrolling full-time in a degree program at HU. Applicants must apply for all state and federal grants before their respective deadlines. International students are not eligible for this scholarship. Full tuition less all federal and state grants and first $3,500 in federal loans.</t>
  </si>
  <si>
    <t>Harrisburg School District Graduates</t>
  </si>
  <si>
    <t>Overall academic performance</t>
  </si>
  <si>
    <t>Harrisburg Partnership Scholarship. Awarded to recent graduates from Harrisburg School District enrolling full-time in a degree program at HU. Applicants must apply for all state and federal grants before their respective deadlines. Interview may be required. Must apply by May 1st prior to fall semester. International students are not eligible for this scholarship.Full tuition less all federal and state grants and first $3,500 in federal loans.</t>
  </si>
  <si>
    <t>Dauphin County School District Graduates</t>
  </si>
  <si>
    <t>Harrisburg Strong Scholarship. Up to eight (8) scholarships awarded to recent graduates from any Dauphin County School District enrolling full-time in a degree program at HU. Applicants must apply for all state and federal grants before their respective deadlines. Interviews may be required. Must apply by May 1 prior to fall semester.International students are not eligible for this scholarship. Full tuition less all federal and state grants and first $3,500 in federal loans.</t>
  </si>
  <si>
    <t>Montgomery County School District Graduates</t>
  </si>
  <si>
    <t>Montgomery Strong Scholarship. Awarded to recent graduates from any Montgomery County School District in PA with a cumulative high school GPA of 3.0 or higher who are enrolling full-time in a degree program at HU. Applicants must apply for all state and federal grants before their respective deadlines. Full tuition less all federal and state grants and first $3,500 in federal loans.</t>
  </si>
  <si>
    <t>Philadelphia School District Graduates</t>
  </si>
  <si>
    <t>Philadelphia Partnership Scholarship. Up to twenty (20) scholarships awarded to recent graduates with a cumulative high school GPA of 2.7 from Philadelphia School District enrolling full-time in a degree program at HU. Applicants must apply for all state and federal grants before their respective deadlines. Interviews may be required. International students are not eligible for this scholarship. Full tuition less all federal and state grants and first $3,500 in federal loans.</t>
  </si>
  <si>
    <t>Reading School District Graduates</t>
  </si>
  <si>
    <t>Reading Partnership Scholarship. Awarded to recent graduates of the Reading School District with a cumulative high school GPA of 2.7 or higher who are enrolling full-time in a degree program at HU. Applicants must apply for all state and federal grants before their respective deadlines. International students are not eligible for this scholarship. Full tuition less all federal and state grants and first $3,500 in federal loans.</t>
  </si>
  <si>
    <t>York City School District Graduates</t>
  </si>
  <si>
    <t>York Partnership Scholarship. Awarded to recent graduates from the York City School District with a cumulative high school GPA of 2.7 or higher who are enrolling full-time in a degree program at HU. Applicants must apply for all state and federal grants before their respective deadlines. International students are not eligible for this scholarship. Full tuition less all federal and state grants and first $3,500 in federal loans.</t>
  </si>
  <si>
    <t>York County School District Graduates</t>
  </si>
  <si>
    <t>York Strong Scholarship. Awarded to recent graduates from any York County School District with a cumulative high school GPA of 3.0 or higher who are enrolling full-time in a degree program at HU. Applicants must apply for all state and federal grants before their respective deadlines. Full tuition less all federal and state grants and first $3,500 in federal loans.</t>
  </si>
  <si>
    <t>Immaculata University</t>
  </si>
  <si>
    <t>GPA/Test Scores; Class Rigor; Class Rank</t>
  </si>
  <si>
    <t>Presidential Scholarship is awarded to a select number of students with a record of academic excellence. Students are evaluated on the basis of GPA, class rigor, standardized test scores, class rank (if applicable) and recommendations</t>
  </si>
  <si>
    <t>SAT Math 420-550
SAT Critical Reading 440-530
SAT Writing 430-550</t>
  </si>
  <si>
    <t>Keystone College</t>
  </si>
  <si>
    <t>Academic Excellence Scholarship - Awarded to full-time, first-year students who have achieved superior academic excellence in high school.
The Full Academic Excellence Scholarship is valued at full tuition.</t>
  </si>
  <si>
    <t>SAT Math - 400-520 
SAT Critical Reading - 410-510 
SAT Writing - 380-480</t>
  </si>
  <si>
    <t>Indiana University of Pennsylvania</t>
  </si>
  <si>
    <t>Minority; Class Rank; Test Scores</t>
  </si>
  <si>
    <t>BOARD OF GOVERNORS SCHOLARSHIPS
Up to thirty-five full-tuition scholarships are awarded each year to academically talented minority students who have scored approximately 1000 on the SAT and who are in the top 25 percent of their high school class. The BOG scholarships are renewable for a maximum of eight Fall/Spring semesters for recipients who maintain a satisfactory GPA.</t>
  </si>
  <si>
    <t>http://www.iup.edu/financialaid/types-of-financial-aid/scholarships/honors/</t>
  </si>
  <si>
    <t>In-state: $11,368
Out-of-state: $21,034</t>
  </si>
  <si>
    <t xml:space="preserve">SAT Math - 430-530
SAT Critical Reading - 430-530 
SAT Writing - 410-520 </t>
  </si>
  <si>
    <t>King's College</t>
  </si>
  <si>
    <t>ARMY ROTC SCHOLARSHIPS - 4 year ROTC scholarship or 3 year advanced designee scholarships provide free room and board upon enrollment. Scholarship benefits award up to full tuition, $900 for books and a monthly stipend ranging from $300 per month for freshmen to $500 per month for seniors. Contact the Military Science Department at King's College (570) 208-5900 ext. 5305 for additional information, or email hwramsey@kings.edu.</t>
  </si>
  <si>
    <t>SAT Math: 470-580
SAT Writing: 440-540 SAT Critical Reading: 460-550</t>
  </si>
  <si>
    <t>GPA/Test Scores; Class Rank; Overall Academic Performance; Leadership; Service</t>
  </si>
  <si>
    <t>PRESIDENTIAL SCHOLARSHIPS (Full-tuition scholarships) 
Students must be accepted by February 1st and have: 
Class rank in top 5% 
Minimum SAT - 1310; minimum ACT - 28 
Minimum 3.5 GPA in advanced college preparatory curriculum 
Exemplary leadership, personal qualities, scholastic achievements and/or community service activities 
Competitive Merit Scholarship award- Campus interview required</t>
  </si>
  <si>
    <t>La Salle University</t>
  </si>
  <si>
    <t>The Christian Brothers' Scholarship 
Each year, La Salle University awards merit-based University Scholarships to incoming freshmen. These awards provide full tuition for up to four years of undergraduate study at La Salle. 
Eligibility: La Salle University Christian Brothers' Scholarships are open to all incoming freshmen who approximate the following minimum qualifications: academic rank in the top ten students (of smaller schools) or first decile of their high school senior class, standardized test scores that total approximately 1360 SAT  or 29 ACT, potential for academic and extracurricular leadership as evidenced by honors and awards, activities, letters of recommendation, and personal essay. Students must be accepted to La Salle in order to qualify for the Christian Brothers’ Scholarship.</t>
  </si>
  <si>
    <t>SAT Math: 450-550
SAT Critical Reading: 440-550
SAT Writing: Not reported</t>
  </si>
  <si>
    <t>Lafayette College</t>
  </si>
  <si>
    <t>Overall Academic Performance; Leadership; Global Citizenship</t>
  </si>
  <si>
    <t>Marquis Fellowship - Currently $40,000 plus up to $4,000 for an off-campus course. The Marquis Fellowship is awarded to the most highly qualified candidates in the applicant pool. Inspired by the ideals for which the Marquis de Lafayette stood, Marquis Fellows display outstanding ability to contribute to the Lafayette community based on their interest in global citizenship, scholarly pursuits, leadership, and demonstrated and genuine concern for others. Approximately 20 offered to admitted students each year.</t>
  </si>
  <si>
    <t>SAT Math 620-710
SAT Critical Reading 580-670 
SAT Writing 590-690</t>
  </si>
  <si>
    <t>Lebanon Valley College</t>
  </si>
  <si>
    <t>JOHN BOWMAN ALLWEIN SCHOLARSHIP 
Full-tuition scholarships awarded to high-achieving, first-time freshmen</t>
  </si>
  <si>
    <t>SAT Math - 510-620
SAT Critical Reading - 490-590
SAT Writing - 480-580</t>
  </si>
  <si>
    <t>Lehigh University</t>
  </si>
  <si>
    <t>FOUNDER'S AND TRUSTEES' SCHOLARSHIPS - Lehigh's most prestigious merit scholarship awards are given to students in the top tier of our applicant pool. The awards are valued at full or half tuition, and are renewable over a four-year period, provided recipients maintain a cumulative GPA of 3.0 or higher. No additional application beyond your application for admission is necessary. All full-time admitted students will be considered by the Committee on Admissions.</t>
  </si>
  <si>
    <t>https://www1.lehigh.edu/admissions/undergrad/tuition/aidtypes/scholarships</t>
  </si>
  <si>
    <t>SAT Math 640-740
SAT Critical Reading 590-680 
SAT Writing not reported</t>
  </si>
  <si>
    <t>Messiah College</t>
  </si>
  <si>
    <t>Commitment to promoting racial/ethnic diversity</t>
  </si>
  <si>
    <t>The Lloyd and Lois Martin Multicultural Scholarship - U.S. citizens and permanent residents only. Transfer and first-year students are eligible. Documentation of commitment to promoting racial/ethnic diversity is required. Complete admissions application process and submit Martin Application by January 15. On-campus interview required</t>
  </si>
  <si>
    <t>SAT Math - 510-630 
SAT Critical Reading - 500-620 
SAT Writing - 490-600</t>
  </si>
  <si>
    <t>Trustees'' Scholarship - Full tuition locked at first-year amount, 5 awards each year</t>
  </si>
  <si>
    <t>Pennsylvania State University--University Park</t>
  </si>
  <si>
    <t>Air Force ROTC scholarships cover your tuition and most lab fees. Also, you’ll receive an annual textbook allowance and up to a $500 spending cash monthly stipend. A variety of full and partial scholarships are available, and certain scholarships have specific requirements.</t>
  </si>
  <si>
    <t>In-state: $17,900
Out-of-state: $32,382</t>
  </si>
  <si>
    <t>SAT Math 560-670
SAT Critical Reading 530-630 
SAT Writing 540-640</t>
  </si>
  <si>
    <t>Many NROTC midshipmen apply for and receive four-year scholarships for full tuition to Penn State. Students may apply for scholarships beginning in March of their junior year of high school; is awarded tos must be completed by December of the senior year. A scholarship entitles a student to full tuition, a book stipend, computer and lab fees, and a monthly stipend.</t>
  </si>
  <si>
    <t>Robert Morris University</t>
  </si>
  <si>
    <t>Presidential Scholarship 
The top applications are invited to compete for four year, full tuition scholarships.</t>
  </si>
  <si>
    <t>SAT Math: 470-580
SAT Writing: 450-550 SAT Critical Reading: 470-570</t>
  </si>
  <si>
    <t>Rosemont College</t>
  </si>
  <si>
    <t>Catholic high school graduates; Overall Academic Performance; On-Campus Interview</t>
  </si>
  <si>
    <t>Cornelian Scholarship - a full tuition scholarship from Rosemont College awarded annually for two outstanding graduates of Catholic High Schools. Students must submit an additional application, and the finalists will be invited to an on-campus interview from which the recipients will be selected.</t>
  </si>
  <si>
    <t>SAT Math: 380-505
SAT Writing: 390-505 SAT Critical Reading: 400-520</t>
  </si>
  <si>
    <t>Saint Vincent College</t>
  </si>
  <si>
    <t>Full tuition to full ride</t>
  </si>
  <si>
    <t>Special Exam</t>
  </si>
  <si>
    <t>Wimmer Scholarship Competition 
The Wimmer Scholarship Competition is a general knowledge examination open to graduating high school seniors. Seniors must have applied for admission by the date of the exam and have a minimum cumulative GPA of 3.5 and minimum SAT of 1000 (Critical Reading and Math) or ACT Composite of 21 to be eligible for the competition.</t>
  </si>
  <si>
    <t>Can't find link but believe it is still offered</t>
  </si>
  <si>
    <t>SAT Math: 480-580
SAT Writing: 450-560 SAT Critical Reading: 470-580</t>
  </si>
  <si>
    <t>Seton Hill University</t>
  </si>
  <si>
    <t>Full-Tuition Scholarships (Seton Scholars)
These scholarships are awarded to incoming full-time freshmen who demonstrate outstanding scholarship and talent in one of the traditional undergraduate programs of study. Valued at more than $100,000 each, the scholarships are renewable for a total of eight semesters of study at Seton Hill as long as the student maintains a cumulative grade point average of 3.0. For additional information on specific criteria, please contact the Admissions Office. These scholarships cannot be combined with any other scholarship or grants from Seton Hill University. Students receiving these awards are known as Seton Scholars.</t>
  </si>
  <si>
    <t>SAT Math - 460-590 
SAT Critical Reading - 470-580 
SAT Writing - 450-570</t>
  </si>
  <si>
    <t>Division of Visual and Performing Arts Scholarships (Art)
Renewable awards that vary from $1000 to full-tuition annually. Available to entering freshmen; portfolio required for application.</t>
  </si>
  <si>
    <t>Division of Visual and Performing Arts Scholarships(Music)
Division of Visual and Performing Arts Scholarships are renewable awards that vary from $1000 to full-tuition annually. Students must first be accepted to the University before scheduling an audition or being given consideration for a division scholarship.</t>
  </si>
  <si>
    <t>Theatre Major; Audition</t>
  </si>
  <si>
    <t>Division of Visual and Performing Arts Scholarships (Theatre)
Division of Visual and Performing Arts Scholarships - renewable awards that vary from $1000 to full-tuition annually. Students must first be accepted to the University before scheduling an audition or being given consideration for a division scholarship.</t>
  </si>
  <si>
    <t>Shippensburg University</t>
  </si>
  <si>
    <t>Must be Valedictorian or Salutatorian of an accredited Pennsylvania high school</t>
  </si>
  <si>
    <t>In-state: $11,452
Out-of-state: $19,308</t>
  </si>
  <si>
    <t>SAT Math 440-550
SAT Critical Reading 440-530 
SAT Writing 410-520</t>
  </si>
  <si>
    <t>Slippery Rock University of Pennsylvania</t>
  </si>
  <si>
    <t>BOARD OF GOVERNOR'S SCHOLARSHIP 
Requirements: This scholarship program is designed to fulfill the needs and best interests 
of the University with regard to minority students, academically-talented students, those 
with demonstrated leadership qualities and those in the performing arts, math, science, 
technology and other fields identified by the Pennsylvania State System of Higher 
Education. These scholarships are designated for Pennsylvania residents. 
Amount: up to in-state tuition, renewable 
Scholarship Application Process: 
Must apply for admission to SRU (no other application necessary) 
Must file FAFSA</t>
  </si>
  <si>
    <t>In-state: $9,862
Out-of-state: $13,482</t>
  </si>
  <si>
    <t>SAT Math: 460-540
SAT Critical Reading: 450-540 SAT Writing: 420-520</t>
  </si>
  <si>
    <t>St. Joseph's University</t>
  </si>
  <si>
    <t>Graduates of Cristo Rey High Schools; Overall Academic Performance</t>
  </si>
  <si>
    <t>Cristo Rey Scholarship 
A limited number of full-tuition scholarships are awarded annually to high achieving students from a high school in the Cristo Rey Network. Students must demonstrate leadership, commitment to service, and academic excellence.</t>
  </si>
  <si>
    <t>SAT Math: 530-620
SAT Critical Reading: 520-610
SAT Writing: 510-620</t>
  </si>
  <si>
    <t>Specific Program Participants</t>
  </si>
  <si>
    <t>Ignatian College Connection Scholarship (ICC) 
Five, full-tuition scholarships are awarded annually to high achieving students who have been faithful participants of the ICC program during high school. Students must demonstrate commitment to the ICC program and Saint Joseph's University, as well as leadership and academic excellence. An Early Action application is preferred.  Students must file the Free Application for Federal Student Aid (FAFSA) to be considered. The scholarship application is due by February 1.</t>
  </si>
  <si>
    <t>Female; Natural Science Major; GPA/Test Scores</t>
  </si>
  <si>
    <t>John P. McNulty Scholars Program Scholarship* I, F 
A limited number of full-tuition scholarships and partial-tuition scholarships are awarded to women who declare a major in the natural sciences (Biology, Chemical Biology, Chemistry, Environmental Science, Physics, Mathematics, or Computer Science). Applicants should have a minimum of a 3.5 cumulative high school grade point average on a 4.0 scale and a 1300/1600 SAT or 29 ACT composite.</t>
  </si>
  <si>
    <t>Swarthmore</t>
  </si>
  <si>
    <t>Full Tuition or More</t>
  </si>
  <si>
    <t>Yes - one offered to international student</t>
  </si>
  <si>
    <t>Overall Academic Performance; Character; Leadership</t>
  </si>
  <si>
    <t>National and Regional McCabe Scholarships
These merit awards provide a minimum annual grant of tuition. The award may be increased up to the full cost of tuition, fees, room, and board, depending on financial need. The selection committee places emphasis on ability, character, personality, leadership, and service to school and community.</t>
  </si>
  <si>
    <t>30-34</t>
  </si>
  <si>
    <t>SAT Math 670-770
SAT Critical Reading 670-760
SAT Writing 680-760</t>
  </si>
  <si>
    <t xml:space="preserve">PA </t>
  </si>
  <si>
    <t>Temple University</t>
  </si>
  <si>
    <t>Academic Merit Scholarships - For students with a strong GPA and strong standardized test scores.</t>
  </si>
  <si>
    <t>http://sfs.temple.edu/financial-aid-types/scholarships/new-incoming-students</t>
  </si>
  <si>
    <t>In-state: $15,688
Out-of-state: $25,994</t>
  </si>
  <si>
    <t>SAT Math: 530-630
SAT Critical Reading: 520-620
SAT Writing: 500-620</t>
  </si>
  <si>
    <t>Army ROTC &amp; Air Force ROTC - Both have somewhat different qualifications</t>
  </si>
  <si>
    <t>SAT Math 530-630
SAT Critical Reading 520-620
SAT Writing 500-620</t>
  </si>
  <si>
    <t>University of Pittsburgh</t>
  </si>
  <si>
    <t>Underrepresented Students; Engineering, Arts &amp; Sciences, Business or Nursing Majors</t>
  </si>
  <si>
    <t>In addition to partial awards, admitted freshmen from underrepresented groups are reviewed for a small number of academically competitive full scholarships. These scholarships cover tuition, mandatory fees, and room/board. They also include a one-time $500 book award and a $2,000 scholarship to be used for undergraduate research or study abroad. The awards are for incoming freshmen from underrepresented groups admitted to the following schools:
Donald Henderson Scholarship: Swanson School of Engineering
Helen Faison Scholarship: Kenneth P. Dietrich School of Arts and Sciences
Robert Lavelle Scholarship: College of Business Administration
Adena Davis Scholarship: School of Nursing</t>
  </si>
  <si>
    <t>In-state: $18,618
Out-of-state: $29,758</t>
  </si>
  <si>
    <t>SAT Math 600-690
SAT Critical Reading 580-660
SAT Writing 570-670</t>
  </si>
  <si>
    <t>In partnership with the Stamps Family Charitable Foundation, the University of Pittsburgh is proud to offer the prestigious and generous Stamps Leadership Scholarship to five incoming freshmen from Pennsylvania. As a University of Pittsburgh Stamps Leadership Scholar, recipients will be provided with a comprehensive understanding of leadership from a domestic and global perspective.</t>
  </si>
  <si>
    <t>Leadership; Community Involvement; Innovative Thinking</t>
  </si>
  <si>
    <t>The Nordenberg Leadership Scholars Program is designed to reward the best and brightest student leaders from high schools in Pennsylvania who have demonstrated excellent leadership skills, innovative thinking, intellectual curiosity, and community involvement.  Each year, 10 graduating high school seniors from Pennsylvania will be selected to participate in the four-year program. Nordenberg Leadership Scholars will each receive a full-tuition scholarship for eight terms; one international experience; and paid internships in the summers after their freshman, sophomore, and junior years.</t>
  </si>
  <si>
    <t>https://oafa.pitt.edu/financialaid/academic-scholarships/nordenberg-scholars-program/</t>
  </si>
  <si>
    <t>The Chancellor’s Scholarship is one of the most prestigious awards given by the University of Pittsburgh to undergraduate students. Recent winners averaged a 34 ACT, 1530 EBRW+M SAT, an A average in challenging coursework including AP/IB and class rank in the top 5%.</t>
  </si>
  <si>
    <t>University of Scranton</t>
  </si>
  <si>
    <t>Presidential Scholarship 
These merit-based, full-tuition scholarships are awarded for exemplary academic achievement. Presidential scholars are typically in the top 2% of their class, have a minimum Math and Critical Reading SAT score of 1450, a GPA of 3.9 or higher (on a 4.0 scale), and have demonstrated leadership and community service.</t>
  </si>
  <si>
    <t>SAT Math: 520-620
SAT Critical Reading: 510-610 SAT Writing: not reported</t>
  </si>
  <si>
    <t>University of Valley Forge</t>
  </si>
  <si>
    <t>GPA/Test Scores; Leadership; Christian Character</t>
  </si>
  <si>
    <t>Trustee’s – Full Tuition per year 
• ACT Composite Score of 29 or above or SAT Total Score of 1300 or 
above in math and reading (excluding writing) 
• Cumulative GPA of 3.7 on a 4.0 scale 
• Christian character and leadership potential 
• Up to two (2) awarded per year based on eligibility</t>
  </si>
  <si>
    <t>18-26</t>
  </si>
  <si>
    <t>SAT Math - 380-510
SAT Critical Reading - 410-540 
SAT Writing - Not Reported</t>
  </si>
  <si>
    <t>Virtuoso Award - Three Full Tuition Scholarships will be awarded 
each year in the following disciplines: 
• Vocal 
• Keyboard 
• Instrumental</t>
  </si>
  <si>
    <t>Villanova University</t>
  </si>
  <si>
    <t xml:space="preserve">Underrepresented Students; Overall Academic Performance </t>
  </si>
  <si>
    <t>The Denise McNair Memorial Scholarship, valued at full tuition for eight consecutive semesters, will be awarded every four years to an entering freshman who is a U.S. citizen from a traditionally underrepresented population, has demonstrated outstanding academic achievement and is committed to family, religious faith, peace and justice.</t>
  </si>
  <si>
    <t>SAT Math: 610-710
SAT Critical Reading: 590-690
SAT Writing: 590-690</t>
  </si>
  <si>
    <t>African-American Student; Overall Academic Performance</t>
  </si>
  <si>
    <t>The Anthony Randazzo Endowed Presidential Scholarship is a renewable, merit-based award covering full tuition, room, board (up to 19 meals-per-week plan), general fee, and the cost of textbooks for eight consecutive semesters that is awarded to one first year African-American student.</t>
  </si>
  <si>
    <t>The Presidential Scholarship is a renewable, merit-based award covering full tuition, room, board (up to 19 meals-per week plan), general fee, and the cost of textbooks for eight consecutive semesters.</t>
  </si>
  <si>
    <t>Villanova University provides grants to NROTC scholarship recipients who are designated by the United States Navy. Traditionally underrepresented students who have been awarded a three-year NROTC award will receive a full tuition scholarship from the University for their freshman year. Villanova also awards up to four partial scholarship annually to NROTC Scholarship recipients. These partial scholarships may be applied toward room or board expenses incurred at Villanova.</t>
  </si>
  <si>
    <t>Greater Philadelphia Area</t>
  </si>
  <si>
    <t>Students from Underrepresented Backgrounds; Residency Requirement</t>
  </si>
  <si>
    <t>Villanova University provides St. Martin de Porres Grants to serve the University’s goal of attracting a richly diverse population of undergraduate students – an essential component of our effort to offer the highest quality education to all Villanova Students. St. Martin de Porres Grants are valued at full tuition and general fees.</t>
  </si>
  <si>
    <t>Waynesburg University</t>
  </si>
  <si>
    <t>Ohio Residents</t>
  </si>
  <si>
    <t>Science area majors; GPA; Extra-Curriculars</t>
  </si>
  <si>
    <t>The Jeffrey and Regina Taussig Ohio Honors Scholarship is a full tuition, room and board scholarship for four years at Waynesburg University and is worth more than $125,000. To be eligible for the award you must meet these requirements: 
Cumulative high school GPA of at least 3.0 
Ohio resident 
Considerable co-curricular activities 
Major in one of the following areas at Waynesburg University: Biochemistry, Biology, Biology Education, Chemistry, Chemistry Education, Computer Science, Engineering (3/2): Chemistry or Math, Forensic Chemistry, Forensic Science, Mathematics, Math Education, Pre-Dental, Pre-Medical, Pre-Veterinary</t>
  </si>
  <si>
    <t>SAT Math: 450-550
SAT Critical Reading: 450-550 SAT Writing: Not reported</t>
  </si>
  <si>
    <t>Pre-Health Program Majors</t>
  </si>
  <si>
    <t>LEMMON FAMILY SCHOLARSHIP
Worth approximately $130,000 the Lemmon Family Scholarship is a four year full-tuition scholarship for students enrolling in the pre-health program, renewable with the maintenance of a 3.4 cumulative GPA and satisfactory academic progress.</t>
  </si>
  <si>
    <t>SAT Math: 470-480
SAT Critical Reading: 470-590 SAT Writing: 440-560</t>
  </si>
  <si>
    <t>GPA/Test Scores; writing competition</t>
  </si>
  <si>
    <t>PRESIDENTIAL AWARD
Full Tuition 
To be eligible, a student must present a minimum GPA of 3.7, have a minimum 1270 SAT (EBRW+M) or a 27 ACT composite, and compete in the scholarship writing competition.</t>
  </si>
  <si>
    <t>Widener University</t>
  </si>
  <si>
    <t>ROTC Cadets are eligible to apply for generous scholarships that can cover the full cost of tuition as well as room and board.</t>
  </si>
  <si>
    <t>SAT Math: 470-570
SAT Critical Reading: 450-550
SAT Writing: Not reported</t>
  </si>
  <si>
    <t>Widener awards a limited number of full-tuition scholarships each year based on the strength of the applicant pool.</t>
  </si>
  <si>
    <t>http://www.widener.edu/admissions/undergraduate/scholarships_aid/scholarships.aspx#full</t>
  </si>
  <si>
    <t>Wilson College</t>
  </si>
  <si>
    <t>Preference for citizens of Armenia</t>
  </si>
  <si>
    <t>Armenian students</t>
  </si>
  <si>
    <t>Hagop Bogigian Scholarship - Established from the estate of Hagop Bogigian, this full tuition scholarship is awarded to students of Armenian descent with a preference for citizens of Armenia. These awards are renewable for up to 4 years while attending Wilson College.</t>
  </si>
  <si>
    <t>SAT Math- 420-550 
SAT Critical Reading - 440-570 
SAT Writing - 430-560</t>
  </si>
  <si>
    <t>York College of Pennsylvania</t>
  </si>
  <si>
    <t xml:space="preserve">American Constitutional Freedom Scholarship
Full-Tuition Scholarship
Up to seven competitive scholarship awards for eight full-time semesters, excluding summers, toward one undergraduate degree
• Currently enrolled as a high school senior
• Applicants with a minimum SAT score of 1250 (Critical Reading and Math) or a minimum composite ACT score of 28 
• Minimum 3.0 cumulative high school GPA 
</t>
  </si>
  <si>
    <t>SAT Math: 490-580
SAT Critical Reading: 470-570 SAT Writing: 450-550</t>
  </si>
  <si>
    <t>RI</t>
  </si>
  <si>
    <t>Providence College</t>
  </si>
  <si>
    <t>45% to 80% of tuition</t>
  </si>
  <si>
    <t>Honors Program Admission</t>
  </si>
  <si>
    <t>Up to 130</t>
  </si>
  <si>
    <t>Liberal Arts Honors Program
Merit scholarships are awarded to those students who are invited into Providence College's highly selective Liberal Arts Honors Program upon admission into the College. Out of a typical freshman class of 1,000 students, there are approximately 130 spaces available in the program. These scholarships are renewable for up to four years as long as students remain active members of the Liberal Arts Honors Program and maintain the required GPA.
Liberal Arts Honors Program Scholarships generally range from between 45% to 80% of tuition with several different levels offered.</t>
  </si>
  <si>
    <t>http://www.providence.edu/honors</t>
  </si>
  <si>
    <t>SAT Math: 530-630 SAT Critical Reading: 520-620
SAT Writing: 520-630</t>
  </si>
  <si>
    <t>Aspire to medical career; Overall Academic Performance</t>
  </si>
  <si>
    <t>Roddy Scholarship 
Applicants considered for this scholarship, which covers up to tuition, fees, room and board costs, must aspire to a career in the medical profession. Consideration is based on outstanding academic achievement in high school.</t>
  </si>
  <si>
    <t>Roger Williams University</t>
  </si>
  <si>
    <t>Bristol, RI Residents</t>
  </si>
  <si>
    <t>Overall Academic Performance; Community Service</t>
  </si>
  <si>
    <t>Harold Payson Memorial Scholarship: A four-year, full-tuition scholarship awarded annually on the basis of academic promise and community service to a Bristol resident who is graduating from high school and will attend Roger Williams University. This scholarship is awarded in honor of Harold Payson, a native Bristolian, who served the University as a faculty member, ombudsman, and academic dean from 1968 until 1974.</t>
  </si>
  <si>
    <t>https://www.rwu.edu/undergraduate/admission-aid/financial-aid/types-aid/endowed-awards</t>
  </si>
  <si>
    <t>SAT Math: 520-610 
SAT Critical Reading: 510-590 SAT Writing: 500-590</t>
  </si>
  <si>
    <t>Full Tuition to $40,000</t>
  </si>
  <si>
    <t>Rhode Island Community Ambassador Program &amp; Scholarship (RICAPS): 
The Rhode Island Community Ambassador Program at Roger Williams University celebrates and recognizes five students annually who have demonstrated academic achievement and leadership throughout their high school career.</t>
  </si>
  <si>
    <t>SC</t>
  </si>
  <si>
    <t>Claflin University</t>
  </si>
  <si>
    <t>$2,000 to Full Ride</t>
  </si>
  <si>
    <t>GPA/Test Scores; Overall Academic Performance; Leadership; Service; Character</t>
  </si>
  <si>
    <t>Claflin Honors College Scholarships
The Alice Carson Tisdale Honors College offers a number of four-year scholarships ranging in value from $2,000 to the full cost of tuition, room and board. These competitive scholarships are awarded annually to select incoming freshmen on the basis of academic achievement, leadership potential, involvement in extracurricular activities, community service and character. To be considered for one of these scholarships, a potential student must score at least 1000 on the SAT or attain an equivalent score of 21/22 or higher on the ACT. The candidate must indicate on the application form a desire to be considered for admission into the Honors College and for one of these scholarships. An interview may be requested by the Selection Committee.</t>
  </si>
  <si>
    <t>http://www.claflin.edu/admissions-aid/financial-aid/scholarships-and-grants</t>
  </si>
  <si>
    <t>SAT Math: 350-480
SAT Critical Reading: 360-480 SAT Writing: Not Reported</t>
  </si>
  <si>
    <t>Claflin Presidential Scholars Program
This four-year scholarship is valued at the full cost of tuition, room, board, textbooks and a monthly stipend. Outstanding high school seniors who are committed to academic excellence and who plan to pursue graduate or professional studies after graduating from Claflin are invited to compete for this scholarship. A limited number of freshmen may receive Presidential Scholarships each year. Awards will be made on the basis of academic achievement, leadership potential, involvement in extracurricular activities, community service and character. To be considered for this prestigious scholarship, an applicant must score at least 1200 on the SAT or achieve an equivalent score of 27 or higher on the ACT. The candidate must indicate on the application form a desire to be considered for admission into the Honors College and this scholarship, as well as submit supporting materials. An interview may be requested by the President and the Selection Committee.</t>
  </si>
  <si>
    <t>Clemson University</t>
  </si>
  <si>
    <t>Overall Academic Performance;Leadership; On-Campus Interview</t>
  </si>
  <si>
    <t>The National Scholars Program offers Clemson's top academic recruiting scholarship (covering tuition, fees, room and board, and other expenses) as well as extensive educational enrichment opportunities (study abroad, specialized coursework, dedicated mentoring). Selection is based on a review of top candidates for the Calhoun Honors College and a rigorous, in-person interview process</t>
  </si>
  <si>
    <t>In-state: $14,318
Out-of-state: $33,300</t>
  </si>
  <si>
    <t>SAT Math: 590-690
SAT Critical Reading: 560-660
SAT Writing: Not reported</t>
  </si>
  <si>
    <t>College of Charleston</t>
  </si>
  <si>
    <t>The Harry and Reba Huge Scholarship is a merit award for select students accepted into the William Aiken Fellows Society. With support from the Harry and Reba Huge Foundation, combined with merit-based, state and College of Charleston scholarship support, Huge Scholars will receive a scholarship that covers tuition, room &amp; board for the Honors College, plus enrichment opportunities to include summer or semester study abroad and one-on-one mentoring with faculty. Huge Scholars will also have increased opportunities for intellectual engagement through public service, undergraduate research and international internships or apprenticeships. Special consideration will be given to students who are interested in the study of music and the arts and/or intend to participate in music-related activities at the College.</t>
  </si>
  <si>
    <t>In-state: $11,706
Out-of-state: $29,864</t>
  </si>
  <si>
    <t>SAT Math: 510-600
SAT Critical Reading: 520-610
SAT Writing: Not reported</t>
  </si>
  <si>
    <t>The John H. Newell Scholars program is a merit scholarship for select South Carolina students accepted into the William Aiken Fellows Society. In tribute to Honors College former dean John Newell, Newell Scholars will receive scholarship support from the Honors College. The actual amount of the scholarship will vary depending on the student's academic record, performance during the interview process, and cost of tuition and fees. In most cases, the College of Charleston merit scholarships combined with the Palmetto Fellows scholarship will cover the cost of tuition and Honors housing for in-state students. Newell Scholars will also have increased opportunities for intellectual engagement through public service, undergraduate research and international internships or apprenticeships. Special consideration will be given to students interested in the study of a humanities discipline.</t>
  </si>
  <si>
    <t>McNair Scholarship - The most prestigious scholarship at Columbia College, the McNair Scholarship provides special programming and full tuition for each of a student’s four years at the College. Students are selected based on academic ability, volunteer history and demonstrated qualities of leadership, responsibility and service to others.</t>
  </si>
  <si>
    <t>SAT Math - 410-520; SAT Critical Reading - 430-550; SAT Writing - 410-530</t>
  </si>
  <si>
    <t>Columbia International University</t>
  </si>
  <si>
    <t xml:space="preserve">R.C. McQuilkin Leadership Scholarship - Top student selected during the McQuilkin Scholarship Weekend </t>
  </si>
  <si>
    <t>SAT Math: 450-550
SAT Critical Reading: 480-580
SAT Writing: 460-570</t>
  </si>
  <si>
    <t>Erskine College</t>
  </si>
  <si>
    <t>Full Tuition to Full Ride</t>
  </si>
  <si>
    <t>On-Campus Competition; Overall Academic Performance</t>
  </si>
  <si>
    <t>The Presidential Scholarship is the most prestigious undergraduate scholarship offered at Erskine College. The Presidential Scholarship covers tuition, room, board and fees for the winners (minus any state, federal, and outside scholarships or grants). The Scholarship is renewable for a total of four years of study and is valued at approximately $165,000. Students who apply for the Presidential Scholarship are also considered for the Solomon Award, which covers tuition and fees for a four-year period.</t>
  </si>
  <si>
    <t xml:space="preserve">SAT Math: 450-560 SAT Critical Reading: 430-550
SAT Writing: 420-530 </t>
  </si>
  <si>
    <t>Francis Marion University</t>
  </si>
  <si>
    <t>Robert E. McNair Scholarship 
Award = full tuition, room and board plus book allowance 
To be considered for the McNair Scholarship, submit the online scholarship application, mail two letters of recommendation, and email two original essays. The award is renewable for 4 years with the student completing 30 semester hours a year and maintaining at least a 3.0 GPA.</t>
  </si>
  <si>
    <t>In-state: $10,428
Out-of-state: $20,308</t>
  </si>
  <si>
    <t>SAT Math - 410-510; SAT Critical Reading - 410-520; SAT Writing - Not Reported</t>
  </si>
  <si>
    <t>Furman University</t>
  </si>
  <si>
    <t>GPA/Test Scores; Overall Academic Performance; Academic Rigor; Leadership; Extra-Curriculars</t>
  </si>
  <si>
    <t>JAMES B. DUKE SCHOLARSHIPS
Full tuition
Awarded to up to ten incoming students each year who have displayed exceptional academic achievement and distinctive personal accomplishment.
Academic record: In past years, finalists have taken the most challenging curriculum available to them, including honors and AP classes, IB or other advanced curriculum choices. A’s dominate the transcripts of finalists. Standardized test scores of finalists are typically above 34 on the ACT or above 1500 on the SAT I.
Extracurricular involvement: Finalists typically are involved in many activities outside the classroom. They hold significant leadership positions in their school or community and display exceptional creativity, commitment and enthusiasm in all they do. Often, they have been involved in activities on the county, state or national level.
Personal achievement: In all they do, finalists seek challenges and make the most of opportunities presented to them</t>
  </si>
  <si>
    <t>SAT Math: 550-660
SAT Critical Reading: 550-660
SAT Writing: 550-660</t>
  </si>
  <si>
    <t xml:space="preserve">ROTC SCHOLARSHIPS
Up to full tuition and fees
Monthly stipend during the academic year
Available to selected students for up to four years. ROTC scholarships may not be combined with other Furman scholarships. </t>
  </si>
  <si>
    <t>Limestone College</t>
  </si>
  <si>
    <t>Presidential Scholarship - Tuition + Room &amp; Board 
Requirements: GPA 3.5+ and 1300+ SAT Score</t>
  </si>
  <si>
    <t>SAT Math - 410-510 
SAT Critical Reading - 400-500 
SAT Writing - Not reported</t>
  </si>
  <si>
    <t>A Presidential Palmetto Fellows Scholarship is offered to 3 individuals that have been awarded the SC Palmetto Fellows Scholarship. This scholarship covers full tuition, room, and board less any federal and state grants up to four years, provided satisfactory academic progress continues with the student maintaining Palmetto Fellows renewal requirements.</t>
  </si>
  <si>
    <t>North Greenville University</t>
  </si>
  <si>
    <t>Crusader Fellows Scholarship - Qualify for Palmetto Fellows</t>
  </si>
  <si>
    <t>22-30</t>
  </si>
  <si>
    <t>SAT Math - 470-670 
SAT Critical Reading - 440-630 
SAT Writing - 450-660</t>
  </si>
  <si>
    <t>South Carolina State University</t>
  </si>
  <si>
    <t>General University Scholarship is a tuition only scholarship is awarded to incoming freshman for two semesters and is renewable for 6 semesters. This is a full tuition only scholarship.</t>
  </si>
  <si>
    <t>In-state: $10,420
Out-of-state: $20,500</t>
  </si>
  <si>
    <t>14-17</t>
  </si>
  <si>
    <t>SAT Math 340-420 SAT Critical Reading 340-420 SAT Writing not reported</t>
  </si>
  <si>
    <t>The Presidential Scholars are students at the University, who by virtue of meeting prescribed criteria are the recipients of a full scholarship (tuition, room &amp; board) during eight semesters. These scholarships represent the concern of the President, (1) to identify students who demonstrate academic excellence, (2) to articulate a concern for a methodology to encourage those who demonstrate excellence, (3) to provide symbolic recognition via academic scholarships to recipients and (4) to establish a technique whereby the University may identify a cadre of intellectual scholars. The Presidential scholarship is awarded to incoming freshmen for two semesters and is renewable for 6 semesters if the student meets the renewal eligibility criteria.</t>
  </si>
  <si>
    <t>The Citadel</t>
  </si>
  <si>
    <t xml:space="preserve">The Citadel's scholarship program is designed to attract outstanding high school graduates to the college, reward undergraduate academic excellence, and help those worthy students who desire financial assistance to pay for their college education. Annually, The Citadel awards more than 3 million dollars in academic scholarships to entering freshmen and enrolled upperclassmen. </t>
  </si>
  <si>
    <t>http://www.citadel.edu/root/finaid-scholarships/cadet</t>
  </si>
  <si>
    <t>In-state: $13,494
Out-of-state: $34,572</t>
  </si>
  <si>
    <t>SAT Math 490-600; SAT Critical Reading 490-580; SAT Writing Not Reported</t>
  </si>
  <si>
    <t>University of South Carolina</t>
  </si>
  <si>
    <t xml:space="preserve">The Stamps Carolina Scholars is one of the University of South Carolina’s most prestigious awards bestowed on South Carolina residents. If you have a strong academic record and are a leader in your high school and community, we encourage you to apply for the Top Scholars competition for this award.  </t>
  </si>
  <si>
    <t>In-state: $11,854
Out-of-state: $31,282</t>
  </si>
  <si>
    <t>SAT Math 560-660
SAT Critical Reading 550-640
SAT Writing not reported</t>
  </si>
  <si>
    <t>Out of state</t>
  </si>
  <si>
    <t>The McNair Scholar Award is one of the most prestigious awards at the university. Forty out-of-state students with strong academic records who are leaders in their high schools and communities will be invited to participate in an interview weekend. Of these 40 candidates, half will be named McNair Scholars, and the other half will be named Horseshoe Scholars. Candidates must participate in the entire Top Scholars competition weekend.</t>
  </si>
  <si>
    <t>Winthrop University</t>
  </si>
  <si>
    <t>National Achievement/National Hispanic/National Merit Scholarship: A limited number of scholarships are available for finalists and semi-finalists who designate Winthrop University as their first-choice institution. When combined with the National Achievement/National Hispanic/National Merit Scholarship and other scholarships, this scholarship will cover the cost of tuition, a double-occupancy residence hall room, and the standard meal plan each year, or your actual charges, whichever is less.</t>
  </si>
  <si>
    <t>In-state: $14,810
Out-of-state: $28,390</t>
  </si>
  <si>
    <t>SAT Math: 450-560
SAT Critical Reading: 460-570
SAT Writing: Not reported</t>
  </si>
  <si>
    <t>Wofford College</t>
  </si>
  <si>
    <t>Test Scores; Class Rank; Leadership; Service</t>
  </si>
  <si>
    <t>Wofford Scholars - Wofford Scholars is the largest merit-based scholarship program at Wofford College. Each February, high school counselors are invited to submit nominations for the Wofford Scholars Program.  To qualify as a Wofford Scholar nominee, a student should be  ranked in the top 10 percent of the class and have achieved a combined score of 1300 (Critical Reading and Math) on the PSAT or SAT or a 28 on the ACT or PLAN.</t>
  </si>
  <si>
    <t>SAT Math: 530-630
SAT Critical Reading: 520-630
SAT Writing: 520-620</t>
  </si>
  <si>
    <t>ROTC Scholarships for two, three or four years, are competitive, merit-based scholarships managed by the United States Army Cadet Command. These grants are valued at full tuition and fees each year, pay $1,200 yearly for the cost of books and a tax-free monthly subsistence allowance. Wofford College additionally contributes the remainder of the cost of on-campus room and board for three- and four-year Army ROTC scholarship awardees after other grant aid has been applied. Students offered an Army ROTC Scholarship will qualify for the Wofford College ROTC Scholarship valued at the current cost of room and board less any other grants and/or scholarships the student is eligible to receive. This will encompass both three- and four-year scholarships. The Wofford College ROTC Scholarship funds will be awarded freshman year for the three-year scholars to assists with cost until the actual receipt of the Army ROTC Scholarship in the sophomore year. NOTE: Students are expected to file the Free Application for Federal Student Aid (FAFSA) each academic year. Prospective ROTC or current students interested should contact the ROTC Enrollment and Scholarship Officer, Wofford College at 864-597-4338.</t>
  </si>
  <si>
    <t>SD</t>
  </si>
  <si>
    <t>Augustana University</t>
  </si>
  <si>
    <t>GPA/Test Scores; Agree to work in a high-need field in SD after graduation</t>
  </si>
  <si>
    <t>Dakota Corps Scholarship
-Available to: Priority given to Dakota Corps recipients with an ACT composite of 29 or higher and a GPA of 3.5 or higher, who agree to work in a high-need field in SD upon graduation.
-Amount available: Full Tuition, two awarded</t>
  </si>
  <si>
    <t>SAT Math: Not Reported SAT Critical Reading: Not Reported SAT Writing: Not Reported</t>
  </si>
  <si>
    <t>Distinguished Scholars 
Available to: Awarded to superior students through participation in the Distinguished Scholars Celebration. Must possess a 27 ACT, 3.5 GPA 
Amount available: Amounts range from $6000 to full tuition, awarded over 4 years</t>
  </si>
  <si>
    <t>Northern State University</t>
  </si>
  <si>
    <t>Dakota Corps Scholarship 
The Dakota Corps scholarships are four-year, full-tuition-and-fee scholarships for South Dakota high school seniors who plan to major in and then become employed in one of the following critical-need occupations: special education, math education, science education, career and technical education, accountant/auditor, nursing, engineering (except mining), and information technology. 
Students must have a composite ACT score of 27or greater and have graduated from an accredited South Dakota high school with a GPA of 2.8 or greater on a 4.0 scale. In addition, recipients must agree to stay in South Dakota and work in their critical need occupation for as many years as the scholarship was received plus one year.</t>
  </si>
  <si>
    <t>In-state: $7,887
Out-of-state: $10,803</t>
  </si>
  <si>
    <t>SAT Math: 370-580
SAT Critical Reading: 420-540 SAT Writing: Not Reported</t>
  </si>
  <si>
    <t>University of Sioux Falls</t>
  </si>
  <si>
    <t>Dakota Corps Scholarship
Description:
Offered to full-time undergraduate students who are seeking a high-need major as recognized by South Dakota. Recipients must be selected by the state Dakota Corps committee as a scholarship recipient.
Application Process:
A limited number of students graduating from a South Dakota high school with a minimum of 26 ACT and a 2.8 GPA will be awarded a Dakota Corps Scholarship based on the number of students who qualify through the state. Students must major in a high-need field and agree to work in South Dakota following graduation.</t>
  </si>
  <si>
    <t>SAT Math - 450-550 
SAT Critical Reading - 460-510 
SAT Writing - Not reported</t>
  </si>
  <si>
    <t>University of South Dakota</t>
  </si>
  <si>
    <t>Fine Arts or Business Majors; Overall Academic Performance</t>
  </si>
  <si>
    <t>Awarded to exceptional students enrolling in either the USD College of Fine Arts or the Beacom School of Business, the Buhler Scholarship provides funding equal to the cost of in-state tuition and fees for up to 15 credit hours per semester.</t>
  </si>
  <si>
    <t>In-state: $8,457
Out-of-state: $11,688</t>
  </si>
  <si>
    <t>SAT Math 470-610
SAT Critical Reading 400-440 
SAT Writing 410-510</t>
  </si>
  <si>
    <t>Military Science courses at USD are tuition free and ROTC gives you access to one of the largest financial assistance programs in the nation. You can begin the is awarded to process for national four-year ROTC scholarships during your junior year of high school. We also offer qualified students two- and three-year on-campus full tuition scholarships, money for books, and a non-taxed monthly stipend. Non-taxed monthly stipends are also available for non-scholarship ROTC students. And if you're a resident of South Dakota enrolled in ROTC, you're eligible for the USD Reduced Tuition Incentive, a 50% tuition reduction during your junior and senior years (undergraduate degree only).</t>
  </si>
  <si>
    <t>Political Science Major or Minor; financial need</t>
  </si>
  <si>
    <t>The Dorothy C. Schieffer Scholarship is awarded to full-time students who major or minor in political science. Preference is given to non-traditional students with clear financial need. Valued at up to the cost of full tuition, fees, books, room and board for up to four years of full-time study . At least one international travel or study abroad experience and a working internship or service opportunity may be included after consultation with faculty advisor and non-faculty mentor. Recipients must maintain a minimum 3.7 grade point average each semester and must maintain a workload allowing for prompt graduation.</t>
  </si>
  <si>
    <t>TN</t>
  </si>
  <si>
    <t>Jerome C. Byrne Full-Tuition and Room Scholarship: 
Each year the top performer in our annual Spectrum Scholarship Competition for incoming freshmen will receive this full-tuition award and room scholarship. This award may be renewed for four years provided the student maintains a 3.7 grade point average at Aquinas</t>
  </si>
  <si>
    <t>SAT Math: 470-650
SAT Critical Reading: 520-700
SAT Writing: Not reported</t>
  </si>
  <si>
    <t>John E. Veneklasen Full-Tuition Scholarship: 
Each year one outstanding incoming freshman will receive this full-tuition scholarship. This award may be renewed for four years provided the student maintains a minimum 3.5 grade point average each year at Aquinas.</t>
  </si>
  <si>
    <t>R. Paul Nelson Full-Tuition Scholarships (3): 
Each year three excellent incoming freshmen will be designated R. Paul Nelson Full-Tuition Scholars. These students will have had superior high school grades and test scores and are chosen after the Spectrum Scholarship Competition held in the spring of each year.</t>
  </si>
  <si>
    <t>Belmont University</t>
  </si>
  <si>
    <t>Nashville, TN</t>
  </si>
  <si>
    <t>Residency Requirement; Overall Academic Performance; Leadership</t>
  </si>
  <si>
    <t>Ingram Diversity Leadership Scholarship 
Four full-tuition scholarships for incoming freshmen with diverse backgrounds from the Nashville area who present outstanding academic and leadership records. Traditionally, eight finalists are invited to personally interview for this award.</t>
  </si>
  <si>
    <t>SAT Math - 510-620;
SAT Critical Reading - 530-630%;
SAT Writing - Not reported</t>
  </si>
  <si>
    <t>Presidential Scholarship 
Belmont's most competitive scholarship, awarded to five incoming freshmen, covering full tuition, room, board, books, and fees. Traditionally, twelve finalists are invited to personally interview for this award. Please note: candidates for the Presidential must have a minimum composite score of 30 on the ACT or 1390 (Critical Reading + Math only) on the SAT.</t>
  </si>
  <si>
    <t>Female; Religion Major</t>
  </si>
  <si>
    <t>Servant Leader Scholarship
One full-tuition scholarship for a female Christian freshman majoring in religion who plans to enter a church-related career.</t>
  </si>
  <si>
    <t>Male; Religion Major</t>
  </si>
  <si>
    <t>Thomas J. Madden Ministerial Scholarship 
One full-tuition scholarship for a male Christian freshman majoring in religion who plans to enter full-time ministry.</t>
  </si>
  <si>
    <t>Diverse background; overall academic performance</t>
  </si>
  <si>
    <t>William Randolph Hearst Endowed Scholarship 
One scholarship covering full tuition, room, board, books, and fees for a freshman student from a diverse background. Traditionally, five finalists are invited to personally interview for this award.</t>
  </si>
  <si>
    <t>Bryan College</t>
  </si>
  <si>
    <t>Incoming freshmen who are National Merit Finalists or Semi-Finalists</t>
  </si>
  <si>
    <t>SAT Math - 430-512 
SAT Critical Reading - 430-562 
SAT Writing - 417-565</t>
  </si>
  <si>
    <t>3.56(based on weighted GPAs)</t>
  </si>
  <si>
    <t>Carson-​Newman University</t>
  </si>
  <si>
    <t>GPA/Test Scores; On Campus Competion</t>
  </si>
  <si>
    <t>Honors Scholars Program- Eligible students may compete for additional Honors Merit Scholarships for participation in our Honors Program. Eligible students will be sent an invitation to attend. Award amounts will vary with top selected students receiving up to a maximum of full tuition per year with our Honors Premier Scholarship (scholarship will take into consideration all other grants and scholarship eligibility first).</t>
  </si>
  <si>
    <t>http://www.cn.edu/undergraduate/programs/honors-program</t>
  </si>
  <si>
    <t>SAT Math - 440-550 
SAT Critical Reading - 440-550 
SAT Writing - Not reported</t>
  </si>
  <si>
    <t>Music Department Audition and Tarr Full-Tuition Scholarship- The School of Music hosts a Department audition as an entrance requirement for prospective music majors. Additionally they host a Tarr Full-Tuition Scholarship Competition in various areas such as band instrument, voice, piano, organ, and strings (scholarship will take into consideration all other grants and scholarship eligibility first).</t>
  </si>
  <si>
    <t>http://www.cn.edu/administration/financial-aid/undergraduate-students/types-of-aid/other-university-scholarships-gift-aid</t>
  </si>
  <si>
    <t>Christian Brothers University</t>
  </si>
  <si>
    <t xml:space="preserve">GPA/Test Scores; Leadership; Service  </t>
  </si>
  <si>
    <t>The Leadership Scholarship Program is a leadership based scholarship awarded to two students each year for outstanding leadership and service in his or her community. Recipients of this scholarship will receive support from Student Life in developing a New Student Organization that can have a lasting impact on the university.</t>
  </si>
  <si>
    <t>The Trustee Scholarship is the most prestigious academic scholarship available at CBU. This merit-based scholarship benefits outstanding students for academic performance.</t>
  </si>
  <si>
    <t>Fisk University</t>
  </si>
  <si>
    <t>Ella Sheperd Moore Provost Scholarship
Covers: Full tuition
To Renew: Recipient must earn a minimum of 12-18 credit hours per semester, maintain a 3.2 cumulative GPA and perform 50 volunteer hours per semester or 100 per academic year. Preapproval of volunteer service is required.</t>
  </si>
  <si>
    <t>SAT Math: 400-540
SAT Writing: 400-540 
SAT Critical Reading: 390-550</t>
  </si>
  <si>
    <t>Erastus Milo Cravath Presidential Scholarship
Covers: Full tuition, fees, room &amp; board, and books (up to $1,000)
To Renew: Recipient must earn a minimum of 12-18 credit hours per semester, maintain a 3.5 cumulative GPA and perform 50 volunteer hours per semester or 100 per academic year. Preapproval of volunteer service is required.</t>
  </si>
  <si>
    <t>Lee University</t>
  </si>
  <si>
    <t>Centennial Scholarship is awarded to any student who has graduated from an approved high school and who scores 32-36 on the ACT or 1410-1600 (Math and Critical Reasoning only) composite score on the SAT. Those students who qualify must carry at least 12 credit hours per semester and maintain a 3.0 cumulative GPA or higher in order to continue receiving the award.</t>
  </si>
  <si>
    <t>SAT Math - 440-570; SAT Critical Reading - 460-610; SAT Writing - Not reported</t>
  </si>
  <si>
    <t>Lincoln Memorial University</t>
  </si>
  <si>
    <t>Academic Excellence Awards - Scholarship eligibility based on ACT, SAT and High School GPA.  A limited number of full tuition scholarships are available.  The average ACT score for the highest category of awards, including full tuition, is 29.5 with an average GPA of 3.92.</t>
  </si>
  <si>
    <t>19-27</t>
  </si>
  <si>
    <t>SAT Math - 500-540%; SAT Critical Reading - 480-500; SAT Writing - Not reported</t>
  </si>
  <si>
    <t>Lipscomb University</t>
  </si>
  <si>
    <t>Trustee Scholarship - tuition scholarship is awarded to ten test-score eligible freshmen who are selected through an application and interview process. To be eligible to apply for this scholarship, you must have scored a 30 or higher on the ACT or 1390 or better on the SAT. If you receive this scholarship, you’ll need to live on campus and maintain a GPA of 3.25 or above. This scholarship is not stackable with any other institutional aid (except the Vision Award).</t>
  </si>
  <si>
    <t>SAT Math- 505-630; SAT Critical Reading - 510-640; SAT Writing -Not reported</t>
  </si>
  <si>
    <t>Maryville College</t>
  </si>
  <si>
    <t>International Diversity Scholarship
Awarded to entering international students who have a demonstrated record of academic achievement, demonstrated international leadership in the past, have a clear plan for contributing to the international community on campus and can show financial need. Application and phone/skype interview required
Full-Tuition Scholarship. Renewable for eight fall/spring semesters of full-time study with a 3.0 GPA and leadership participation. Must live on-campus.</t>
  </si>
  <si>
    <t>SAT Math: 440-540
SAT Critical Reading: 440-560 SAT Writing: Not Reported </t>
  </si>
  <si>
    <t>Music Scholarship
Open to music majors on the basis of individual talent. Recipients are required to participate in related music ensemble. Will replace the student's MC Academic scholarship. An audition is required.</t>
  </si>
  <si>
    <t>Middle Tennessee State University</t>
  </si>
  <si>
    <t>Up to 20</t>
  </si>
  <si>
    <t>Buchanan Fellowship
This is the highest award given to an entering freshman in the University Honors College. A minimum ACT score of 29 (or SAT of 1280)* and a minimum 3.5 GPA is required for consideration. Buchanan Fellows will receive (1) an amount equal to 16 hours of in- or out-of-state tuition and fees, (2) a $1,000 book allowance, and (3) consideration for study abroad scholarships. Up to 20 fellowships may be awarded per year. For more information and an application, please visit mtsu.edu/honors/scholarships.php</t>
  </si>
  <si>
    <t>http://www.mtsu.edu/financial-aid/scholarships/forms/ScholarshipGuide.pdf</t>
  </si>
  <si>
    <t>In-state: $8,610
Out-of-state: $26,610</t>
  </si>
  <si>
    <t>SAT Math 450-610 
SAT Critical Reading 480-630
SAT Writing Not reported</t>
  </si>
  <si>
    <t>Milligan College</t>
  </si>
  <si>
    <t>Jeanes Honors Scholarships 
Milligan’s most prestigious merit-based scholarship 
Two full-tuition scholarships available annually. 
Minimum 29 ACT/1300 SAT and 3.5 GPA.</t>
  </si>
  <si>
    <t>SAT Math - 503-600 
SAT Critical Reading - 473-590 
SAT Writing - 463-588</t>
  </si>
  <si>
    <t>Rhodes College</t>
  </si>
  <si>
    <t>As a Bellingrath Scholar, you represent the very best at Rhodes.
Each year, one high school senior with exceptional academic achievements and distinctive personal accomplishments is awarded a Bellingrath Scholarship. This most prestigious of our awards covers the full cost of tuition for four years at Rhodes.
What are my responsibilities as a Bellingrath Scholar?
Your distinction earns you the right and responsibility of representing Rhodes to outside guests. Bellingrath Scholars assist the Office of Admission by participating in on-campus programs, conducting campus tours for prospective students and their families, hosting prospective students during overnight visits, and helping select future Bellingrath Scholars.</t>
  </si>
  <si>
    <t>SAT Math: 580-680
SAT Critical Reading: 600-700
SAT Writing: Not reported</t>
  </si>
  <si>
    <t>Sewanee: The University of the South</t>
  </si>
  <si>
    <t>Vice-Chancellor's Scholarship
Full tuition, fees, room and board annually
2 awarded annually</t>
  </si>
  <si>
    <t>SAT Math: 560-650
SAT Critical Reading: 580-670
SAT Writing: 560-660</t>
  </si>
  <si>
    <t>Benedict Scholarship
Full tuition, fees, room and board annually
2 awarded annually</t>
  </si>
  <si>
    <t>Southern Adventist University</t>
  </si>
  <si>
    <t>Freshman Academic Scholarships - If you’ve graduated from high school within the past nine months, or taken no more than 10 semester hours of college credit, and will be taking a full-time load (12 or more hours), this scholarship will automatically be awarded once transcripts and test scores are received. The Freshman Academic scholarship renews at 100 percent each year if you maintain a 3.0 GPA and full-time student status. 
Step 1: Multiply your high school GPA by 1,000
Step 2: Multiply your ACT* test score by 100
Step 3: Add all points from Step 1 and 2If you have 7,301 points or more, you will be awarded the full tuition scholarship</t>
  </si>
  <si>
    <t>SAT Math - 450-590 
SAT Critical Reading - 460-580 
SAT Writing - 450-470</t>
  </si>
  <si>
    <t>National Achievement Scholarship Program (For African American Students) - Finalists are awarded a full tuition scholarship following the same terms and conditions as the National Merit Full Tuition Scholarship</t>
  </si>
  <si>
    <t xml:space="preserve">National Merit finalist - If you’re a National Merit finalist, you’ll receive a full-tuition scholarship for four years if you maintain at least a 3.0 GPA. </t>
  </si>
  <si>
    <t>National Hispanic Recognition Program (For Hispanic Students) - Finalists are awarded a full tuition scholarship following the same terms and conditions as the National Merit Full Tuition Scholarship</t>
  </si>
  <si>
    <t>Tennessee Technological University</t>
  </si>
  <si>
    <t>Army ROTC offers merit based 4, 3, and 2 year scholarships. Army ROTC scholarships will pay 100% of tuition &amp; fees, or room &amp; board; plus a yearly book allowance of $1200, and a monthly stipend of $300 as a freshman, up to $500 a month as a senior.</t>
  </si>
  <si>
    <t>In-state: $8,551
Out-of-state: $25,586</t>
  </si>
  <si>
    <t>SAT Math -470-650; SAT Critical Reading - 450-600; SAT Writing - not reported</t>
  </si>
  <si>
    <t>Union University</t>
  </si>
  <si>
    <t>GPA/Test Scores; Class Rank; OR National Merit Semi-Finalist</t>
  </si>
  <si>
    <t>Founders' Scholarship: Each year one recipient will be chosen to receive the Founders' Scholarship, which is a full tuition, room and board scholarship. The scholarship will cover tuition, room, meals and student services fees for credit hours taken during Fall and Spring terms for a maximum of eight undergraduate semesters (as well as up to four mini-terms). Recipients of the Founders' Scholarship must maintain a 3.25 cumulative Union University GPA in order to retain the award and will be required to perform leadership services for the University up to 50 hours per semester.</t>
  </si>
  <si>
    <t>http://www.uu.edu/admissions/scholars-of-excellence/</t>
  </si>
  <si>
    <t>SAT Math - 480-650;
SAT Critical Reading - 510-650;
SAT Writing - Not Reported</t>
  </si>
  <si>
    <t>University of Memphis</t>
  </si>
  <si>
    <t>The Cecil C. Humphreys Merit Scholarship is awarded to all National Merit/National Achievement finalists listing the University of Memphis as their first choice with the National Merit Scholarship Corporation by the required deadline. This prestigious award is $9,700 per year plus the following benefits: Laptop computer
Study Abroad or National Student Exchange Stipend of $2,000
Assistance available for attendance at a National Conference on Undergraduate Research
Priority consideration for the Non-Resident Honors Student Award (NRHSA)
On-campus Housing Grant $5,000</t>
  </si>
  <si>
    <t>http://www.memphis.edu/scholarships/pdfs/uofmfreshmenscholarships20182019.pdf</t>
  </si>
  <si>
    <t>In-state: $9,497
Out-of-state: $21,209</t>
  </si>
  <si>
    <t>SAT Math 460-570
SAT Critical Reading 460-570 
SAT Writing 440-560</t>
  </si>
  <si>
    <t>Vanderbilt University</t>
  </si>
  <si>
    <t>Full Tuition plus</t>
  </si>
  <si>
    <t>Cornelius Vanderbilt Scholars receive full tuition, plus a one-time stipend to be used towards a summer study abroad or research experience usually following their sophomore or junior year. Vanderbilt will provide additional need-based financial aid to those Cornelius Vanderbilt Scholarship recipients whose demonstrated need exceeds the amount of full-tuition. Scholarships are renewed each year as long as the recipient maintains at least a 3.0 GPA. Cornelius Vanderbilt Scholars have the opportunity to participate in a series of programs designed especially for highly talented students. To be considered for the Cornelius Vanderbilt Scholarship Program, applicants apply via MyAppVU after submitting admission application. Cornelius Vanderbilt Scholars are selected on the basis of academic achievement, intellectual promise, and leadership and contribution outside the classroom. In evaluating candidates, the selection committees review the entire application for freshman admissions along with the Cornelius Vanderbilt Scholarship application. Audition scores are a factor in merit scholarship selection for Blair School of Music recipients.</t>
  </si>
  <si>
    <t>32 - 35</t>
  </si>
  <si>
    <t>SAT Math 720-800
SAT Critical Reading 710-790 
SAT Writing 690-770</t>
  </si>
  <si>
    <t>Overall Academic Performance; Leadership; Character; Commitment to Diversity</t>
  </si>
  <si>
    <t>Chancellor's Scholarship Program - Chancellor's Scholars receive full tuition, plus a one-time stipend to be used towards a summer of study abroad or research experience following sophomore or junior year. Vanderbilt will provide additional need-based financial aid to those Chancellor's Scholarship recipients whose demonstrated financial need exceeds the amount of full tuition. Scholarships are renewed each year as long as the recipient maintains at least a 3.0 GPA. Chancellor 's Scholars are selected on the basis of commitment to diversity, leadership, strength of character, and academic achievement. Strong candidates are intellectually curious and able to articulate their ideas clearly. In evaluating candidates, the selection committee reviews the Chancellor's Scholarship application along with the entire application for freshman admission.</t>
  </si>
  <si>
    <t>Leadership; Community Service; Character</t>
  </si>
  <si>
    <t>Ingram Scholarship Program - Ingram Scholars receive full-tuition support each year plus stipends for special summer service projects. Vanderbilt will provide additional need-based financial aid to those Ingram Scholarship recipients whose demonstrated financial need exceeds the amount of full tuition. Scholarships are renewable annually through the senior year contingent on the maintenance of a 3.0 minimum GPA and fulfillment of service-related requirements. Throughout their years as an Ingram Scholar, students are required to maintain a twenty-hour monthly service commitment and to complete at least one summer service project. Additional summer support is available for students who work closely with a faculty member on a research/service project. Ingram Scholars are selected on the basis of commitment to community service, strength of personal character, and leadership potential. In evaluating candidates, the selection committee reviews scholarship application essays and two letters of recommendation. Ingram Scholar Finalists are also required to interview on campus with the selection committee.</t>
  </si>
  <si>
    <t>Journalism or Public Policy Major; Minority Student</t>
  </si>
  <si>
    <t>The John Seigenthaler Scholarship for outstanding minority students interested in a career in journalism and/or public policy (full tuition)</t>
  </si>
  <si>
    <t>Overall Academic Performance; Held Part-Time Job in High School; Financial Need</t>
  </si>
  <si>
    <t>The Carell Family Scholarship for students who have held part-time employment during their high school years and demonstrate financial need (full tuition and fees). Note: The primary criteria for this scholarship are merit-based.</t>
  </si>
  <si>
    <t>TX</t>
  </si>
  <si>
    <t>Angelo State University</t>
  </si>
  <si>
    <t>Up to Full Ride plus</t>
  </si>
  <si>
    <t>ASU’s Carr Scholarship Program honors your dedication to learning by recognizing your previous academic achievements. This scholarship program is only available at ASU and is funded by one of the largest endowments at a regional university in the US. Awards are renewable for four years for students who maintain the eligibility requirements. 
Awards are based on your high school GPA and your standardized test scores: SAT combined math and critical reading or ACT composite</t>
  </si>
  <si>
    <t>In-state: $8,038
Out-of-state: $20,278</t>
  </si>
  <si>
    <t>SAT Math 430-530 
SAT Critical Reading 420-520
SAT Writing 400-491</t>
  </si>
  <si>
    <t>Baylor University</t>
  </si>
  <si>
    <t>Regent's Gold Scholarship - Baylor provides a full tuition academic scholarship to National Merit Finalists who select Baylor as their first-choice college. The Regents' Gold Scholarship is augmented by the recipients' SAT or ACT score.</t>
  </si>
  <si>
    <t>http://www.baylor.edu/admissions/index.php?id=934970</t>
  </si>
  <si>
    <t>SAT Math 580-670
SAT Critical Reading 560-650 
SAT Writing 530-640</t>
  </si>
  <si>
    <t>East Texas Baptist University</t>
  </si>
  <si>
    <t>NATIONAL MERIT SEMI-FINALIST - Full Tuition provided that the student has listed ETBU in the first position on the National Merit Scholarship Application.</t>
  </si>
  <si>
    <t>SAT Math - 470-570 
SAT Critical Reading - 440-530 
SAT Writing - Not reported</t>
  </si>
  <si>
    <t>Hardin-​Simmons University</t>
  </si>
  <si>
    <t>National Merit Awards Finalist</t>
  </si>
  <si>
    <t>SAT Math - 470-570 
SAT Critical Reading - 450-570 
SAT Writing - 433-540</t>
  </si>
  <si>
    <t>Howard Payne University</t>
  </si>
  <si>
    <t>Academy Scholar – Level I - (Top 10% at an Accredited High School or 3.80 GPA) AND 
ACT 29 OR SAT 1350. 
3.25 Cumulative GPA required for renewal. 
A maximum of 5 awards will be made.</t>
  </si>
  <si>
    <t>http://www.hputx.edu/campus-offices/financial-aid/scholarships/</t>
  </si>
  <si>
    <t>SAT Math - 430-530 
SAT Critical Reading - 420-530 
SAT Writing - Not reported</t>
  </si>
  <si>
    <t>Lamar University</t>
  </si>
  <si>
    <t>GPA/Test Scores; Leadership; Service</t>
  </si>
  <si>
    <t>Outstanding incoming freshmen with exceptionally strong academic records are invited to apply for LU’s Mirabeau Scholarship program. Mirabeau Scholars receive a full scholarship for four years covering tuition, fees, room and board, and books. Applicants should be first-time-in-college freshmen (dual credit and AP credit are not disqualifying) with a minimum SAT score of 1360 or an ACT score of 29 a record of demonstrated excellence in academics, leadership, service and/or creative endeavors.</t>
  </si>
  <si>
    <t>In-state: $9,901
Out-of-state: $22,141</t>
  </si>
  <si>
    <t>SAT Math 440-540
SAT Critical Reading 420-530 
SAT Writing 400-500</t>
  </si>
  <si>
    <t>LeTourneau University</t>
  </si>
  <si>
    <t>Heritage Scholarship - Award Criteria: awarded to incoming freshmen based on results of an invitational competition</t>
  </si>
  <si>
    <t>SAT Math - 520-650 
SAT Critical Reading - 500-630 
SAT Writing - 460-600</t>
  </si>
  <si>
    <t>Lubbock Christian University</t>
  </si>
  <si>
    <t>National Merit Scholarship is determined by the National Merit Corporation and is awarded in the spring of your senior year of high school. Please send LCU a copy of your certificate. Full-time students may receive this award for up to 4 years. You must maintain a cumulative GPA of 3.00. Award amounts:
Finalist - full tuition 
Semi-finalist - $2,000/year 
Commendation - $500/year</t>
  </si>
  <si>
    <t>SAT Math 430-555
SAT Critical Reading 440-550 
SAT Writing 420-548</t>
  </si>
  <si>
    <t>Prairie View A&amp;M University</t>
  </si>
  <si>
    <t>The Regents’ Student Merit Scholarship is the University’s most prestigious award. The Regents’ scholarship covers up to $10,000 per academic year for tuition and mandatory fees. Each Regent Scholar will receive additional scholarship funding to meet the cost for up to 18 credit hours, on campus housing, meals and books ($600 per semester). Regents’ Scholars who are non-residents are eligible for an out-of-state tuition waiver.</t>
  </si>
  <si>
    <t>In-state: $10,059
Out-of-state: $23,378</t>
  </si>
  <si>
    <t>SAT Math 390-470
SAT Critical Reading 380-460 
SAT Writing 360-440</t>
  </si>
  <si>
    <t>Over 97% of full in-state tuition</t>
  </si>
  <si>
    <t>The Presidential Academic Scholarship is $9,200.00 per year ($36,800.00 over eight semesters).</t>
  </si>
  <si>
    <t>Rice University</t>
  </si>
  <si>
    <t>$10,000 - Full Tuition</t>
  </si>
  <si>
    <t>Engineering Scholarships are awarded to outstanding applicants to the engineering division.</t>
  </si>
  <si>
    <t>SAT Math 710-800
SAT Critical Reading 680-760 SAT Writing 680-770</t>
  </si>
  <si>
    <t>Foreign Nationals</t>
  </si>
  <si>
    <t>yes</t>
  </si>
  <si>
    <t>Allen International Scholarships are awarded to outstanding applicants who are foreign nationals.</t>
  </si>
  <si>
    <t>Schreiner University</t>
  </si>
  <si>
    <t>National Merit Finalists – FULL TUITION for four years will be awarded to all National Merit Finalists. (Note: This scholarship will replace any merit award listed above)</t>
  </si>
  <si>
    <t>http://www.schreiner.edu/financialaid/CostOfAttending/calcMerit.aspx</t>
  </si>
  <si>
    <t>SAT Math - 450-550 
SAT Critical Reading - 440-540 
SAT Writing - 420-520</t>
  </si>
  <si>
    <t>Southern Methodist University</t>
  </si>
  <si>
    <t>Air Force ROTC is hosted through the University of North Texas. Army ROTC is hosted through the University of Texas at Arlington. Students receiving full tuition and fees ROTC scholarships will NOT be eligible to receive additional SMU merit aid.</t>
  </si>
  <si>
    <t>SAT Math 620-720
SAT Critical Reading 600-690 
SAT Writing 600-690</t>
  </si>
  <si>
    <t>Overall Academic Performance; Leadership; On-Campus Interview</t>
  </si>
  <si>
    <t>The President’s Scholars Program is awarded to students who have shown exemplary academic and leadership skills. The award provides full tuition and fees as well as study abroad. Students who live on campus also receive a scholarship for room and board. For consideration for the President’s Scholarships, the highest academic awards given by the University, students must have exceptional achievement on the SAT or ACT and in their high school curriculum. Admitted students are automatically reviewed; students invited to interview will be notified in the spring.</t>
  </si>
  <si>
    <t>Southwestern Adventist University</t>
  </si>
  <si>
    <t>Southwestern Scholars AwardThis scholarship is renewable if the student maintains a 3.5 cumulative GPA and enrolls for 12 or more hours each semester.  This scholarship, along with all other Southwestern scholarships, cannot exceed tuition. Students who qualify for both the Freshman Award and the Southwestern Scholars Award receive the higher of the two.</t>
  </si>
  <si>
    <t>SAT Math - 380-500 
SAT Critical Reading - 400-560 
SAT Writing - 200-360</t>
  </si>
  <si>
    <t>Southwestern University</t>
  </si>
  <si>
    <t>80% of Tuition or More</t>
  </si>
  <si>
    <t xml:space="preserve">BROWN SCHOLAR AWARD - STARTING AT $32,000 PER YEAR
The Brown Scholarship is Southwestern’s most prestigious and competitive award. Candidates must rank minimally in the top 5% of their high school class (or if high school does not rank, have the equivalent of a 3.8 GPA on a 4.0 scale). In addition, students must score at least a 1400 on the SAT (CR+M) or 31 on the ACT. A personal interview with a member of the admission staff is required to be considered. </t>
  </si>
  <si>
    <t>SAT Math - 520-630
SAT Critical Reading 520-640 SAT Writing Not Reported</t>
  </si>
  <si>
    <t>St. Edward's University</t>
  </si>
  <si>
    <t>St. Edward's University students participate in Air Force and Army ROTC through The University of Texas at Austin. Each ROTC program offers numerous scholarship opportunities, including full-tuition scholarships, book allowances and monthly stipends.</t>
  </si>
  <si>
    <t>SAT Math: 510-600
SAT Critical Reading: 530-620
SAT Writing: 500-600</t>
  </si>
  <si>
    <t>Class Rank; Test Scores; Leadership; Community Service</t>
  </si>
  <si>
    <t>Moreau Scholarship: Full Tuition 
Qualifications: must graduate from a Holy Cross high school; top 10% of senior class; combined (critical reading + math) SAT score 1250 or higher, or ACT score 28 or higher; significant leadership and community service</t>
  </si>
  <si>
    <t>St. Mary's University of San Antonio</t>
  </si>
  <si>
    <t>Business Major; GPA/Test Scores; On-Campus Interview</t>
  </si>
  <si>
    <t>The Greehey Scholars Program is a highly competitive program that guarantees funding for tuition, fees, room, board, books and notebook computer. Students who meet specific academic requirements and declare an intent to enter the Bill Greehey School of Business are invited to apply to this program at the time of admission.</t>
  </si>
  <si>
    <t>SAT Math - 470-570 
SAT Critical Reading - 460-560 
SAT Writing - 440-550</t>
  </si>
  <si>
    <t xml:space="preserve">Graduate of St.Louis, MO Marianist high schools or other St Louis Catholic schools </t>
  </si>
  <si>
    <t>The St. Louis Scholars Award program is a full-tuition scholarship program for top students from the Catholic schools of St. Louis, Missouri. St. Mary’s is pleased to offer the scholarship award to one student from each of the Marianist schools (Chaminade College Preparatory School, St. John Vianney High School, St. Mary’s High School, and Daniel J. Gross Catholic High School) as well as up to four additional students graduating from St. Louis’s non-Marianist Catholic schools. A full-tuition scholarship for four years (eight semesters) of full-time, undergraduate study, the award includes a summer internship in St. Louis following the first, second and third years of study. Recipients are chosen based on their academic achievement and commitment to the Marianist mission.</t>
  </si>
  <si>
    <t>https://www.stmarytx.edu/admission/financial-aid/scholarships/st-louis-scholars-award/</t>
  </si>
  <si>
    <t>Texas A&amp;M University - Kingsville</t>
  </si>
  <si>
    <t>Presidential Series Scholarships range in value from $1,000 per year to full tuition and fees, books, and room and board. To be considered for a Presidential Series Scholarship, an incoming freshman must be accepted for admission to Texas A&amp;M University-Kingsville by December 15th and meet the eligibility criteria. The scholarships will be awarded based on committee selection. This scholarship is available only to Texas residents.</t>
  </si>
  <si>
    <t>In-state: $8,050
Out-of-state: $21,356</t>
  </si>
  <si>
    <t>SAT Math: 440-540
SAT Critical Reading: 400-510
SAT Writing: 380-480</t>
  </si>
  <si>
    <t>Texas A&amp;M University--College Station</t>
  </si>
  <si>
    <t>The Terry Scholarship is intended to provide scholarships up to the cost of attendance to outstanding students. Other scholarships or aid and family household contribution will be considered when determining the Terry scholarship stipend.</t>
  </si>
  <si>
    <t>In-state: $10,030
Out-of-state: $30,208</t>
  </si>
  <si>
    <t>SAT Math 550-670
SAT Critical Reading 520-640 
SAT Writing 490-610</t>
  </si>
  <si>
    <t>National Merit Status OR GPA/Test Scores</t>
  </si>
  <si>
    <t>Craig and Galen Brown Foundation Scholarship -Students who meet the following criteria may compete for the above scholarships: 
Recognized as National Merit Semifinalist 
U.S. Citizen, permanent resident, or graduate of an accredited U.S. high school in Spring 2017 
Enrollment in the Fall 2017freshman class at Texas A&amp;M University. 
A minimum 1300 SAT I composite score (critical reading + math, with respective scores of 600 in each) or 30 ACT composite (English + Math, with scores of at least 27) 
Complete application, including supporting documents received by December 1, 2016 Applicants who meet the above criteria are encouraged to have 2 letters of recommendation readily available on file through their Admissions documents if they meet eligibility requirements for consideration.</t>
  </si>
  <si>
    <t>Texas Christian University</t>
  </si>
  <si>
    <t>TCU Army ROTC offers four, three, and two year full tuition scholarships, awarded strictly on merit to the most outstanding students who apply.</t>
  </si>
  <si>
    <t>https://financialaid.tcu.edu/special-eligibility-scholarships/</t>
  </si>
  <si>
    <t>SAT Math 550-650
SAT Critical Reading 530-630 
SAT Writing 530-640</t>
  </si>
  <si>
    <t>Overall Academic Performance; Class Rank; Extra-Curriculars; On-Campus Interview</t>
  </si>
  <si>
    <t>The Chancellor’s Scholarship is TCU’s most competitive merit award and includes full tuition for eight semesters.</t>
  </si>
  <si>
    <t>Texas Lutheran University</t>
  </si>
  <si>
    <t>FRESHMAN ACADEMIC SCHOLARSHIPS  range of academic scholarships are awarded based on high school academic performance and SAT/ACT scores. Scholarships are renewable for up to an additional three years provided the student maintains a minimum 2.50 cumulative GPA at TLU. These scholarships are awarded based on full-time, undergraduate enrollment.</t>
  </si>
  <si>
    <t>SAT Math 470-565
SAT Critical Reading 445-550 
SAT Writing 430-520</t>
  </si>
  <si>
    <t>Texas Southern University</t>
  </si>
  <si>
    <t>Music performance or music education talent</t>
  </si>
  <si>
    <t>The Department of Music at Texas Southern University and Music Doing Good, INC. 
are collaborating to offer two Undergraduate 
Scholarships for prospective talent in the field of music performance or music education. Students must show exceptional music and academic ability and must be
admitted to Texas Southern University
in order to be selected. Scholarship is disbursed as $5,000 per semester.</t>
  </si>
  <si>
    <t>In-state: $9,001
Out-of-state: $21,241</t>
  </si>
  <si>
    <t xml:space="preserve">SAT Math - 370-460 
SAT Critical Reading - 360-440 
SAT Writing - 350-435 </t>
  </si>
  <si>
    <t>Texas State University</t>
  </si>
  <si>
    <r>
      <t>President's Honor Scholarship* is an assured scholarship awarded on the basis of a student’s academic credentials (i.e., test scores and high school rank or IB diploma). To be eligible for this award, you must submit an admission application, official high school transcript and official SAT or ACT scores. This scholarship is guaranteed to all qualified residents and nonresidents (including international students) provided you are admitted to Texas State as a first-time incoming freshman and meet the minimum scholarship qualifications prior to your first semester (fall or spring).</t>
    </r>
    <r>
      <rPr>
        <b/>
        <sz val="11"/>
        <rFont val="Calibri"/>
      </rPr>
      <t xml:space="preserve"> If you are a nonresident receiving an Assured Scholarship, you also qualify to pay the in-state tuition rate.</t>
    </r>
  </si>
  <si>
    <t>In-state: $10,218
Out-of-state: $22,458</t>
  </si>
  <si>
    <t>SAT Math 470-560
SAT Critical Reading 460-560 
SAT Writing 440-530</t>
  </si>
  <si>
    <t>Almost Full In-State Tuition</t>
  </si>
  <si>
    <r>
      <t xml:space="preserve">These National Scholarships are awarded to students who are named National Merit Finalists. To receive a National Merit Scholarship, you must select Texas State as your college of choice with the National Merit Corporation. </t>
    </r>
    <r>
      <rPr>
        <b/>
        <sz val="11"/>
        <rFont val="Calibri"/>
      </rPr>
      <t>If you are a nonresident receiving a National Scholarship, you also qualify to pay the in-state tuition rate.</t>
    </r>
  </si>
  <si>
    <t>Texas Tech University</t>
  </si>
  <si>
    <t>GPA/Tests Scores; Class Rank; Leadership; Financial Need</t>
  </si>
  <si>
    <t>The Terry Foundation Scholarship program provides scholarships for up to four (4) years to outstanding Texas high school graduates who show promise for being future leaders of Texas.</t>
  </si>
  <si>
    <t>In-state: $9,781
Out-of-state: $21,481</t>
  </si>
  <si>
    <t>SAT Math 520-620
SAT Critical Reading 510-600 SAT Writing 470-570</t>
  </si>
  <si>
    <t>National Merit Finalists are awarded the Presidential Scholarship or 100% of original federally approved cost of attendance (approximately $25,000 per year for up to 4 years combining federal, institutional and external gift aid)</t>
  </si>
  <si>
    <t>Texas Wesleyan University</t>
  </si>
  <si>
    <t>Valedictorian/Salutatorian Award 
Up to full tuition 
Awarded to valedictorians or salutatorians at public or private high schools the preceding year. Admission deadline is Dec. 15</t>
  </si>
  <si>
    <t>SAT Math - 460-540 
SAT Critical Reading - 468-550 
SAT Writing - 420-510</t>
  </si>
  <si>
    <t>Ella C. McFadden Scholarship 
Up to full tuition 
Minimum 3.8 GPA 
1200 SAT score or 27 ACT score 
Admission deadline: Dec. 15</t>
  </si>
  <si>
    <t>GPA/Test Scores; Prefer Business Major</t>
  </si>
  <si>
    <t>Eunice &amp; James L. West Scholarship 
Full tuition, general and tech fees 
U.S. citizenship required 
Business major is preferred 
Minimum 3.8 GPA 
1200 SAT score or 27 ACT score 
Admission deadline: Dec. 15</t>
  </si>
  <si>
    <t>https://txwes.edu/admissions/scholarships-and-aid/types-of-financial-aid/scholarships/freshman-academic-scholarship/</t>
  </si>
  <si>
    <t>Texas Woman's University</t>
  </si>
  <si>
    <t>TWU Presidential Scholarship is only available to entering freshmen who were Valedictorians or Salutatorians at an accredited high school. This scholarship pays full tuition and fees excluding room, board and books. Recipients chosen from scholarship applicant pool. Recipients must maintain a minimum 3.25 GPA.</t>
  </si>
  <si>
    <t>In-state: $8,770
Out-of-state: $21,010</t>
  </si>
  <si>
    <t>SAT Math 420-530
SAT Critical Reading 410-520 
SAT Writing not reported</t>
  </si>
  <si>
    <t>Chancellor's Endowed Scholarship Awards cover tuition, fees and book stipend per year. Recipients chosen from scholarship applicant pool. Recipients must maintain a minimum 3.25 GPA.</t>
  </si>
  <si>
    <t>Trinity University</t>
  </si>
  <si>
    <t>Science Majors</t>
  </si>
  <si>
    <t>The Semmes Distinguished Scholars in Science Award is a full-tuition scholarship open, by application and interview, to students interested in majoring in the sciences. In order to be considered for this award, students must apply for admission to the University by our January 1 Early Action II deadline and submit the Semmes Distinguished Scholars in Science Application online by January 1.</t>
  </si>
  <si>
    <t>https://new.trinity.edu/admissions-aid/financial-aid/academic-merit-scholarships-first-year-students-trinity</t>
  </si>
  <si>
    <t>SAT Math: 580-680
SAT Critical Reading: 580-690
SAT Writing: 560-660</t>
  </si>
  <si>
    <t>Trinity Tower Scholarship - Murchison Scholars and other top applicants will be invited to compete for a full-tuition scholarship at the Trinity Tower Scholars Day competition. Trinity Tower Scholarship Day attendees will compete for one of up to 20 full-tuition scholarships.</t>
  </si>
  <si>
    <t>3.85 or 4.0</t>
  </si>
  <si>
    <t>University of Dallas</t>
  </si>
  <si>
    <t>National Merit Finalist Award 
Amount: Full Tuition 
Eligibility: National Merit Finalists who name UD as their first choice college with the National Merit Scholarship Corporation.</t>
  </si>
  <si>
    <t>SAT Math - 540-650 
SAT Critical Reading - 540-690 
SAT Writing - 530-650</t>
  </si>
  <si>
    <t>University of Houston</t>
  </si>
  <si>
    <t>The Army Reserves Officers' Training Corps (AROTC) Scholarship is awarded for academic and personal achievement and pays annually an amount determined by the U.S. Army. The scholarship includes funding for tuition, a flat rate for textbooks, equipment, and supplies, and a subsistence allowance. Recipients must enroll and fully participate in Army ROTC. Four-year AROTC scholarships are applied for during the latter part of the junior or the early part of the senior year of high school. Two- and three-year AROTC scholarships are applied for during the sophomore and freshman years, respectively, through the Department of Military Science.</t>
  </si>
  <si>
    <t>In-state: $10,886
Out-of-state: $26,126</t>
  </si>
  <si>
    <t>SAT Math 540-640
SAT Critical Reading 510-610
SAT Writing not reported</t>
  </si>
  <si>
    <t>The Tier One Scholars Program recruits and engages high-caliber students who can pursue academic excellence without financial limitations. Each scholarship provides four full years of tuition and two years of on campus living. In addition, students are given stipends to pursue research and to study abroad.</t>
  </si>
  <si>
    <t>The University of Houston will automatically award scholarship support to National Merit Scholarship finalists who select the University of Houston as their first-choice institution in accordance with the rules and deadlines established by the National Merit Scholarship Corporation (NMSC).</t>
  </si>
  <si>
    <t>University of North Texas</t>
  </si>
  <si>
    <t>UNT Meritorious Scholarship for National Merit Finalists: Students must be active in a UNT program to receive this award. Students active in a UNT Dallas program should contact UNT Dallas for scholarship opportunites.
This scholarship covers tuition and mandatory fees, room and board on-campus (double occupancy) with seven-day meal plan, and textbook expenses up to $500 per semester.
The scholarship is renewable up to three additional, consecutive academic years (excluding summers), or until the completion of your UNT undergraduate degree, whichever comes first.</t>
  </si>
  <si>
    <t>In-state: $10,520
Out-of-state: $22,760</t>
  </si>
  <si>
    <t>SAT Math 500-600
SAT Critical Reading 490-600 
SAT Writing 460-570</t>
  </si>
  <si>
    <t>Catholic Students; Overall Academic Performance</t>
  </si>
  <si>
    <t>The V.J. Guinan Presidential scholarship affords full tuition to incoming freshman students who excel academically and uphold the Catholic mission of the University. Candidates are Catholic students who are serious about attending a Catholic university in order to strengthen their Catholic identity and faith.</t>
  </si>
  <si>
    <t>SAT Math 500-610
SAT Critical Reading 480-600
SAT Writing 468-580</t>
  </si>
  <si>
    <t>University of Texas - Dallas</t>
  </si>
  <si>
    <t xml:space="preserve">incoming National Merit Scholars will receive complete coverage of UT Dallas tuition and mandatory fees for eight semesters, a $4,000 per semester cash stipend to defray the costs of books, supplies, and other expenses, a $1,500 per semester housing stipend for students living on campus, and a one-time award of up to $6,000 for an international study abroad program after completion of two academic years in residence. </t>
  </si>
  <si>
    <t>In-state: $12,162
Out-of-state: $33,654</t>
  </si>
  <si>
    <t>SAT Math: 600-700
SAT Critical Reading: 560-670
SAT Writing: 520-650</t>
  </si>
  <si>
    <t>University of Texas—​Tyler</t>
  </si>
  <si>
    <t>National Merit/Achievement Finalists 
Award amount covers full tuition, fees, books, room and board. To qualify, students must be National Merit/Achievement finalists</t>
  </si>
  <si>
    <t>In-state: $7,552
Out-of-state: $20,032</t>
  </si>
  <si>
    <t>SAT Math - 490-590 
SAT Critical Reading - 480-570 
SAT Writing - 450-560</t>
  </si>
  <si>
    <t>National Merit/Achievement Semi-Finalists 
Amount covers full tuition, fees and books. To qualify students must be National Merit/Achievement semi-finalists.</t>
  </si>
  <si>
    <t>University of Texas--Austin</t>
  </si>
  <si>
    <t>Overall Academic Performance; Leadership; Service; Social Skills</t>
  </si>
  <si>
    <t>The Forty Acres Scholars Program is the premier full-ride, merit-based scholarship at The University of Texas at Austin. This scholarship program offers a rich college experience that provides academic, leadership, and cultural opportunities within an intimate cohort of fellow scholars. Entering freshmen can apply during their senior year of high school.</t>
  </si>
  <si>
    <t>http://scholarships.texasexes.org/scholarships/forty-acres-scholars/</t>
  </si>
  <si>
    <t>In-state: $10,110
Out-of-state: $35,906</t>
  </si>
  <si>
    <t>SAT Math 600-710
SAT Critical Reading 570-680 
SAT Writing 560-680</t>
  </si>
  <si>
    <t>University of Texas--Dallas</t>
  </si>
  <si>
    <t>Academic Distinction Scholarship which is part of the Academic Excellence Scholarship Program provides complete coverage of UT Dallas tuition and mandatory fees and $1,000 per semester cash stipend to defray the costs of books, supplies and other expenses</t>
  </si>
  <si>
    <t>Academic Honors Scholarship which is part of the Academic Excellence Scholarship Program provides complete coverage of UT Dallas tuition and mandatory fees and $3,000 per semester cash stipend to defray the costs of books, supplies and other expenses</t>
  </si>
  <si>
    <t>Test Scores; Class Rank; Leadership; Service; Social Skills</t>
  </si>
  <si>
    <t>The Eugene McDermott Scholars Program
McDermott Scholars receive one of the most selective and generous undergraduate merit awards in the nation; it includes a full scholarship and stipend package with access to UT Dallas’ rigorous education, leadership training, cultural enrichment, and personalized opportunities designed to equip them with the skills, experience, and confidence to succeed as leaders.</t>
  </si>
  <si>
    <t>UT</t>
  </si>
  <si>
    <t>Brigham Young University--Provo</t>
  </si>
  <si>
    <t>LDS Members; Overall Academic Performance; Leadership; Service</t>
  </si>
  <si>
    <t>The Thomas S. Monson Presidential Scholarship is the most prestigious scholarship offered to incoming LDS freshmen, and is named after the current prophet and president of The Church of Jesus Christ of Latter-day Saints. Strong commitment to gospel principles, academic excellence, exceptional leadership skills, and service characteristics are all criteria for the presidential awards.</t>
  </si>
  <si>
    <t>SAT Math 580-680
SAT Critical Reading 570-680 
SAT Writing 550-660</t>
  </si>
  <si>
    <t>Southern Utah University</t>
  </si>
  <si>
    <t>President's Four Year Renewable Scholarship - Full Tuition 
Admissions Index of 127 required for award 
Cumulative SUU 3.5 GPA required for renewal</t>
  </si>
  <si>
    <t>In-state: $6,530
Out-of-state: $19,810</t>
  </si>
  <si>
    <t>SAT Math - 450-570 
SAT Critical Reading - 450-590 
SAT Writing - 440-570</t>
  </si>
  <si>
    <t>President's Non-Resident Four Year Renewable Scholarship - Full Tuition 
Admissions Index of 129 required for award 
Cumulative SUU 3.5 GPA required for renewal</t>
  </si>
  <si>
    <t>University of Utah</t>
  </si>
  <si>
    <t>Nonresident Academic Excellence Scholarship is a scholarship for high academic nonresident high school seniors who will be entering freshmen, based on cumulative GPA and ACT/SAT scores.</t>
  </si>
  <si>
    <t>https://financialaid.utah.edu/types-of-aid/scholarships/freshman/academic-excellence-scholarship.php</t>
  </si>
  <si>
    <t>In-state: $8,518
Out-of-state: $27,039</t>
  </si>
  <si>
    <t>SAT Math: 510-660
SAT Critical Reading: 500-640
SAT Writing: 490-620</t>
  </si>
  <si>
    <t>The President's Scholarship recipients will be chosen from the pool of resident high school seniors. Selection is based on academic excellence.</t>
  </si>
  <si>
    <t>https://financialaid.utah.edu/types-of-aid/scholarships/freshman/presidents-scholarship.php</t>
  </si>
  <si>
    <t>University Nonresident President's Scholarship is intended for nonresident high school seniors who will be entering freshmen based on cumulative GPA and ACT/SAT scores.</t>
  </si>
  <si>
    <t>GPA/Test Scores; National Merit Status</t>
  </si>
  <si>
    <t>University of Utah Merit Scholarship with Presidential Honors is awarded to students who qualify for both the Merit Scholarship and the President's Scholarship. The selection criteria are the same as for the President's Scholarship. These honors include funds in addition to any tuition waiver scholarship a student might receive.</t>
  </si>
  <si>
    <t>https://financialaid.utah.edu/types-of-aid/scholarships/freshman/merit-scholarship-presidential-honors.php</t>
  </si>
  <si>
    <t>Utah State University</t>
  </si>
  <si>
    <t>Presidential Scholarship - 135-142 index score</t>
  </si>
  <si>
    <t>In-state: $6,866
Out-of-state: $19,772</t>
  </si>
  <si>
    <t>SAT Math 470-610
SAT Critical Reading 480-600 SAT Writing not reported</t>
  </si>
  <si>
    <t>Full Tuition (2 years only)</t>
  </si>
  <si>
    <t>Dean's Scholarship - 129-134 index score</t>
  </si>
  <si>
    <t>Utah Valley University</t>
  </si>
  <si>
    <t>http://www.uvu.edu/financialaid/scholarships/available/acadmerit.html</t>
  </si>
  <si>
    <t>In-state: $5,530
Out-of-state: $15,690</t>
  </si>
  <si>
    <t>http://www.uvu.edu/financialaid/scholarships/available/nrf_academicmerit.html</t>
  </si>
  <si>
    <t>Weber State University</t>
  </si>
  <si>
    <t>Utah Army National Guard
Scholarships cover full tuition; state tuition assistance is available to cover student fees.
    Must be a U.S. citizen or a permanent resident
    Must maintain a 2.0 cumulative GPA
    Must maintain full-time status (12-18 credits)</t>
  </si>
  <si>
    <t>In-state: $5,523
Out-of-state: $14,749</t>
  </si>
  <si>
    <t>GPA/Test Scores; Specific Club Membership</t>
  </si>
  <si>
    <t>Presidential-Aletheia Scholarship 
A 4-year (8-semester) waiver of in-state tuition and general fees, awarded to new freshmen for four years of study at WSU. Eligibility: 
Estimated index score of 128 or higher. 
Must maintain full-time status (15-18 credits) and a 3.75 cumulative GPA 
Aletheia Club member</t>
  </si>
  <si>
    <t>ROTC Scholarships - Army, Navy, and Air Force ROTC Scholarship recipients, who choose to attend Westminster and also choose to live on campus, will be awarded a full room and board grant at a double room and full meal plan rate. ROTC Scholarship recipients choosing to live off campus will receive a $2,500 grant. Students who receive both an ROTC scholarship and room and board grants are not eligible for other Westminster College scholarships as entering students.</t>
  </si>
  <si>
    <t>SAT Math: 503-618
SAT Critical Reading: 500-620
SAT Writing: Not reported</t>
  </si>
  <si>
    <t>Hispanic Students</t>
  </si>
  <si>
    <t>UTAH HISPANIC CHAMBER "SOMOS" SCHOLAR AWARD 
Westminster College and the Business Leadership Foundation of the Utah Hispanic Chamber of Commerce have teamed up to provide a new scholarship to be awarded to an incoming undergraduate student of Hispanic decent. One full-tuition, yearly renewable scholarship will be presented to a qualified student each year and will be awarded by the Hispanic Business Leadership Foundation of the Utah Hispanic Chamber of Commerce.</t>
  </si>
  <si>
    <t>VA</t>
  </si>
  <si>
    <t>Bluefield College</t>
  </si>
  <si>
    <t>Presidential Scholarship: Each year, Bluefield College awards two full-tuition scholarships, available for only two (2) new freshman. Students must have a minimum GPA of 3.50 and a minimum 1160 SAT (combination of math and verbal scores) or 26 ACT (composite score) in order to compete.</t>
  </si>
  <si>
    <t>http://www.bluefield.edu/admissions-and-aid/bc-central/financial-aid/types-of-financial-aid/</t>
  </si>
  <si>
    <t>SAT Math - 400-520 
SAT Critical Reading - 400-520 
SAT Writing - Not reported</t>
  </si>
  <si>
    <t>Bridgewater College</t>
  </si>
  <si>
    <t>$20,500 up to full tuition</t>
  </si>
  <si>
    <t>Overall Academic Performance; Test Scores; Class Rank</t>
  </si>
  <si>
    <t>President's Merit and ACE Scholarships
These scholarships are awarded based on academic performance in high school (public, private, or home schooled), ACT or SAT scores, class rank, and quality of high school curriculum. The value of these scholarships ranges from $20,500-full tuition. ACE and President’s Merit scholarships require year-end cumulative GPAs of at least 2.3 and 3.5 respectively, for renewal.</t>
  </si>
  <si>
    <t>SAT Math: 460-560 SAT Critical Reading: 460-565 SAT Writing: 440-540</t>
  </si>
  <si>
    <t>3.53(Based on weighted GPAs)</t>
  </si>
  <si>
    <t>College of William and Mary</t>
  </si>
  <si>
    <t>Test Scores/Class Rank; Overall Academic Performance</t>
  </si>
  <si>
    <t>William &amp; Mary is seeking the best high school seniors in the state and nation to take part in an exceptional experience: our 1693 Scholars Program. The program will provide extraordinary opportunities to the student for learning and growth. It will offer personal faculty supervision, collaborative research initiatives, and substantial financial support.
1693 Scholars will have the chance to participate in specially designed seminars, study for a semester at Oxford University, and, under the guidance of a faculty mentorship team, design an innovative cross-disciplinary major and capstone research project. 1693 Scholars Program - Finalists typically rank in the top 1% of their class, score a 1500 and higher on the SAT Critical Reading plus Math (ACT equivalent: 34 or higher) and take the most demanding curriculum available to them. (An equivalent amount is given to out-of-state winners, not full out-of-state cost.)</t>
  </si>
  <si>
    <t>In-state: $21,234
Out-of-state: $41,718</t>
  </si>
  <si>
    <t>SAT Math: 630-730
SAT Critical Reading: 630-730
SAT Writing: 620-720</t>
  </si>
  <si>
    <t>4.19(based on weighted GPAs)</t>
  </si>
  <si>
    <t>Eastern Mennonite University</t>
  </si>
  <si>
    <t xml:space="preserve">Yoders Scholars Honors Scholarships </t>
  </si>
  <si>
    <t>http://www.emu.edu/academics/honors/yoder-scholars/</t>
  </si>
  <si>
    <t>SAT Math: 430-560
SAT Writing: 423-550 
SAT Critical Reading: 433-568</t>
  </si>
  <si>
    <t>George Mason University</t>
  </si>
  <si>
    <t>Overall Academic Performance; Service; Vision</t>
  </si>
  <si>
    <t>Each year, a select few new students became University Scholars – the highest distinction and most competitive academic scholarship awarded to incoming students. These students have demonstrated evidence of intellectual vision, a commitment to the obligations of citizenship, and the potential to overcome obstacles and solve challenging problems.</t>
  </si>
  <si>
    <t>In-state: $11,300
Out-of-state: $32,582</t>
  </si>
  <si>
    <t>SAT Math 520-630
SAT Critical Reading 520-620
SAT Writing not reported</t>
  </si>
  <si>
    <t>Hampton University</t>
  </si>
  <si>
    <t>Hampton University recognizes outstanding academic achievement by offering a variety of scholarships to first-time freshmen. The selection process is extremely competitive and students who submit completed admission application packets by the Early Action deadline (November 1) are automatically considered for merit awards. To be considered for a merit based scholarship, students must have a minimum 3.00 cumulative grade point average. A minimum 1100--math and critical reading combined SAT score or an ACT Composite score of 22 is also required. The writing portion of the SAT is not considered for admission or scholarship purposes. Consideration of awards is granted, not guaranteed to students who meet minimum eligibility requirements. The initial review process for scholarships begins in December. 
Scholarship award amounts range from $5,000 -$25,000 per academic year, and are based upon the cumulative academic grade point average and standardized test scores. Merit based scholarships awarded to entering freshmen are renewable for three years beyond the first year provided the student maintains a cumulative 3.30 grade point average.</t>
  </si>
  <si>
    <t>SAT Math 470-550 
SAT Critical Reading 470-540 
SAT Writing not reported</t>
  </si>
  <si>
    <t>Hollins University</t>
  </si>
  <si>
    <t>Batten Scholar Award
Full tuition for four years</t>
  </si>
  <si>
    <t>21-30</t>
  </si>
  <si>
    <t>SAT Math: 470-580 
SAT Writing: 480-630 SAT Critical Reading: 520-630</t>
  </si>
  <si>
    <t>Overall Academic Performance; Creativity; On-Campus Interview</t>
  </si>
  <si>
    <t>The Secular Society Scholarship (TSS)
The Secular Society Scholars, nominally five each year, will be selected from entering first-year students at Hollins who apply and demonstrate academic competence, creativity, and a passion for a Hollins liberal arts education. Applicants will have been active and engaged during their high school years but have also sought learning experiences outside the classroom. Each applying student will have her application evaluated in a highly personalized manner, While grades and test scores can be indicative of academic success, the committee is aware that they don’t represent the whole student, and as result, they are not used to automatically include or exclude an applicant for consideration. A selection of The Secular Society Scholar candidates will be invited to participate in an interview weekend held on campus in February. Complete your application for admission and scholarship application by January 15.</t>
  </si>
  <si>
    <t>James Madison University</t>
  </si>
  <si>
    <t>GPA/Test Scores; Class Rank; Overall Academic Performance; Leadership; Service;  On-Campus Interview</t>
  </si>
  <si>
    <t>Dingledine Scholarships - The Dingledine Scholarships are awarded based on demonstrated excellence in academic achievement, leadership, and community service.
The Dingledine Scholarship for freshman students is equivalent to in-state tuition and fees per year for a total of four years if eligibility requirements are met (see below). For the 2016-2017 academic year, that amount is $10,390.
Scholarships are given annually by the Dingledine Scholarship Selection Committee.
All eligible in-state and out-of-state students may apply.
Competitive applicants must either:
rank in the top 20% of their class and have a 3.6 cumulative GPA (on a 4.0 unweighted scale); OR
rank in the top 20% of their class and have a 1250 SAT (out of 1600 - writing portion not considered) or a 27 ACT score (composite only).</t>
  </si>
  <si>
    <t>In-state: $10,342
Out-of-state: $26,116</t>
  </si>
  <si>
    <t>SAT Math 520-610
SAT Critical Reading 520-610
SAT Writing Not Reported</t>
  </si>
  <si>
    <t>Madison Awards for Academic Excellence are merit-based awards which recognize a broad spectrum of accomplishment and potential. Academic colleges and departments are responsible for selecting individuals who posses scholastic achievement within a particular area of study and demonstrate promise to the university. 
Approximately 350 scholarships are awarded annually. 
Award amounts vary from $4,000 to $10,000 annually, depending on department. For specifics, contact the department of your interest directly.</t>
  </si>
  <si>
    <t>75% of in-state tuition and fees</t>
  </si>
  <si>
    <t>GPA; Stem Major</t>
  </si>
  <si>
    <t>STEM Second Century Scholarships - This program provides financial support to exemplary students entering fields in the domain of Science, Technology, Engineering, and Mathematics (STEM). 
Freshman students enrolling in one of the designated STEM programs may qualify to be recognized as Second Century Scholars and receive scholarship support. The Second Century scholarship is awarded for a maximum of four years of undergraduate work, provided recipients continue in any one of the designated STEM majors and maintain a high level of academic performance and commitment to their studies. The amount of the scholarship is set at 75 percent of in-state tuition and fees for the year recipients enter the university and continues at this amount for a maximum of four consecutive years.</t>
  </si>
  <si>
    <t>Liberty University</t>
  </si>
  <si>
    <t>Academic Achievement Scholarship</t>
  </si>
  <si>
    <t>SAT Math: 470-590
SAT Critical Reading: 480-600
SAT Writing: 460-580</t>
  </si>
  <si>
    <t>Full TUition</t>
  </si>
  <si>
    <t>Valedictorian/Salutatorian Scholarship (Resident) 
Award: 100 percent tuition only scholarship (after subtracting other non-loan financial aid such as institutional aid, Pell, FSEOG, VTAG, etc.) per year for up to four consecutive academic years.</t>
  </si>
  <si>
    <t>National Merit (Resident) 
Award:
Finalist - Full tuition, room &amp; board for up to four years
Semi-finalist - Full tuition for up to four years
Commended - Full tuition for up to four years
If a recipient of a National Merit award is also awarded a stipend through the National Merit Scholarship Corporation, the stipend is stacked onto the awards listed above.
Eligibility: Must show National Merit Certificate and be in Honors Program to receive scholarship.</t>
  </si>
  <si>
    <t>Randolph-Macon College</t>
  </si>
  <si>
    <t>Interest in pursuing career as a science teacher</t>
  </si>
  <si>
    <t xml:space="preserve">The Randolph-Macon Noyce Teacher-Scholar Program is designed for students who are interested in pursuing a career as a high school chemistry, biology, or physics teacher after graduation. A four year, full-tuition scholarship is provided to students accepted into the program.  </t>
  </si>
  <si>
    <t>SAT Math: 500-580
SAT Critical Reading: 500-600
SAT Writing: 480-580</t>
  </si>
  <si>
    <t>Army ROTC Scholarships
Randolph-Macon College offers Army ROTC through the Spider Battalion, headquartered at nearby University of Richmond. Scholarships for full tuition, a $1,200 annual book stipend, and monthly stipend from $300 to $500 are awarded by U.S. Army Cadet Command to applicants who have demonstrated their attributes as a scholar, athlete, and leader. ROTC Cadets pursue the academic major of their choice and take one Military Science and Leadership course each semester through a cross-enrollment agreement with the University of Richmond while training to become commissioned officers. Upon graduation they will serve as second lieutenants in the active duty Army, Army National Guard, or Army Reserve.</t>
  </si>
  <si>
    <t>Interest in a Christian vocation</t>
  </si>
  <si>
    <t xml:space="preserve">The A. Purnell Bailey Pre-Ministerial Program for Ordained Ministry is designed to encourage students who express an interest in a Christian vocation. Scholarships are awarded to a limited number of selected students each year based on several criteria.
Students selected for this program receive half-tuition scholarships for the first two years and full-tuition scholarships for the next two years, mentoring, meetings and activities with other Bailey scholars, and assistance in fulfilling the requirements leading to ordination in the United Methodist Church or other Christian denominations. Two internship experiences are also required as part of the program's contextual approach to vocational discernment. </t>
  </si>
  <si>
    <t>Regent University</t>
  </si>
  <si>
    <t>Called to serve US African-American community</t>
  </si>
  <si>
    <t>The Azusa Street Scholarship fund was established to commemorate the Azusa Street Revival in Los Angeles, California, from 1906-1909. The leading figure in the revival was the Reverend William J. Seymour, an African-American Baptist minister. These scholarships are specifically designated for those who are called to serve the African-American community in the United States. The scholarship is 100 percent of tuition costs, plus a book stipend of up to $300 per term.</t>
  </si>
  <si>
    <t>http://www.regent.edu/admissions-aid/financial-aid/types-of-aid/regent-endowed-scholarships/</t>
  </si>
  <si>
    <t xml:space="preserve">SAT Math - 430-550 
SAT Critical Reading - 470-600 
SAT Writing - 440-580 </t>
  </si>
  <si>
    <t xml:space="preserve">Overall academic performance; preference for specific residency </t>
  </si>
  <si>
    <t xml:space="preserve">Fred W Beazley Scholarship - The scholarship criteria emphasize academic merit and residency history. First consideration is given to students from the Tidewater region of Virginia who have excellent academic histories and, otherwise, meet the criteria. However, students with excellent academic histories not from the Tidewater region of Virginia are also encouraged to apply in the event there are not enough suitable applicants from Tidewater for the award. The scholarship is 100 percent of tuition costs plus a book stipend of up to $300 per term. </t>
  </si>
  <si>
    <t>19-28</t>
  </si>
  <si>
    <t>Full Tuition plus Room</t>
  </si>
  <si>
    <t xml:space="preserve">Scholar’s weekend offers hard-working high school students the opportunity to compete for exclusive full and partial scholarships, which includes our Dean’s Scholarship (full tuition plus room). Invitations to Scholars Weekend are extremely competitive and spots are limited, but we encourage all qualified high school students to apply. In addition to being admitted to the College of Arts and Sciences, eligible students must complete an additional application to attend the event.
Invitation to Scholar’s Weekend involves a review of a wide range of information; however, the typical attendee has an academic profile that includes a combination of:
    A High School GPA OF 3.8 or higher, and
    One of the following test scores:
        An SAT score (Verbal &amp; Math only) of 1200 or higher, or
        An ACT Composite score of 28 or higher.
</t>
  </si>
  <si>
    <t>http://www.regent.edu/cas/applying-to-regent-university/scholarships-for-on-campus-students/</t>
  </si>
  <si>
    <t>19-29</t>
  </si>
  <si>
    <t>National Merit Finalist
National Merit Finalists are eligible to receive a 100% tuition scholarship from Regent University. This award does not apply to fees and/or student housing.
Disbursement requires the maintenance of a 3.3 GPA and full-time enrollment.</t>
  </si>
  <si>
    <t>19-30</t>
  </si>
  <si>
    <t>Roanoke College</t>
  </si>
  <si>
    <t>Up to 6</t>
  </si>
  <si>
    <t>The David Bittle Scholarship
The Bittle Scholarship is named for one of the founders and first president of Roanoke College. Up to six Bittle Scholars will receive full tuition for four years. The Bittle scholarship will replace any previously awarded Roanoke College scholarships or grants. A minimum 3.3 cumulative grade point average at Roanoke College is required to continue this award.</t>
  </si>
  <si>
    <t>SAT Math: 480-590 SAT Writing: 480-598 
SAT Critical Reading: 490-610</t>
  </si>
  <si>
    <t>3.50(Based on weighted GPAs)</t>
  </si>
  <si>
    <t>University of Richmond</t>
  </si>
  <si>
    <t>Recipients of Army ROTC scholarships are selected by U.S. Army Cadet Command to receive full tuition each year plus an annual $1,200 book allowance for full-time undergraduate study at the University of Richmond.</t>
  </si>
  <si>
    <t>SAT Math: 620-720
SAT Critical Reading: 600-700
SAT Writing: 610-700</t>
  </si>
  <si>
    <t>Application and testing</t>
  </si>
  <si>
    <t>The Richmond Scholars Program includes these benefits:
Full-tuition scholarship, renewable for up to eight consecutive semesters of full-time enrollment, valued at approximately $181,000 over four years
Eligibility for a one-time $3,000 grant to support a student-selected activity that enhances the academic experience
Priority course registration and guaranteed on-campus housing
Specially selected faculty mentors to guide students and help them fulfill their potential
Special ticket vouchers to selected cultural events in the Modlin Center for the Arts</t>
  </si>
  <si>
    <t>University of Virginia</t>
  </si>
  <si>
    <t>Nomination and Selection Process</t>
  </si>
  <si>
    <t>Jefferson Scholars - The undergraduate scholarship program of University of Virginia has been attracting and cultivating undergraduate leaders since 1980, providing them sufficient financial support so that they are free to develop their talents and to use them for the good of the University community. The scholaship is intended to cover the entire cost of attendance for four years at the University of Virginia plus coverage of the supplemental enrichment experiences. The scholarship also includes an extensive enrichment program which supports and nurtures these students throughout their four years at U.Va. Opportunities include:
Team Challenge Program
Institute for Leadership and Citizenship
Foreign Travel Studies
Alumni Connections Program
Career Counseling
Public Service Fellows
Enrichment Dinners and Receptions</t>
  </si>
  <si>
    <t>In-state: $15,714
Out-of-state: $45,058</t>
  </si>
  <si>
    <t>SAT Math 630-740
SAT Critical Reading 620-720 
SAT Writing 620-720</t>
  </si>
  <si>
    <t>4.23 (based on weighted GPAs)</t>
  </si>
  <si>
    <t>Virginia Commonwealth University</t>
  </si>
  <si>
    <t>In-state: $13,076
Out-of-state: $31,608</t>
  </si>
  <si>
    <t>SAT Math: 490-590
SAT Critical Reading: 500-610
SAT Writing: 480-590</t>
  </si>
  <si>
    <t>Provost Scholarship</t>
  </si>
  <si>
    <t>Arconic Community Scholarship is equal to the cost of in-state tuition and fees.</t>
  </si>
  <si>
    <t>1 every four years</t>
  </si>
  <si>
    <t>Dianne Nunnally Hoppes Scholarship Fund 2 is equal to the cost of in-state tuition, fees, room, board and books (awarded every four years to one student).</t>
  </si>
  <si>
    <t>Virginia Military Institute</t>
  </si>
  <si>
    <t>$5,000 to full tuition</t>
  </si>
  <si>
    <t>Institute Scholars Program
Institute Scholars may receive awards from $5,000 per academic year, up to and including the full cost of tuition and fees. In some cases, the total scholarship package includes other forms of financial aid (e.g., ROTC, Athletic, or other scholarship sources).
For consideration, candidates must meet the following criteria:
1350(combined) SAT (or) 31 ACT
High school GPA 3.7
High school rank top 10%
Complete both the VMI application and the Institute Scholar (IS) Application
Submit the IS Application along with a resume and the two essays</t>
  </si>
  <si>
    <t>In-state: $17,492
Out-of-state: $41,801</t>
  </si>
  <si>
    <t>SAT Math: 520-610 
SAT Critical Reading: 520-620 SAT Writing: Not Reported</t>
  </si>
  <si>
    <t>Virginia Polytechnic Institute and State University</t>
  </si>
  <si>
    <t>Virginia Tech has Army, Navy and Air Force ROTC programs offering full tuition plus scholarships.</t>
  </si>
  <si>
    <t>https://finaid.vt.edu/undergraduate/typesofaid/scholarships/military-scholarships.html</t>
  </si>
  <si>
    <t>In-state: $12,852
Out-of-state: $29,975</t>
  </si>
  <si>
    <t>SAT Math 560-680
SAT Critical Reading 540-640 
SAT Writing not reported</t>
  </si>
  <si>
    <t>First Generation/Underrepresented Students</t>
  </si>
  <si>
    <t>Calhoun Scholarships are merit scholarships available to incoming University Honors students who are first generation or from underrepresented groups. Variable award from $1,000 - to full tuition, fees, room and board annually.</t>
  </si>
  <si>
    <t>Humanities or Liberal Arts Majors</t>
  </si>
  <si>
    <t>CALHOUN LIBERAL ARTS SCHOLARSHIPS 
Merit scholarships available to incoming University Honors students who are majoring in the humanitites and liberal arts. Variable award from $1,000 - to full tuition, fees, room and board annually.</t>
  </si>
  <si>
    <t>McNamara Scholarships are merit scholarships available to incoming University Honors students from middle income families. Variable award from $1,000 - to full tuition, fees, room and board annually.</t>
  </si>
  <si>
    <t>Stamps Leadership Scholarship is a merit scholarship available to incoming University Honors students who exemplify leadership, perseverance, scholarship, service and innovation. This scholarship covers estimated cost of attendance for four years filling in after any other scholarships won.</t>
  </si>
  <si>
    <t>Washington and Lee University</t>
  </si>
  <si>
    <t>10% of incoming class</t>
  </si>
  <si>
    <t>The Johnson Scholarship
Winners of the Johnson Scholarship receive awards of at least tuition, room and board to attend Washington and Lee University. Students with financial need higher than this amount will have any additional need met by the scholarship. Every year Johnson Scholarships are awarded to approximately ten percent of the incoming class.
In addition, Johnson Scholars receive funding in the amount of $7,000 to support summer experiences during their time at Washington and Lee. Internships, volunteer experiences or research projects are just a few of the ways Johnson Scholars may use these funds to explore the world and their own potential for leadership.</t>
  </si>
  <si>
    <t>SAT Math: 660-740
SAT Writing: 650-730 SAT Critical Reading: 650-730</t>
  </si>
  <si>
    <t>Jewish Student; Overall Academic Performance; Extra-Curriculars</t>
  </si>
  <si>
    <t>The Max and Sylvia Weinstein Scholarship was established to recognize an entering first-year student with an exemplary academic and extracurricular record. It is a unique opportunity for students of the Jewish faith who hope to become involved in Washington and Lee's vibrant Jewish community. The scholarship is for full tuition and is renewable for four years of work at Washington and Lee, provided the recipient maintains a 3.3 grade point average.
To be considered for the Weinstein Scholarship - or any merit-based awards at W&amp;L - students must apply for the Johnson Scholarship Program. Because we do not always know students' religious background or their interest in joining a religious community in college, we ask those who wish to be considered for the Weinstein Scholarship to submit a brief statement of interest with their Johnson Scholarship application.</t>
  </si>
  <si>
    <t>Southern Louisiana/Mississippi Gulf Coast Area</t>
  </si>
  <si>
    <t>Overall Academic Performance; Extra-Curriculars</t>
  </si>
  <si>
    <t>The New Orleans Honor Scholarship was established to recognize entering first year students from the Southern Louisiana/Mississippi Gulf Coast area with exemplary academic and extracurricular records. This full tuition award is renewable for four years, provided the recipient maintains a 3.3 grade point average while enrolled at W&amp;L.</t>
  </si>
  <si>
    <t>Houston, TX Area</t>
  </si>
  <si>
    <t>The Houston Honor Scholarship was established to recognize entering first year students from the Houston, TX area with exemplary academic and extracurricular records. This full tuition award is renewable for four years, provided the recipient maintains a 3.3 grade point average while enrolled at W&amp;L.</t>
  </si>
  <si>
    <t>Dallas, TX Area</t>
  </si>
  <si>
    <t>The Dallas Honor Scholarship was established to recognize entering first year students from the Dallas, TX area with exemplary academic and extracurricular records. This full tuition award is renewable for four years, provided the recipient maintains a 3.3 grade point average while enrolled at W&amp;L</t>
  </si>
  <si>
    <t>Columbia, SC Area</t>
  </si>
  <si>
    <t>The Darnell W. Boyd Jr. Memorial Honor Scholarship was established to recognize entering first year students from the Columbia, SC area with exemplary academic and extracurricular records. This full tuition award is renewable for four years, provided the recipient maintains a 3.3 grade point average while enrolled at W&amp;L.</t>
  </si>
  <si>
    <t>VT</t>
  </si>
  <si>
    <t>Castleton State College</t>
  </si>
  <si>
    <t>Valedictorian Scholarship
Any individual who can provide proof of valedictorian status from a regionally accredited or state approved public or independent high school will be eligible for the full tuition Valedictorian Scholarship and may be invited to participate in honors programming. Class ranking must be provided on an official high school transcript. Students who enroll during the fall or spring semesters may be eligible. Conditions do apply. Contact admissions for details.</t>
  </si>
  <si>
    <t>In-state: $11,314
Out-of-state: $26,722</t>
  </si>
  <si>
    <t>SAT Math: 430-540 
SAT Writing: 420-520 SAT Critical Reading: 420-530</t>
  </si>
  <si>
    <t>Green Mountain College</t>
  </si>
  <si>
    <t>Commitment to conservation and sustainability, fellow humans or society</t>
  </si>
  <si>
    <t>Make A Difference Full Tuition Scholarship. This scholarship awarded to a student who demonstrates his/her significant contribution to a fellow human, to society or toward conservation and sustainability. To be considered for this award you must share the nomination form with someone who can recommend you for the award (teacher, mentor, adviser, etc.). Once the nomination is submitted, you will receive an application form and an essay prompt to complete.</t>
  </si>
  <si>
    <t>http://www.greenmtn.edu/admissions/undergraduate-admissions/financial-aid/application-based-scholarships/</t>
  </si>
  <si>
    <t>SAT Math: 460-530
SAT Writing: 430-580 SAT Critical Reading: 480-590</t>
  </si>
  <si>
    <t>Committment to Sustainability</t>
  </si>
  <si>
    <t>First in Sustainability Scholarship - The online application will require applicants to submit an essay, up to 800 words, describing:
What change you would like to make for a better and more sustainable world;
How an education at Green Mountain College will prepare you to make the change.</t>
  </si>
  <si>
    <t>St. Michael's College</t>
  </si>
  <si>
    <t>GPA/Test Scores; Class Rank; Overall Academic Performance</t>
  </si>
  <si>
    <t>Presidential Scholarship - To be eligible for the Presidential scholarship, students must be nominated by a Vermont high school and meet the following requirements:
A- average or higher in a challenging college preparatory high school curriculum;
Top 10% of graduating class;
Combined 1800 SAT (three-section SAT taken prior to March 2016), 1300 SAT (two-section SAT taken after March 2016) or 27 ACT test scores or higher.
In addition to SAT/ACT scores, GPA and curriculum, scholarship applicants will be evaluated based on their leadership qualities, commitment to community service and potential to contribute to the Saint Michael's community.  Students who do not wish to submit test scores (which are optional in the admission process) should understand that they will be competing with applicants who do submit test scores.</t>
  </si>
  <si>
    <t>SAT Math: 530-630
SAT Critical Reading: 540-630
SAT Writing: 530-630</t>
  </si>
  <si>
    <t>University of Vermont</t>
  </si>
  <si>
    <t>Air Force Reserve Officer Training Corps (ROTC) Scholarships covers full tuition and fees.</t>
  </si>
  <si>
    <t>In-state: $17,300
Out-of-state: $40,364</t>
  </si>
  <si>
    <t>SAT Math 550-640
SAT Critical Reading 550-650 
SAT Writing 540-650</t>
  </si>
  <si>
    <t>Army Reserve Officer Training Corps (ROTC) Scholarships covers full tuition and fees.</t>
  </si>
  <si>
    <t>Students from Select Vermont High Schools</t>
  </si>
  <si>
    <t>Green and Gold Scholars Award is full in-state tuition, four-year merit scholarship is directed to top-rated seniors attending selected Vermont high schools. The highest-achieving Vermont resident in each eligible school at the end of the junior year may be considered. Selection criteria will be determined by each high school, and should not be limited to standardized testing.</t>
  </si>
  <si>
    <t>WA</t>
  </si>
  <si>
    <t>Eastern Washington University</t>
  </si>
  <si>
    <t>US Army ROTC Scholarships: The ROTC program offers several scholarships: four-year, three and two-year scholarships for eligible students. Every scholarship provides full tuition, fees, along with funding for books, supplies and equipment. Scholarship winners also receive a tax free monthly stipend. To qualify, students must have a 19 ACT score or 1050 SAT total score and a 2.5 or higher GPA.</t>
  </si>
  <si>
    <t>In-state: $6,950
Out-of-state: $23,342</t>
  </si>
  <si>
    <t>SAT Math - 430-550 
SAT Critical Reading - 420-540 
SAT Writing - 410-520</t>
  </si>
  <si>
    <t>Evergreen State College</t>
  </si>
  <si>
    <t>Up to full in-state tuition (2 years)</t>
  </si>
  <si>
    <t>Cultural Diversity Award - Offered to new and currently enrolled students attending at least half time who can demonstrate the capacity to assist the college in achieving its commitment to cultural diversity. Students may receive this award for up to two academic years, but must reapply each year.</t>
  </si>
  <si>
    <t>http://www.evergreen.edu/scholarships/merit-award</t>
  </si>
  <si>
    <t>In-state: $7,414
Out-of-state: $23,887</t>
  </si>
  <si>
    <t>SAT Math - 450-560 
SAT Critical Reading - 490-630 
SAT Writing - 460-590</t>
  </si>
  <si>
    <t>Overall Academic Performance; National Merit Status</t>
  </si>
  <si>
    <t>Merit Award - Offered to new students attending full time who will graduate from 
high school who can provide evidence of being a 
National Merit Semi-Finalist Scholar.</t>
  </si>
  <si>
    <t>Gonzaga University</t>
  </si>
  <si>
    <t>Army Reserve Officer Training Corps (ROTC)Awarded to qualified individuals who are high performers with leadership potential. Additional funding available for ROTC Scholarship winners.</t>
  </si>
  <si>
    <t>SAT Math: 550-650
SAT Critical Reading: 540-640
SAT Writing: Not reported</t>
  </si>
  <si>
    <t>Tacoma, Seattle, Spokane Residents</t>
  </si>
  <si>
    <t>The Act Six Scholarship is for emerging urban and community leaders who want to use their college education to make a difference on campus and in their communities at home.</t>
  </si>
  <si>
    <t>Northwest University</t>
  </si>
  <si>
    <t>75% Tuition</t>
  </si>
  <si>
    <t xml:space="preserve">Provost -  Presidential &amp; Provost’s Scholars are selected through the invitational President’s Scholarship Competition, an on-campus two-day event held each spring.  Invitation criteria must be met prior to February 15.  The scholarship competition is limited to students who demonstrate highest academic achievement using the following baseline criteria. </t>
  </si>
  <si>
    <t>SAT Math - 430-550 
SAT Critical Reading - 440-560 
SAT Writing - 420-540</t>
  </si>
  <si>
    <t xml:space="preserve">Presidential -  Presidential &amp; Provost’s Scholars are selected through the invitational President’s Scholarship Competition, an on-campus two-day event held each spring.  Invitation criteria must be met prior to February 15.  The scholarship competition is limited to students who demonstrate highest academic achievement using the following baseline criteria. </t>
  </si>
  <si>
    <t>Pacific Lutheran University</t>
  </si>
  <si>
    <t>Army ROTC Scholarship – up to Full Tuition 
Amount: Up to full tuition plus room and board, book allowance and living stipend.</t>
  </si>
  <si>
    <t>SAT Math - 500-610 
SAT Critical Reading - 480-620 
SAT Writing - 470-600</t>
  </si>
  <si>
    <t>Qualified Veterans or Dependents</t>
  </si>
  <si>
    <t>Yellow Ribbon Scholarship – Full Tuition 
Eligibility: Qualified veterans or their dependents.</t>
  </si>
  <si>
    <t>Tacoma/Seattle WA Residents</t>
  </si>
  <si>
    <t>Act Six Scholarship – Full Tuition plus Full Need
Eligibility: PLU partners with Act Six to select high school seniors from the Tacoma-Seattle area who are passionate about their communities, eager to foster intercultural relationships, committed to service and leadership, and want to use their college education to make a difference on campus and in their communities at home.
Amount: Full tuition. Scholars with need beyond tuition will receive additional grant and work study to fully meet that need.
Number: PLU selects a cadre of seven Act Six Scholars each year.</t>
  </si>
  <si>
    <t>Regents’ Scholarships – Full Tuition
Eligibility: Students who have been selected for the President’s Scholarship only.
Amount: Full tuition, renewable for an additional three years of undergraduate study.
Number: 5 Regents’ Scholars are selected from the 125 President’s Scholars after an on-campus competitive faculty interview process.</t>
  </si>
  <si>
    <t>Seattle Pacific University</t>
  </si>
  <si>
    <t>Falcon Bound Commitment 
For eligible students in the Washington State College Bound Scholarship Program who receive 1220 or higher on the SAT, 25 composite or higher on the ACT, or cumulative high school GPA of 3.0 or higher.</t>
  </si>
  <si>
    <t>SAT Math: 490-610
SAT Critical Reading: 510-620
SAT Writing: Not reported</t>
  </si>
  <si>
    <t>Distinguished Scholar Award - Invitation Only</t>
  </si>
  <si>
    <t>Seattle University</t>
  </si>
  <si>
    <t>Overall Academic Performance; Leadership; Service; Communication Skills</t>
  </si>
  <si>
    <t>The Sullivan Leadership Award is a full scholarship that covers tuition, room and board for each of four years of undergraduate study at Seattle University and is awarded to nine incoming freshmen each year.</t>
  </si>
  <si>
    <t>SAT math: 530-640 
SAT critical reading: 530-640 
SAT writing: 530-630</t>
  </si>
  <si>
    <t>University of Puget Sound</t>
  </si>
  <si>
    <t>Selection for the Lillis Scholarship is highly competitive. Only two Lillis Scholarships will be awarded to freshmen entering the university each fall.
Successful candidates will demonstrate outstanding levels of academic achievement in high school and show considerable promise of excellence throughout their undergraduate years.
The Lillis Scholarship covers the cost of tuition, room, and board for up to four years of undergraduate education at the University of Puget Sound. Freshman recipients may renew the award for up to three additional years of undergraduate study. Renewal criteria include submission of a renewal application, full-time enrollment each semester, maintenance of a minimum 3.75 cumulative grade point average, and demonstration of preparation for pursuit of a competitive scholarship or fellowship.</t>
  </si>
  <si>
    <t>SAT Math: 540-660
SAT Writing: 550-660 SAT Critical Reading: 560-680</t>
  </si>
  <si>
    <t>Overall Academic Performance; Service; Leadership; Integrity; Motivation</t>
  </si>
  <si>
    <t>Selection for the Matelich Scholarship is highly competitive. Only two Matelich Scholarships will be awarded to freshmen entering the university each fall. Successful candidates demonstrate exceptional motivation, excellent academic potential, a commitment to service, outstanding integrity, and unmatched leadership potential. Matelich Scholars are recognized campus leaders and will continue on paths of leadership after they become alumni.
The Matelich Scholarship covers 100 percent of Puget Sound’s tuition and fees (room, board, and student government fee) for up to four years of undergraduate education at the University of Puget Sound. Freshman recipients may retain the award for up to three additional years of undergraduate study.</t>
  </si>
  <si>
    <t>University of Washington</t>
  </si>
  <si>
    <t>High school students can apply for a four or three year scholarship in the Department of Military Science as early as the summer after their junior year. Scholarships are merit-based and are awarded to those who excel academically, are physically fit, and possess outstanding leadership potential.</t>
  </si>
  <si>
    <t>In-state: $10,753
Out-of-state: $34,791</t>
  </si>
  <si>
    <t>SAT Math 580-710
SAT Critical Reading 540-660 
SAT Writing 530-650</t>
  </si>
  <si>
    <t>Walla Walla University</t>
  </si>
  <si>
    <t>NATIONAL MERIT SCHOLARS AWARD - Finalist (Presidential Scholarship)</t>
  </si>
  <si>
    <t>SAT Math - 450-590 
SAT Critical Reading - 470-600 
SAT Writing - 460-580</t>
  </si>
  <si>
    <t>Washington State University</t>
  </si>
  <si>
    <t>The WSU Regents Scholars Program recognizes Washington’s best high school students for their hard work and academic accomplishments. We invite high school educators and administrators to nominate your two most distinguished seniors for the Regents Scholar Program. All eligible nominees will receive a four-year Regents Program scholarship and have the opportunity to compete for a Distinguished Regents Scholar Award.</t>
  </si>
  <si>
    <t>In-state: $9,884
Out-of-state: $24,516</t>
  </si>
  <si>
    <t>SAT Math 470-580
SAT Critical Reading 460-570 
SAT Writing 440-550</t>
  </si>
  <si>
    <t>National Merit Scholarship - You’re eligible for this scholarship if you’re identified as a semifinalist by the National Merit Corporation and you’re admitted to WSU Pullman.  You could earn full tuition for up to four years.</t>
  </si>
  <si>
    <t>Western Washington University</t>
  </si>
  <si>
    <t>Overall Academic Performance; Financial Need; Leadership; Community Service</t>
  </si>
  <si>
    <t>Lorraine M. Mortimer ScholarshipRecognizes an entering freshman from Washington who demonstrates outstanding academic achievement, financial need, a history of community-oriented activities, and potential for leadership at Western Washington University. The award covers tuition and fees for four years. Recipients are identified through admission application materials; no separate application is necessary.</t>
  </si>
  <si>
    <t>In-state: $7,652
Out-of-state: $21,596</t>
  </si>
  <si>
    <t>SAT Math: 500-600
SAT Critical Reading: 500-610
SAT Writing: 470-580</t>
  </si>
  <si>
    <t>Whitman College</t>
  </si>
  <si>
    <t>Overall Academic Performance; Fine or Performing Arts or Humanities Talent; Financial Need</t>
  </si>
  <si>
    <t>The Eells scholarship - Awarded to an entering scholar who has financial need and demonstrates high academic achievement as well as some talent in the fine or performing arts or humanities. The Eells scholarship covers tuition and fees for four years, and includes a research grant.</t>
  </si>
  <si>
    <t>SAT Math: 600-700
SAT Critical Reading: 600-720
SAT Writing: 600-700</t>
  </si>
  <si>
    <t>WI</t>
  </si>
  <si>
    <t>Alverno College</t>
  </si>
  <si>
    <t>Roosevelt Scholarship recognizes a first-year student who has demonstrated excellence in leadership. The Roosevelt Scholar will receive a four-year, full-tuition scholarship to Alverno.</t>
  </si>
  <si>
    <t>Beloit College</t>
  </si>
  <si>
    <t>Beloit offers several full tuition scholarships each year to international students. Although these scholarships cover full tuition, it is important to keep in mind that the additional cost of room, board, fees, books, personal expenses, and travel are not included. We estimate that a student must have resources of about $11,000 per year to cover these expenses not included in the full tuition scholarship.</t>
  </si>
  <si>
    <t>SAT Math: 540-645 SAT Critical Reading: 540-695 SAT Writing: not reported</t>
  </si>
  <si>
    <t>Carroll University</t>
  </si>
  <si>
    <t>Overall Academic Performance; Leadership; Extra-Curricular Activities</t>
  </si>
  <si>
    <t>The recipient of the MacAllister-Yersin Scholarship will receive a full-tuition benefit each year for four years. This benefit, in combination with any state or federal grants the recipient is eligible for, cannot exceed the cost of tuition. The recipient is not eligible for additional Carroll scholarships or grants. Finalists (excluding the recipient) will be awarded a $1,000 per year Excellence Award in addition to the merit scholarship. The applicant must possess an outstanding academic record from high school and show strong potential for the same high achievement at the college level. Extracurricular activities and leadership experiences also will be considered.</t>
  </si>
  <si>
    <t>Carthage College</t>
  </si>
  <si>
    <t>$27,000 to full tuition</t>
  </si>
  <si>
    <t>BUSINESS SCHOLARSHIPS
(1) full tuition
(2) $27,000 per year 
One full-tuition scholarship and two $27,000 per year scholarships incorporating all Carthage assistance. To compete for these scholarships, students must apply to Carthage and return the completed Business Scholarship Program application by December 3.</t>
  </si>
  <si>
    <t xml:space="preserve">SAT Math: 500-660
SAT Critical Reading: 500-620 SAT Writing: not reported </t>
  </si>
  <si>
    <t>Kenosha County, WI Residents</t>
  </si>
  <si>
    <t>Graduates of Boys &amp; Girls Club of Kenosha University of Excellence Program</t>
  </si>
  <si>
    <t>Carthage College and the Boys &amp; Girls Club of Kenosha will offer one full-tuition scholarship each year at Carthage for a graduate of the club’s University of Excellence program. To be eligible for the Carthage College Boys &amp; Girls Club University of Excellence Scholarship, the program graduate also must be admitted to Carthage, have a composite ACT score of at least 23, have a minimum unweighted GPA of 3.0</t>
  </si>
  <si>
    <t>Kenosha, WI Residents</t>
  </si>
  <si>
    <t>Dependent of Kenosha police officer or firefighter</t>
  </si>
  <si>
    <t>KENOSHA POLICE/FIRE SCHOLARSHIP
(1) full tuition
One full-tuition scholarship is awarded to a dependent of a city of Kenosha police officer or firefighter. This scholarship incorporates all Carthage assistance. To compete, students must apply to Carthage and return the completed Police/Fire Scholarship application and essay postmarked no later than December 3, 2015.</t>
  </si>
  <si>
    <t>Overall Academic Performance; Leadership; Extra-Curricular Activities; On-Campus Competition</t>
  </si>
  <si>
    <t>KENOSHA SCHOLARSHIPS 
(8) full tuition 
Eight full-tuition scholarships awarded to Kenosha residents in recognition of the City of Kenosha’s agreement to lease parkland to the College for residence halls and student parking. These scholarships incorporate all Carthage assistance. To compete, students must apply to Carthage and return a completed Kenosha Scholarship application and essay postmarked no later than December 3, 2015.</t>
  </si>
  <si>
    <t>Math &amp; Science Majors; On-Campus Competition</t>
  </si>
  <si>
    <t>MATH/SCIENCE SCHOLARSHIPS 
(1) full tuition 
(2) 75%r year 
One full-tuition scholarship and two 75% year scholarships incorporating all Carthage assistance. To compete for these scholarships, students must apply to Carthage and return the completed Math/Science Scholarship Program application by December 3.</t>
  </si>
  <si>
    <t>75% Tuition to Full Ride</t>
  </si>
  <si>
    <t>THE PRESIDENTIAL SCHOLARSHIP PROGRAM
(35) 75% to full tuition, room and board
Open to all majors and awards 35 scholarships ranging from 75% tuition to full tuition, room and board. To compete for these scholarships, students must apply to Carthage and return the completed Presidential Scholarship Program application and required essay, postmarked or submitted online no later than December 3.</t>
  </si>
  <si>
    <t>Edgewood College</t>
  </si>
  <si>
    <t>Overall Academic Performance; Community Service; On-Campus Interview</t>
  </si>
  <si>
    <t>Distinguished Scholar Award (full tuition)
Awarded to students who qualify for the Presidential Scholarship (The average GPA for recipients is a 3.8 with an average ACT score of 28). Students with a strong interest in research, global learning, and community service will be invited to campus to interview for a full-tuition scholarship.</t>
  </si>
  <si>
    <t>SAT Math 483-560 SAT Critical Reading 448-598 SAT Writing not reported</t>
  </si>
  <si>
    <t>Lakeland College</t>
  </si>
  <si>
    <t>J. Garland Schilcutt Scholarship Awards a full tuition, renewable scholarship to a qualified business major entering as a full-time freshman. Requirements include a 3.0 high school GPA and a score of 24 or better on the ACT (or a 1680 or better on the SAT). On-campus interviews will be scheduled after a preliminary review of qualified applications. Application deadline of February 1.</t>
  </si>
  <si>
    <t>Lawrence University</t>
  </si>
  <si>
    <t>National Achievement Scholarships (up to full tuition)
For students who have been recognized by the National Achievement Scholarship program, Lawrence offers partial- to full-tuition scholarships. Be sure to indicate this honor on your application to Lawrence.</t>
  </si>
  <si>
    <t>SAT Math: 610-730
SAT Critical Reading: 560-690 SAT Writing: 580-690</t>
  </si>
  <si>
    <t>Marquette University</t>
  </si>
  <si>
    <t>Test Scores/GPA or Class Rank; Leadership; Community Service</t>
  </si>
  <si>
    <t>Marquette is pleased to offer the Burke Scholarship, a four-year, full-tuition scholarship to Marquette. This program recognizes, honors and encourages lifetime development of a humanitarian ethic manifested in a commitment to serve others. It is awarded annually to up to 10 academically talented Wisconsin high school seniors who exhibit leadership in a manner that reflects exceptional commitment to community.</t>
  </si>
  <si>
    <t>24–30</t>
  </si>
  <si>
    <t>SAT Math: 540-660
SAT Critical Reading: 530-640
SAT Writing: 510-640</t>
  </si>
  <si>
    <t>Engineering Major; First Generation College Student</t>
  </si>
  <si>
    <t>The Opus Scholars Award recognizes a combination of outstanding academic achievement, as well as significant need for two incoming engineering freshmen. The award is a full-tuition scholarship to Marquette.</t>
  </si>
  <si>
    <t>Milwaukee School of Engineering</t>
  </si>
  <si>
    <t>AIR FORCE ROTC 
Air Force ROTC scholarships cover your tuition and most lab fees. Also, you’ll receive an annual textbook allowance and up to a $500 spending cash monthly stipend. A variety of full and partial scholarships are available, and certain scholarships have specific requirements.</t>
  </si>
  <si>
    <t>SAT Math - 610-730 
SAT Critical Reading - Not Reported 
SAT Writing - Not reported</t>
  </si>
  <si>
    <t>NROTC SCHOLARSHIPS NROTC 
Selected applicants for the Four-Year NROTC Scholarship Program are awarded the scholarship through a highly competitive national selection process. Winners receive full tuition, books, fees and other financial benefits at many of the country’s leading colleges and universities, including MSOE. Upon graduation, midshipmen are commissioned as officers in the unrestricted line Naval Reserve or Marine Corps Reserve. The NROTC Four-Year Scholarship Program is available to qualified students who graduate from high school before Aug. 1 of the year they intend to start college. However, if this deadline is missed, students have the opportunity to earn two- or three-year scholarships as well.</t>
  </si>
  <si>
    <t>Mount Mary University</t>
  </si>
  <si>
    <t>GPA; Service; Extracurricular Activities</t>
  </si>
  <si>
    <t>The Caroline Scholars Program is a four-year scholarship program for first-year, full-time undergraduate students with a passion for social justice. This highly selective program provides challenging academic work, leadership development, service learning opportunities and financial assistance that covers full tuition, room and board.</t>
  </si>
  <si>
    <t>Ripon College</t>
  </si>
  <si>
    <t>Science or Math Major; Overall Academic Performance</t>
  </si>
  <si>
    <t>The Knop Science Scholarship is a prestigious four-year, full tuition scholarship based on 2017-2018 tuition figures. The Ripon College Knop Science Scholars Board convenes each year at the beginning of the second semester. The mission of the board is to identify high-achieving students who show the potential to contribute greatly to the science and mathematics departments at Ripon College as well as those who will benefit the most from special scholarly opportunities.</t>
  </si>
  <si>
    <t>SAT Math: 500-620
SAT Critical Reading: 450-640
SAT Writing: Not reported</t>
  </si>
  <si>
    <t>Silver Lake College</t>
  </si>
  <si>
    <t>Mother Generose Cahill Scholarship
Students will be invited to compete for this scholarship. Contact Admissions for details.</t>
  </si>
  <si>
    <t>14-20</t>
  </si>
  <si>
    <t>St. Norbert College</t>
  </si>
  <si>
    <t>Full tuition and other fees</t>
  </si>
  <si>
    <t>Army ROTC Scholarships 
Whether you’re a college-bound high school student or already attending a college or university, Army ROTC has scholarships available. Scholarships are awarded based on a student’s merit and grades, not financial need. Army ROTC scholarships consist of: 
Two-, three-, and four-year scholarship options based on the time remaining to complete your degree 
Full-tuition scholarships 
Room and board 
Additional allowances for books and fees 
Living Expenses 
Army ROTC scholarships also provide monthly living allowances for each school year. You can earn certain amounts depending on your level in the Army ROTC curriculum: 
1st year, $300 per month 
2nd year, $350 per month 
3rd year, $450 per month 
4th year, $500 per month 
This allowance is also available to all non-scholarship cadets enrolled in the Army ROTC Advanced Course (3rd and 4th years).</t>
  </si>
  <si>
    <t>University of Wisconsin - Oshkosh</t>
  </si>
  <si>
    <t>National Merit Finalist Scholarships
Amount:
Credit for resident tuition
Standard room and board
$800 book allowance
Awards are renewable with satisfactory academic performance
Non-Resident students may also qualify for the Titan scholarshp to cover the full out-of-state cost</t>
  </si>
  <si>
    <t>In-state: $7,594
Out-of-state: $15,167</t>
  </si>
  <si>
    <t>University of Wisconsin—​Platteville</t>
  </si>
  <si>
    <t>The Chancellor Scholarship is a highly competitive scholarship for students with a demonstrated commitment to education and leadership. Limited to 10 awards annually depending on funding available. The scholarship funds up to full tuition and fees.</t>
  </si>
  <si>
    <t>https://www.uwplatt.edu/financial-aid/chancellor-scholarship</t>
  </si>
  <si>
    <t>In-state: $7,604
Out-of-state: $15,454</t>
  </si>
  <si>
    <t>University of Wisconsin--Madison</t>
  </si>
  <si>
    <t>US Citizens</t>
  </si>
  <si>
    <t>Minority status or socioeconomically disadvantaged; Overall Academic Performance</t>
  </si>
  <si>
    <t>The Chancellor's Scholarship Program and Powers-Knapp Scholarship Program are merit-based, campus-wide scholarships awarded to academically outstanding and talented young people pursuing all majors. The Chancellor's and Powers-Knapp Scholarship Programs are committed to assisting scholars in their pursuit of personal and academic excellence during their undergraduate careers. Applicants must plan to enroll as a new freshman in the fall following graduation from high school</t>
  </si>
  <si>
    <t>In-state: $10,488
Out-of-state: $32,738</t>
  </si>
  <si>
    <t>SAT Math 630-760
SAT Critical Reading 560-660 
SAT Writing 600-690</t>
  </si>
  <si>
    <t>University of Wisconsin--River Falls</t>
  </si>
  <si>
    <t>Half Tuition to Full Tuition</t>
  </si>
  <si>
    <t>Chancellor's Scholarship is a renewable award for up to four years. Stipends can be used for undergraduate research or to study abroad during junior or senior year.</t>
  </si>
  <si>
    <t>In-state: $7,981
Out-of-state: $15,554</t>
  </si>
  <si>
    <t>SAT Math 413-538 SAT Critical Reading 430-535 SAT Writing 393-485</t>
  </si>
  <si>
    <t>Viterbo University</t>
  </si>
  <si>
    <t>Army ROTC 
Up to full tuition 
Based on select eligibility criteria. 
Deadline: Until all scholarships are awarded</t>
  </si>
  <si>
    <t>3.54 (based on weighted GPAs)</t>
  </si>
  <si>
    <t>WV</t>
  </si>
  <si>
    <t>Ohio Valley University</t>
  </si>
  <si>
    <t>Ohio Valley University offers Academic Scholarships to students who have at least a 21 ACT (or SAT equivalent) and a 3.0 cumulative high school GPA! Do you meet both of those criteria? If so, take your ACT Score (or SAT Equivalent) and multiply it by your High School GPA to get your Academic Factor. An academic factor of 128 or higher gets you Full Tuition</t>
  </si>
  <si>
    <t>SAT Math - 400-530 
SAT Critical Reading - 380-500 
SAT Writing - 370-480</t>
  </si>
  <si>
    <t>University of Charleston</t>
  </si>
  <si>
    <t>Presidential Scholarship - High School GPA of 3.8 or higher 
ACT 28 or SAT 1250 
Must live on campus 
Must interview with the President</t>
  </si>
  <si>
    <t>SAT Math - 443-530 
SAT Critical Reading - 430-520 
SAT Writing - Not reported</t>
  </si>
  <si>
    <t>West Liberty University</t>
  </si>
  <si>
    <t>Elbin - Full Ride</t>
  </si>
  <si>
    <t>In-state: $6,702
Out-of-state: $14,112</t>
  </si>
  <si>
    <t>SAT Math - 400-540 
SAT Critical Reading - 380-510 
SAT Writing - 330-520</t>
  </si>
  <si>
    <t>West Virginia University</t>
  </si>
  <si>
    <t>Foundation Scholarship</t>
  </si>
  <si>
    <t>http://financialaid.wvu.edu/home/scholarships/freshmen/residents#Foundation%20Scholarship</t>
  </si>
  <si>
    <t>In-state: $7,992
Out-of-state: $22,488</t>
  </si>
  <si>
    <t>SAT Math 470-580
SAT Critical Reading 460-560
SAT Writing not reported</t>
  </si>
  <si>
    <t>University Merit Scholarship is awarded to students named National Merit or Achievement Finalists who select WVU as their first choice for undergraduate study with the National Merit Corporation.</t>
  </si>
  <si>
    <t>http://financialaid.wvu.edu/home/scholarships/freshmen/residents#University%20Merit%20Scholarship</t>
  </si>
  <si>
    <t>http://financialaid.wvu.edu/home/scholarships/freshmen/non-residents#University%20Merit%20Scholarship%20NR</t>
  </si>
  <si>
    <t>Wheeling Jesuit University</t>
  </si>
  <si>
    <t>Stephen J. Laut, S.J. Memorial Scholarships 
Four year full-tuition scholarships are awarded each year to two winners of a competition among entering freshman who plan to enter the Laut Honors Program at Wheeling Jesuit University. The competition is open to high school seniors with the following qualifications: 3.5 cumulative high school grade point average and a combined score of 1100 on the SAT or composite score of 24 on the ACT.</t>
  </si>
  <si>
    <t>https://www.wju.edu/finaid/scholarships-grants.html</t>
  </si>
  <si>
    <t>SAT Math - 450-560 
SAT Critical Reading - 450-550 
SAT Writing - 440-510</t>
  </si>
  <si>
    <t>WY</t>
  </si>
  <si>
    <t>University of Wyoming</t>
  </si>
  <si>
    <t>Trustees Scholars - The University of Wyoming will recognize a limited number of Wyoming’s top resident graduating seniors for their academic achievement as recipients of the highly competitive Trustees’ Scholars Award. Recipients are evaluated on their academic excellence (high school GPA, test scores, and curriculum rigor). The Trustees’ Scholars award, when combined with the Hathaway Honors award, provides the equivalent cost of tuition and mandatory fees (up to 18 credit hours per semester, excluding summer sessions), double occupancy room, and an unlimited access dining plan.</t>
  </si>
  <si>
    <t>In-state: $5,055
Out-of-state: $16,215</t>
  </si>
  <si>
    <t>SAT Math 490-620 SAT Critical Reading 480-615 
SAT Writing not reported</t>
  </si>
  <si>
    <t>http://cms.bsu.edu/admissions/financial-aid-and-scholarships/types/scholarships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</si>
</sst>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quot;#,##0_);[Red]\(&quot;$&quot;#,##0\)"/>
    <numFmt numFmtId="165" formatCode="m/d"/>
    <numFmt numFmtId="166" formatCode="0.0"/>
    <numFmt numFmtId="167" formatCode="&quot;$&quot;#,##0"/>
    <numFmt numFmtId="168" formatCode="m\-d"/>
  </numFmts>
  <fonts count="67" x14ac:knownFonts="1">
    <font>
      <sz val="11"/>
      <color rgb="FF000000"/>
      <name val="Calibri"/>
    </font>
    <font>
      <sz val="11"/>
      <name val="Calibri"/>
    </font>
    <font>
      <sz val="11"/>
      <name val="Calibri"/>
    </font>
    <font>
      <b/>
      <u/>
      <sz val="11"/>
      <color rgb="FF4472C4"/>
      <name val="Calibri"/>
    </font>
    <font>
      <i/>
      <sz val="11"/>
      <name val="Calibri"/>
    </font>
    <font>
      <sz val="10"/>
      <name val="Arial"/>
    </font>
    <font>
      <sz val="12"/>
      <name val="Calibri"/>
    </font>
    <font>
      <u/>
      <sz val="11"/>
      <color rgb="FF0000FF"/>
      <name val="Calibri"/>
    </font>
    <font>
      <sz val="11"/>
      <name val="Arial"/>
    </font>
    <font>
      <sz val="10"/>
      <name val="Calibri"/>
    </font>
    <font>
      <u/>
      <sz val="11"/>
      <color rgb="FF0000FF"/>
      <name val="Calibri"/>
    </font>
    <font>
      <sz val="8"/>
      <name val="Arial"/>
    </font>
    <font>
      <u/>
      <sz val="10"/>
      <color rgb="FF0000FF"/>
      <name val="Arial"/>
    </font>
    <font>
      <u/>
      <sz val="11"/>
      <color rgb="FF000000"/>
      <name val="Calibri"/>
    </font>
    <font>
      <u/>
      <sz val="12"/>
      <color rgb="FF0000FF"/>
      <name val="Calibri"/>
    </font>
    <font>
      <sz val="9"/>
      <name val="Calibri"/>
    </font>
    <font>
      <u/>
      <sz val="11"/>
      <color rgb="FF0563C1"/>
      <name val="Calibri"/>
    </font>
    <font>
      <u/>
      <sz val="11"/>
      <name val="Calibri"/>
    </font>
    <font>
      <sz val="12"/>
      <color rgb="FF333333"/>
      <name val="Calibri"/>
    </font>
    <font>
      <u/>
      <sz val="10"/>
      <color rgb="FF0000FF"/>
      <name val="Arial"/>
    </font>
    <font>
      <u/>
      <sz val="10"/>
      <color rgb="FF0000FF"/>
      <name val="Arial"/>
    </font>
    <font>
      <u/>
      <sz val="11"/>
      <color rgb="FF0563C1"/>
      <name val="Calibri"/>
    </font>
    <font>
      <u/>
      <sz val="10"/>
      <name val="Arial"/>
    </font>
    <font>
      <sz val="8"/>
      <name val="Calibri"/>
    </font>
    <font>
      <u/>
      <sz val="10"/>
      <name val="Arial"/>
    </font>
    <font>
      <u/>
      <sz val="12"/>
      <name val="Calibri"/>
    </font>
    <font>
      <u/>
      <sz val="10"/>
      <color rgb="FF0000FF"/>
      <name val="Arial"/>
    </font>
    <font>
      <u/>
      <sz val="12"/>
      <color rgb="FF0000FF"/>
      <name val="Calibri"/>
    </font>
    <font>
      <sz val="12"/>
      <name val="Arial"/>
    </font>
    <font>
      <u/>
      <sz val="10"/>
      <color rgb="FF0000FF"/>
      <name val="Arial"/>
    </font>
    <font>
      <u/>
      <sz val="11"/>
      <color rgb="FF0000FF"/>
      <name val="Calibri"/>
    </font>
    <font>
      <sz val="12"/>
      <color rgb="FF000000"/>
      <name val="Work Sans"/>
    </font>
    <font>
      <sz val="9"/>
      <color rgb="FF000000"/>
      <name val="Calibri"/>
    </font>
    <font>
      <u/>
      <sz val="11"/>
      <color rgb="FF0000FF"/>
      <name val="Calibri"/>
    </font>
    <font>
      <sz val="9"/>
      <color rgb="FF413F3D"/>
      <name val="Calibri"/>
    </font>
    <font>
      <sz val="12"/>
      <color rgb="FF000000"/>
      <name val="Calibri"/>
    </font>
    <font>
      <u/>
      <sz val="11"/>
      <color rgb="FF1155CC"/>
      <name val="Arial"/>
    </font>
    <font>
      <u/>
      <sz val="11"/>
      <color rgb="FF1155CC"/>
      <name val="Arial"/>
    </font>
    <font>
      <sz val="11"/>
      <color rgb="FF000000"/>
      <name val="'Calibri'"/>
    </font>
    <font>
      <u/>
      <sz val="11"/>
      <color rgb="FF0000FF"/>
      <name val="Calibri"/>
    </font>
    <font>
      <u/>
      <sz val="11"/>
      <color rgb="FF0000FF"/>
      <name val="Calibri"/>
    </font>
    <font>
      <u/>
      <sz val="11"/>
      <color rgb="FF0000FF"/>
      <name val="Calibri"/>
    </font>
    <font>
      <u/>
      <sz val="9"/>
      <color rgb="FF0000FF"/>
      <name val="Calibri"/>
    </font>
    <font>
      <u/>
      <sz val="11"/>
      <color rgb="FF0000FF"/>
      <name val="Calibri"/>
    </font>
    <font>
      <u/>
      <sz val="12"/>
      <color rgb="FF0000FF"/>
      <name val="Calibri"/>
    </font>
    <font>
      <u/>
      <sz val="11"/>
      <color rgb="FF0000FF"/>
      <name val="Calibri"/>
    </font>
    <font>
      <u/>
      <sz val="11"/>
      <color rgb="FF0000FF"/>
      <name val="EB Garamond"/>
    </font>
    <font>
      <u/>
      <sz val="9"/>
      <color rgb="FF0000FF"/>
      <name val="Arial"/>
    </font>
    <font>
      <b/>
      <sz val="10"/>
      <color rgb="FFFF0000"/>
      <name val="Arial"/>
    </font>
    <font>
      <u/>
      <sz val="11"/>
      <color rgb="FF0000FF"/>
      <name val="Calibri"/>
    </font>
    <font>
      <u/>
      <sz val="11"/>
      <name val="Calibri"/>
    </font>
    <font>
      <u/>
      <sz val="12"/>
      <color rgb="FF0000FF"/>
      <name val="Calibri"/>
    </font>
    <font>
      <u/>
      <sz val="11"/>
      <color rgb="FF0000FF"/>
      <name val="Arial"/>
    </font>
    <font>
      <u/>
      <sz val="11"/>
      <color rgb="FF0000FF"/>
      <name val="Calibri"/>
    </font>
    <font>
      <u/>
      <sz val="11"/>
      <color rgb="FF0000FF"/>
      <name val="Calibri"/>
    </font>
    <font>
      <sz val="13"/>
      <name val="Calibri"/>
    </font>
    <font>
      <u/>
      <sz val="11"/>
      <color rgb="FF0000FF"/>
      <name val="Calibri"/>
    </font>
    <font>
      <u/>
      <sz val="11"/>
      <color rgb="FF1155CC"/>
      <name val="Arial"/>
    </font>
    <font>
      <u/>
      <sz val="11"/>
      <color rgb="FF0000FF"/>
      <name val="Calibri"/>
    </font>
    <font>
      <u/>
      <sz val="11"/>
      <color rgb="FF0000FF"/>
      <name val="Calibri"/>
    </font>
    <font>
      <sz val="11"/>
      <color rgb="FFFF0000"/>
      <name val="Calibri"/>
    </font>
    <font>
      <b/>
      <sz val="8"/>
      <name val="Arial"/>
    </font>
    <font>
      <b/>
      <sz val="10"/>
      <name val="Arial"/>
    </font>
    <font>
      <sz val="12"/>
      <color rgb="FF000000"/>
      <name val="Work_sans_mediumregular"/>
    </font>
    <font>
      <sz val="12"/>
      <color rgb="FF000000"/>
      <name val="Arial"/>
    </font>
    <font>
      <b/>
      <sz val="11"/>
      <color rgb="FFFF0000"/>
      <name val="Calibri"/>
    </font>
    <font>
      <b/>
      <sz val="11"/>
      <name val="Calibri"/>
    </font>
  </fonts>
  <fills count="5">
    <fill>
      <patternFill patternType="none"/>
    </fill>
    <fill>
      <patternFill patternType="gray125"/>
    </fill>
    <fill>
      <patternFill patternType="solid">
        <fgColor rgb="FFFFFFFF"/>
        <bgColor rgb="FFFFFFFF"/>
      </patternFill>
    </fill>
    <fill>
      <patternFill patternType="solid">
        <fgColor rgb="FFF3F3F3"/>
        <bgColor rgb="FFF3F3F3"/>
      </patternFill>
    </fill>
    <fill>
      <patternFill patternType="solid">
        <fgColor rgb="FFF2F2F2"/>
        <bgColor rgb="FFF2F2F2"/>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top/>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thick">
        <color rgb="FFCCCCCC"/>
      </right>
      <top style="medium">
        <color rgb="FFCCCCCC"/>
      </top>
      <bottom style="thick">
        <color rgb="FFCCCCCC"/>
      </bottom>
      <diagonal/>
    </border>
    <border>
      <left style="medium">
        <color rgb="FFCCCCCC"/>
      </left>
      <right style="thick">
        <color rgb="FFCCCCCC"/>
      </right>
      <top style="medium">
        <color rgb="FFCCCCCC"/>
      </top>
      <bottom style="medium">
        <color rgb="FFCCCCCC"/>
      </bottom>
      <diagonal/>
    </border>
    <border>
      <left style="medium">
        <color rgb="FFCCCCCC"/>
      </left>
      <right style="medium">
        <color rgb="FFCCCCCC"/>
      </right>
      <top style="medium">
        <color rgb="FFCCCCCC"/>
      </top>
      <bottom style="thick">
        <color rgb="FFCCCCCC"/>
      </bottom>
      <diagonal/>
    </border>
    <border>
      <left/>
      <right/>
      <top/>
      <bottom/>
      <diagonal/>
    </border>
    <border>
      <left style="medium">
        <color rgb="FFCCCCCC"/>
      </left>
      <right style="medium">
        <color rgb="FFCCCCCC"/>
      </right>
      <top style="medium">
        <color rgb="FFCCCCCC"/>
      </top>
      <bottom/>
      <diagonal/>
    </border>
  </borders>
  <cellStyleXfs count="1">
    <xf numFmtId="0" fontId="0" fillId="0" borderId="0"/>
  </cellStyleXfs>
  <cellXfs count="277">
    <xf numFmtId="0" fontId="0" fillId="0" borderId="0" xfId="0" applyFont="1" applyAlignment="1"/>
    <xf numFmtId="0" fontId="1" fillId="0" borderId="0" xfId="0" applyFont="1" applyAlignment="1"/>
    <xf numFmtId="0" fontId="0" fillId="0" borderId="0" xfId="0" applyFont="1" applyAlignment="1"/>
    <xf numFmtId="0" fontId="1" fillId="0" borderId="0" xfId="0" applyFont="1" applyAlignment="1">
      <alignment wrapText="1"/>
    </xf>
    <xf numFmtId="0" fontId="0" fillId="0" borderId="0" xfId="0" applyFont="1" applyAlignment="1"/>
    <xf numFmtId="14" fontId="2" fillId="0" borderId="0" xfId="0" applyNumberFormat="1" applyFont="1" applyAlignment="1"/>
    <xf numFmtId="0" fontId="0" fillId="0" borderId="0" xfId="0" applyFont="1" applyAlignment="1"/>
    <xf numFmtId="0" fontId="3" fillId="0" borderId="0" xfId="0" applyFont="1" applyAlignment="1"/>
    <xf numFmtId="0" fontId="1" fillId="0" borderId="0" xfId="0" applyFont="1" applyAlignment="1"/>
    <xf numFmtId="0" fontId="4" fillId="0" borderId="0" xfId="0" applyFont="1" applyAlignment="1"/>
    <xf numFmtId="0" fontId="0" fillId="0" borderId="0" xfId="0" applyFont="1" applyAlignment="1">
      <alignment wrapText="1"/>
    </xf>
    <xf numFmtId="0" fontId="5" fillId="0" borderId="1" xfId="0" applyFont="1" applyBorder="1" applyAlignment="1"/>
    <xf numFmtId="0" fontId="5" fillId="0" borderId="1" xfId="0" applyFont="1" applyBorder="1" applyAlignment="1">
      <alignment wrapText="1"/>
    </xf>
    <xf numFmtId="165" fontId="2" fillId="0" borderId="0" xfId="0" applyNumberFormat="1" applyFont="1" applyAlignment="1"/>
    <xf numFmtId="0" fontId="6" fillId="0" borderId="1" xfId="0" applyFont="1" applyBorder="1" applyAlignment="1">
      <alignment wrapText="1"/>
    </xf>
    <xf numFmtId="0" fontId="6" fillId="0" borderId="1" xfId="0" applyFont="1" applyBorder="1" applyAlignment="1"/>
    <xf numFmtId="0" fontId="6" fillId="0" borderId="1" xfId="0" applyFont="1" applyBorder="1" applyAlignment="1">
      <alignment wrapText="1"/>
    </xf>
    <xf numFmtId="0" fontId="5" fillId="0" borderId="1" xfId="0" applyFont="1" applyBorder="1" applyAlignment="1">
      <alignment wrapText="1"/>
    </xf>
    <xf numFmtId="0" fontId="6" fillId="0" borderId="1" xfId="0" applyFont="1" applyBorder="1" applyAlignment="1">
      <alignment horizontal="right" wrapText="1"/>
    </xf>
    <xf numFmtId="0" fontId="7" fillId="0" borderId="1" xfId="0" applyFont="1" applyBorder="1" applyAlignment="1">
      <alignment wrapText="1"/>
    </xf>
    <xf numFmtId="0" fontId="8" fillId="0" borderId="0" xfId="0" applyFont="1" applyAlignment="1"/>
    <xf numFmtId="9" fontId="8" fillId="0" borderId="0" xfId="0" applyNumberFormat="1" applyFont="1" applyAlignment="1">
      <alignment horizontal="right"/>
    </xf>
    <xf numFmtId="0" fontId="8" fillId="0" borderId="0" xfId="0" applyFont="1" applyAlignment="1">
      <alignment wrapText="1"/>
    </xf>
    <xf numFmtId="0" fontId="6" fillId="0" borderId="1" xfId="0" applyFont="1" applyBorder="1" applyAlignment="1"/>
    <xf numFmtId="0" fontId="6" fillId="0" borderId="1" xfId="0" applyFont="1" applyBorder="1" applyAlignment="1">
      <alignment horizontal="right" wrapText="1"/>
    </xf>
    <xf numFmtId="10" fontId="6" fillId="0" borderId="1" xfId="0" applyNumberFormat="1" applyFont="1" applyBorder="1" applyAlignment="1">
      <alignment horizontal="right" wrapText="1"/>
    </xf>
    <xf numFmtId="0" fontId="5" fillId="0" borderId="1" xfId="0" applyFont="1" applyBorder="1" applyAlignment="1">
      <alignment horizontal="left" wrapText="1"/>
    </xf>
    <xf numFmtId="0" fontId="9" fillId="0" borderId="1" xfId="0" applyFont="1" applyBorder="1" applyAlignment="1">
      <alignment horizontal="left" wrapText="1"/>
    </xf>
    <xf numFmtId="0" fontId="6" fillId="0" borderId="1" xfId="0" applyFont="1" applyBorder="1" applyAlignment="1">
      <alignment horizontal="right"/>
    </xf>
    <xf numFmtId="0" fontId="5" fillId="0" borderId="1" xfId="0" applyFont="1" applyBorder="1" applyAlignment="1">
      <alignment horizontal="left" wrapText="1"/>
    </xf>
    <xf numFmtId="0" fontId="10" fillId="0" borderId="1" xfId="0" applyFont="1" applyBorder="1" applyAlignment="1">
      <alignment wrapText="1"/>
    </xf>
    <xf numFmtId="10" fontId="5" fillId="0" borderId="1" xfId="0" applyNumberFormat="1" applyFont="1" applyBorder="1" applyAlignment="1">
      <alignment horizontal="left" wrapText="1"/>
    </xf>
    <xf numFmtId="0" fontId="11" fillId="0" borderId="1" xfId="0" applyFont="1" applyBorder="1" applyAlignment="1">
      <alignment horizontal="left" wrapText="1"/>
    </xf>
    <xf numFmtId="164" fontId="6" fillId="0" borderId="1" xfId="0" applyNumberFormat="1" applyFont="1" applyBorder="1" applyAlignment="1">
      <alignment horizontal="right" wrapText="1"/>
    </xf>
    <xf numFmtId="0" fontId="5" fillId="0" borderId="1" xfId="0" applyFont="1" applyBorder="1" applyAlignment="1">
      <alignment horizontal="left" vertical="top" wrapText="1"/>
    </xf>
    <xf numFmtId="0" fontId="5" fillId="0" borderId="1" xfId="0" applyFont="1" applyBorder="1" applyAlignment="1">
      <alignment horizontal="right"/>
    </xf>
    <xf numFmtId="0" fontId="5" fillId="0" borderId="1" xfId="0" applyFont="1" applyBorder="1" applyAlignment="1">
      <alignment horizontal="right" wrapText="1"/>
    </xf>
    <xf numFmtId="0" fontId="12" fillId="0" borderId="1" xfId="0" applyFont="1" applyBorder="1" applyAlignment="1">
      <alignment wrapText="1"/>
    </xf>
    <xf numFmtId="164" fontId="5" fillId="0" borderId="1" xfId="0" applyNumberFormat="1" applyFont="1" applyBorder="1" applyAlignment="1">
      <alignment horizontal="left" wrapText="1"/>
    </xf>
    <xf numFmtId="0" fontId="1" fillId="0" borderId="1" xfId="0" applyFont="1" applyBorder="1" applyAlignment="1"/>
    <xf numFmtId="0" fontId="1" fillId="0" borderId="1" xfId="0" applyFont="1" applyBorder="1" applyAlignment="1">
      <alignment wrapText="1"/>
    </xf>
    <xf numFmtId="164" fontId="1" fillId="0" borderId="1" xfId="0" applyNumberFormat="1" applyFont="1" applyBorder="1" applyAlignment="1">
      <alignment horizontal="right" wrapText="1"/>
    </xf>
    <xf numFmtId="10" fontId="1" fillId="0" borderId="1" xfId="0" applyNumberFormat="1" applyFont="1" applyBorder="1" applyAlignment="1">
      <alignment horizontal="right" wrapText="1"/>
    </xf>
    <xf numFmtId="0" fontId="0" fillId="0" borderId="0" xfId="0" applyFont="1" applyAlignment="1"/>
    <xf numFmtId="0" fontId="0" fillId="0" borderId="0" xfId="0" applyFont="1" applyAlignment="1">
      <alignment wrapText="1"/>
    </xf>
    <xf numFmtId="0" fontId="0" fillId="2" borderId="0" xfId="0" applyFont="1" applyFill="1" applyAlignment="1">
      <alignment wrapText="1"/>
    </xf>
    <xf numFmtId="0" fontId="13" fillId="0" borderId="0" xfId="0" applyFont="1" applyAlignment="1">
      <alignment wrapText="1"/>
    </xf>
    <xf numFmtId="164" fontId="0" fillId="0" borderId="0" xfId="0" applyNumberFormat="1" applyFont="1" applyAlignment="1">
      <alignment horizontal="right"/>
    </xf>
    <xf numFmtId="10" fontId="0" fillId="0" borderId="0" xfId="0" applyNumberFormat="1" applyFont="1" applyAlignment="1">
      <alignment horizontal="right"/>
    </xf>
    <xf numFmtId="0" fontId="14" fillId="0" borderId="1" xfId="0" applyFont="1" applyBorder="1" applyAlignment="1">
      <alignment wrapText="1"/>
    </xf>
    <xf numFmtId="0" fontId="6" fillId="0" borderId="1" xfId="0" applyFont="1" applyBorder="1" applyAlignment="1">
      <alignment vertical="top" wrapText="1"/>
    </xf>
    <xf numFmtId="0" fontId="6" fillId="0" borderId="1" xfId="0" applyFont="1" applyBorder="1" applyAlignment="1">
      <alignment horizontal="left" vertical="top" wrapText="1"/>
    </xf>
    <xf numFmtId="0" fontId="5" fillId="0" borderId="1" xfId="0" applyFont="1" applyBorder="1" applyAlignment="1">
      <alignment vertical="top" wrapText="1"/>
    </xf>
    <xf numFmtId="0" fontId="1" fillId="0" borderId="1" xfId="0" applyFont="1" applyBorder="1" applyAlignment="1">
      <alignment horizontal="left" wrapText="1"/>
    </xf>
    <xf numFmtId="164" fontId="1" fillId="0" borderId="1" xfId="0" applyNumberFormat="1" applyFont="1" applyBorder="1" applyAlignment="1">
      <alignment horizontal="left" wrapText="1"/>
    </xf>
    <xf numFmtId="9" fontId="1" fillId="0" borderId="1" xfId="0" applyNumberFormat="1" applyFont="1" applyBorder="1" applyAlignment="1">
      <alignment horizontal="left" wrapText="1"/>
    </xf>
    <xf numFmtId="0" fontId="15" fillId="0" borderId="1" xfId="0" applyFont="1" applyBorder="1" applyAlignment="1">
      <alignment wrapText="1"/>
    </xf>
    <xf numFmtId="10" fontId="5" fillId="0" borderId="1" xfId="0" applyNumberFormat="1" applyFont="1" applyBorder="1" applyAlignment="1">
      <alignment horizontal="right" wrapText="1"/>
    </xf>
    <xf numFmtId="9" fontId="6" fillId="0" borderId="1" xfId="0" applyNumberFormat="1" applyFont="1" applyBorder="1" applyAlignment="1">
      <alignment horizontal="right" wrapText="1"/>
    </xf>
    <xf numFmtId="0" fontId="16" fillId="0" borderId="1" xfId="0" applyFont="1" applyBorder="1" applyAlignment="1">
      <alignment wrapText="1"/>
    </xf>
    <xf numFmtId="9" fontId="1" fillId="0" borderId="1" xfId="0" applyNumberFormat="1" applyFont="1" applyBorder="1" applyAlignment="1">
      <alignment horizontal="right" wrapText="1"/>
    </xf>
    <xf numFmtId="0" fontId="6" fillId="0" borderId="1" xfId="0" applyFont="1" applyBorder="1" applyAlignment="1">
      <alignment horizontal="left" wrapText="1"/>
    </xf>
    <xf numFmtId="9" fontId="5" fillId="0" borderId="1" xfId="0" applyNumberFormat="1" applyFont="1" applyBorder="1" applyAlignment="1">
      <alignment horizontal="left" wrapText="1"/>
    </xf>
    <xf numFmtId="0" fontId="17" fillId="0" borderId="1" xfId="0" applyFont="1" applyBorder="1" applyAlignment="1">
      <alignment wrapText="1"/>
    </xf>
    <xf numFmtId="0" fontId="11" fillId="0" borderId="1" xfId="0" applyFont="1" applyBorder="1" applyAlignment="1">
      <alignment wrapText="1"/>
    </xf>
    <xf numFmtId="164" fontId="5" fillId="0" borderId="1" xfId="0" applyNumberFormat="1" applyFont="1" applyBorder="1" applyAlignment="1">
      <alignment horizontal="right" wrapText="1"/>
    </xf>
    <xf numFmtId="0" fontId="18" fillId="2" borderId="0" xfId="0" applyFont="1" applyFill="1" applyAlignment="1">
      <alignment wrapText="1"/>
    </xf>
    <xf numFmtId="0" fontId="19" fillId="0" borderId="1" xfId="0" applyFont="1" applyBorder="1" applyAlignment="1">
      <alignment wrapText="1"/>
    </xf>
    <xf numFmtId="9" fontId="5" fillId="0" borderId="1" xfId="0" applyNumberFormat="1" applyFont="1" applyBorder="1" applyAlignment="1">
      <alignment horizontal="right" wrapText="1"/>
    </xf>
    <xf numFmtId="0" fontId="1" fillId="0" borderId="1" xfId="0" applyFont="1" applyBorder="1" applyAlignment="1">
      <alignment wrapText="1"/>
    </xf>
    <xf numFmtId="0" fontId="20" fillId="0" borderId="1" xfId="0" applyFont="1" applyBorder="1" applyAlignment="1">
      <alignment horizontal="left" wrapText="1"/>
    </xf>
    <xf numFmtId="0" fontId="21" fillId="0" borderId="1" xfId="0" applyFont="1" applyBorder="1" applyAlignment="1">
      <alignment horizontal="left" wrapText="1"/>
    </xf>
    <xf numFmtId="16" fontId="5" fillId="0" borderId="1" xfId="0" applyNumberFormat="1" applyFont="1" applyBorder="1" applyAlignment="1">
      <alignment wrapText="1"/>
    </xf>
    <xf numFmtId="0" fontId="22" fillId="0" borderId="1" xfId="0" applyFont="1" applyBorder="1" applyAlignment="1">
      <alignment horizontal="left" wrapText="1"/>
    </xf>
    <xf numFmtId="0" fontId="23" fillId="0" borderId="1" xfId="0" applyFont="1" applyBorder="1" applyAlignment="1">
      <alignment wrapText="1"/>
    </xf>
    <xf numFmtId="0" fontId="24" fillId="0" borderId="1" xfId="0" applyFont="1" applyBorder="1" applyAlignment="1">
      <alignment wrapText="1"/>
    </xf>
    <xf numFmtId="0" fontId="9" fillId="0" borderId="1" xfId="0" applyFont="1" applyBorder="1" applyAlignment="1">
      <alignment horizontal="right" wrapText="1"/>
    </xf>
    <xf numFmtId="0" fontId="25" fillId="0" borderId="1" xfId="0" applyFont="1" applyBorder="1" applyAlignment="1">
      <alignment wrapText="1"/>
    </xf>
    <xf numFmtId="0" fontId="5" fillId="0" borderId="1" xfId="0" applyFont="1" applyBorder="1" applyAlignment="1"/>
    <xf numFmtId="0" fontId="26" fillId="0" borderId="1" xfId="0" applyFont="1" applyBorder="1" applyAlignment="1">
      <alignment wrapText="1"/>
    </xf>
    <xf numFmtId="0" fontId="5" fillId="0" borderId="1" xfId="0" applyFont="1" applyBorder="1" applyAlignment="1">
      <alignment horizontal="right" wrapText="1"/>
    </xf>
    <xf numFmtId="0" fontId="9" fillId="0" borderId="1" xfId="0" applyFont="1" applyBorder="1" applyAlignment="1">
      <alignment wrapText="1"/>
    </xf>
    <xf numFmtId="0" fontId="6" fillId="0" borderId="0" xfId="0" applyFont="1" applyAlignment="1"/>
    <xf numFmtId="0" fontId="6" fillId="0" borderId="0" xfId="0" applyFont="1" applyAlignment="1"/>
    <xf numFmtId="0" fontId="27" fillId="0" borderId="0" xfId="0" applyFont="1" applyAlignment="1"/>
    <xf numFmtId="164" fontId="6" fillId="0" borderId="0" xfId="0" applyNumberFormat="1" applyFont="1" applyAlignment="1"/>
    <xf numFmtId="0" fontId="6" fillId="0" borderId="0" xfId="0" applyFont="1" applyAlignment="1">
      <alignment wrapText="1"/>
    </xf>
    <xf numFmtId="0" fontId="28" fillId="0" borderId="1" xfId="0" applyFont="1" applyBorder="1" applyAlignment="1">
      <alignment wrapText="1"/>
    </xf>
    <xf numFmtId="164" fontId="6" fillId="0" borderId="1" xfId="0" applyNumberFormat="1" applyFont="1" applyBorder="1" applyAlignment="1">
      <alignment horizontal="right" wrapText="1"/>
    </xf>
    <xf numFmtId="9" fontId="6" fillId="0" borderId="1" xfId="0" applyNumberFormat="1" applyFont="1" applyBorder="1" applyAlignment="1">
      <alignment horizontal="right" wrapText="1"/>
    </xf>
    <xf numFmtId="0" fontId="5" fillId="0" borderId="1" xfId="0" applyFont="1" applyBorder="1" applyAlignment="1">
      <alignment horizontal="left" vertical="top" wrapText="1"/>
    </xf>
    <xf numFmtId="9" fontId="5" fillId="0" borderId="1" xfId="0" applyNumberFormat="1" applyFont="1" applyBorder="1" applyAlignment="1">
      <alignment wrapText="1"/>
    </xf>
    <xf numFmtId="166" fontId="5" fillId="0" borderId="1" xfId="0" applyNumberFormat="1" applyFont="1" applyBorder="1" applyAlignment="1">
      <alignment horizontal="left" wrapText="1"/>
    </xf>
    <xf numFmtId="10" fontId="5" fillId="0" borderId="1" xfId="0" applyNumberFormat="1" applyFont="1" applyBorder="1" applyAlignment="1">
      <alignment horizontal="left"/>
    </xf>
    <xf numFmtId="0" fontId="5" fillId="0" borderId="1" xfId="0" applyFont="1" applyBorder="1" applyAlignment="1">
      <alignment horizontal="left"/>
    </xf>
    <xf numFmtId="164" fontId="5" fillId="0" borderId="1" xfId="0" applyNumberFormat="1" applyFont="1" applyBorder="1" applyAlignment="1">
      <alignment wrapText="1"/>
    </xf>
    <xf numFmtId="167" fontId="5" fillId="0" borderId="1" xfId="0" applyNumberFormat="1" applyFont="1" applyBorder="1" applyAlignment="1">
      <alignment wrapText="1"/>
    </xf>
    <xf numFmtId="9" fontId="5" fillId="0" borderId="1" xfId="0" applyNumberFormat="1" applyFont="1" applyBorder="1" applyAlignment="1">
      <alignment horizontal="left"/>
    </xf>
    <xf numFmtId="0" fontId="6" fillId="0" borderId="1" xfId="0" applyFont="1" applyBorder="1" applyAlignment="1">
      <alignment horizontal="right"/>
    </xf>
    <xf numFmtId="10" fontId="1" fillId="0" borderId="1" xfId="0" applyNumberFormat="1" applyFont="1" applyBorder="1" applyAlignment="1">
      <alignment horizontal="left" wrapText="1"/>
    </xf>
    <xf numFmtId="0" fontId="5" fillId="3" borderId="1" xfId="0" applyFont="1" applyFill="1" applyBorder="1" applyAlignment="1"/>
    <xf numFmtId="0" fontId="5" fillId="3" borderId="1" xfId="0" applyFont="1" applyFill="1" applyBorder="1" applyAlignment="1">
      <alignment wrapText="1"/>
    </xf>
    <xf numFmtId="0" fontId="6" fillId="3" borderId="1" xfId="0" applyFont="1" applyFill="1" applyBorder="1" applyAlignment="1">
      <alignment wrapText="1"/>
    </xf>
    <xf numFmtId="0" fontId="5" fillId="3" borderId="1" xfId="0" applyFont="1" applyFill="1" applyBorder="1" applyAlignment="1">
      <alignment horizontal="right" wrapText="1"/>
    </xf>
    <xf numFmtId="0" fontId="29" fillId="3" borderId="1" xfId="0" applyFont="1" applyFill="1" applyBorder="1" applyAlignment="1">
      <alignment wrapText="1"/>
    </xf>
    <xf numFmtId="164" fontId="5" fillId="3" borderId="1" xfId="0" applyNumberFormat="1" applyFont="1" applyFill="1" applyBorder="1" applyAlignment="1">
      <alignment horizontal="right" wrapText="1"/>
    </xf>
    <xf numFmtId="10" fontId="5" fillId="3" borderId="1" xfId="0" applyNumberFormat="1" applyFont="1" applyFill="1" applyBorder="1" applyAlignment="1">
      <alignment horizontal="right" wrapText="1"/>
    </xf>
    <xf numFmtId="164" fontId="5" fillId="0" borderId="1" xfId="0" applyNumberFormat="1" applyFont="1" applyBorder="1" applyAlignment="1">
      <alignment horizontal="left" wrapText="1"/>
    </xf>
    <xf numFmtId="10" fontId="5" fillId="0" borderId="1" xfId="0" applyNumberFormat="1" applyFont="1" applyBorder="1" applyAlignment="1">
      <alignment horizontal="left" wrapText="1"/>
    </xf>
    <xf numFmtId="0" fontId="6" fillId="2" borderId="1" xfId="0" applyFont="1" applyFill="1" applyBorder="1" applyAlignment="1"/>
    <xf numFmtId="0" fontId="6" fillId="2" borderId="1" xfId="0" applyFont="1" applyFill="1" applyBorder="1" applyAlignment="1">
      <alignment wrapText="1"/>
    </xf>
    <xf numFmtId="0" fontId="0" fillId="2" borderId="2" xfId="0" applyFont="1" applyFill="1" applyBorder="1" applyAlignment="1"/>
    <xf numFmtId="0" fontId="5" fillId="2" borderId="1" xfId="0" applyFont="1" applyFill="1" applyBorder="1" applyAlignment="1">
      <alignment wrapText="1"/>
    </xf>
    <xf numFmtId="0" fontId="30" fillId="2" borderId="1" xfId="0" applyFont="1" applyFill="1" applyBorder="1" applyAlignment="1">
      <alignment wrapText="1"/>
    </xf>
    <xf numFmtId="10" fontId="6" fillId="2" borderId="1" xfId="0" applyNumberFormat="1" applyFont="1" applyFill="1" applyBorder="1" applyAlignment="1">
      <alignment horizontal="right" wrapText="1"/>
    </xf>
    <xf numFmtId="0" fontId="31" fillId="0" borderId="0" xfId="0" applyFont="1" applyAlignment="1">
      <alignment wrapText="1"/>
    </xf>
    <xf numFmtId="0" fontId="32" fillId="0" borderId="0" xfId="0" applyFont="1" applyAlignment="1">
      <alignment wrapText="1"/>
    </xf>
    <xf numFmtId="0" fontId="5" fillId="2" borderId="1" xfId="0" applyFont="1" applyFill="1" applyBorder="1" applyAlignment="1">
      <alignment wrapText="1"/>
    </xf>
    <xf numFmtId="0" fontId="9" fillId="2" borderId="1" xfId="0" applyFont="1" applyFill="1" applyBorder="1" applyAlignment="1">
      <alignment wrapText="1"/>
    </xf>
    <xf numFmtId="0" fontId="6" fillId="2" borderId="1" xfId="0" applyFont="1" applyFill="1" applyBorder="1" applyAlignment="1">
      <alignment horizontal="right" wrapText="1"/>
    </xf>
    <xf numFmtId="0" fontId="6" fillId="2" borderId="1" xfId="0" applyFont="1" applyFill="1" applyBorder="1" applyAlignment="1">
      <alignment horizontal="right" wrapText="1"/>
    </xf>
    <xf numFmtId="0" fontId="33" fillId="2" borderId="1" xfId="0" applyFont="1" applyFill="1" applyBorder="1" applyAlignment="1">
      <alignment wrapText="1"/>
    </xf>
    <xf numFmtId="0" fontId="15" fillId="0" borderId="1" xfId="0" applyFont="1" applyBorder="1" applyAlignment="1">
      <alignment wrapText="1"/>
    </xf>
    <xf numFmtId="0" fontId="34" fillId="2" borderId="0" xfId="0" applyFont="1" applyFill="1" applyAlignment="1">
      <alignment wrapText="1"/>
    </xf>
    <xf numFmtId="164" fontId="6" fillId="2" borderId="1" xfId="0" applyNumberFormat="1" applyFont="1" applyFill="1" applyBorder="1" applyAlignment="1">
      <alignment horizontal="right" wrapText="1"/>
    </xf>
    <xf numFmtId="9" fontId="6" fillId="2" borderId="1" xfId="0" applyNumberFormat="1" applyFont="1" applyFill="1" applyBorder="1" applyAlignment="1">
      <alignment horizontal="right" wrapText="1"/>
    </xf>
    <xf numFmtId="0" fontId="5" fillId="2" borderId="1" xfId="0" applyFont="1" applyFill="1" applyBorder="1" applyAlignment="1">
      <alignment horizontal="left" vertical="top" wrapText="1"/>
    </xf>
    <xf numFmtId="0" fontId="11" fillId="0" borderId="1" xfId="0" applyFont="1" applyBorder="1" applyAlignment="1">
      <alignment horizontal="left" wrapText="1"/>
    </xf>
    <xf numFmtId="0" fontId="6" fillId="2" borderId="1" xfId="0" applyFont="1" applyFill="1" applyBorder="1" applyAlignment="1">
      <alignment wrapText="1"/>
    </xf>
    <xf numFmtId="0" fontId="9" fillId="0" borderId="1" xfId="0" applyFont="1" applyBorder="1" applyAlignment="1">
      <alignment wrapText="1"/>
    </xf>
    <xf numFmtId="0" fontId="35" fillId="2" borderId="0" xfId="0" applyFont="1" applyFill="1" applyAlignment="1">
      <alignment wrapText="1"/>
    </xf>
    <xf numFmtId="0" fontId="8" fillId="0" borderId="0" xfId="0" applyFont="1" applyAlignment="1">
      <alignment wrapText="1"/>
    </xf>
    <xf numFmtId="0" fontId="8" fillId="0" borderId="0" xfId="0" applyFont="1" applyAlignment="1">
      <alignment horizontal="right"/>
    </xf>
    <xf numFmtId="0" fontId="36" fillId="0" borderId="0" xfId="0" applyFont="1" applyAlignment="1"/>
    <xf numFmtId="167" fontId="8" fillId="0" borderId="0" xfId="0" applyNumberFormat="1" applyFont="1" applyAlignment="1">
      <alignment horizontal="right"/>
    </xf>
    <xf numFmtId="0" fontId="8" fillId="0" borderId="0" xfId="0" applyFont="1" applyAlignment="1"/>
    <xf numFmtId="168" fontId="5" fillId="0" borderId="1" xfId="0" applyNumberFormat="1" applyFont="1" applyBorder="1" applyAlignment="1">
      <alignment wrapText="1"/>
    </xf>
    <xf numFmtId="0" fontId="2" fillId="0" borderId="0" xfId="0" applyFont="1" applyAlignment="1">
      <alignment wrapText="1"/>
    </xf>
    <xf numFmtId="0" fontId="2" fillId="0" borderId="0" xfId="0" applyFont="1" applyAlignment="1"/>
    <xf numFmtId="0" fontId="5" fillId="0" borderId="0" xfId="0" applyFont="1" applyAlignment="1">
      <alignment wrapText="1"/>
    </xf>
    <xf numFmtId="0" fontId="8" fillId="0" borderId="0" xfId="0" applyFont="1" applyAlignment="1">
      <alignment horizontal="right"/>
    </xf>
    <xf numFmtId="0" fontId="8" fillId="0" borderId="0" xfId="0" applyFont="1" applyAlignment="1">
      <alignment horizontal="right"/>
    </xf>
    <xf numFmtId="0" fontId="8" fillId="0" borderId="0" xfId="0" applyFont="1" applyAlignment="1"/>
    <xf numFmtId="0" fontId="37" fillId="0" borderId="0" xfId="0" applyFont="1" applyAlignment="1"/>
    <xf numFmtId="9" fontId="8" fillId="0" borderId="0" xfId="0" applyNumberFormat="1" applyFont="1" applyAlignment="1">
      <alignment horizontal="right" wrapText="1"/>
    </xf>
    <xf numFmtId="0" fontId="38" fillId="0" borderId="0" xfId="0" applyFont="1" applyAlignment="1">
      <alignment wrapText="1"/>
    </xf>
    <xf numFmtId="0" fontId="11" fillId="0" borderId="1" xfId="0" applyFont="1" applyBorder="1" applyAlignment="1">
      <alignment wrapText="1"/>
    </xf>
    <xf numFmtId="0" fontId="35" fillId="2" borderId="0" xfId="0" applyFont="1" applyFill="1" applyAlignment="1">
      <alignment horizontal="left" wrapText="1"/>
    </xf>
    <xf numFmtId="168" fontId="5" fillId="2" borderId="1" xfId="0" applyNumberFormat="1" applyFont="1" applyFill="1" applyBorder="1" applyAlignment="1">
      <alignment wrapText="1"/>
    </xf>
    <xf numFmtId="0" fontId="5" fillId="2" borderId="1" xfId="0" applyFont="1" applyFill="1" applyBorder="1" applyAlignment="1"/>
    <xf numFmtId="0" fontId="5" fillId="2" borderId="1" xfId="0" applyFont="1" applyFill="1" applyBorder="1" applyAlignment="1">
      <alignment horizontal="left" wrapText="1"/>
    </xf>
    <xf numFmtId="10" fontId="5" fillId="2" borderId="1" xfId="0" applyNumberFormat="1" applyFont="1" applyFill="1" applyBorder="1" applyAlignment="1">
      <alignment horizontal="left" wrapText="1"/>
    </xf>
    <xf numFmtId="0" fontId="1" fillId="2" borderId="1" xfId="0" applyFont="1" applyFill="1" applyBorder="1" applyAlignment="1"/>
    <xf numFmtId="0" fontId="1" fillId="2" borderId="1" xfId="0" applyFont="1" applyFill="1" applyBorder="1" applyAlignment="1">
      <alignment wrapText="1"/>
    </xf>
    <xf numFmtId="0" fontId="1" fillId="2" borderId="1" xfId="0" applyFont="1" applyFill="1" applyBorder="1" applyAlignment="1">
      <alignment wrapText="1"/>
    </xf>
    <xf numFmtId="0" fontId="1" fillId="2" borderId="1" xfId="0" applyFont="1" applyFill="1" applyBorder="1" applyAlignment="1"/>
    <xf numFmtId="0" fontId="1" fillId="2" borderId="1" xfId="0" applyFont="1" applyFill="1" applyBorder="1" applyAlignment="1">
      <alignment horizontal="right"/>
    </xf>
    <xf numFmtId="0" fontId="39" fillId="2" borderId="1" xfId="0" applyFont="1" applyFill="1" applyBorder="1" applyAlignment="1"/>
    <xf numFmtId="0" fontId="1" fillId="0" borderId="1" xfId="0" applyFont="1" applyBorder="1" applyAlignment="1"/>
    <xf numFmtId="0" fontId="1" fillId="0" borderId="1" xfId="0" applyFont="1" applyBorder="1" applyAlignment="1">
      <alignment horizontal="right"/>
    </xf>
    <xf numFmtId="0" fontId="40" fillId="0" borderId="1" xfId="0" applyFont="1" applyBorder="1" applyAlignment="1"/>
    <xf numFmtId="0" fontId="41" fillId="0" borderId="1" xfId="0" applyFont="1" applyBorder="1" applyAlignment="1">
      <alignment horizontal="left" wrapText="1"/>
    </xf>
    <xf numFmtId="0" fontId="42" fillId="2" borderId="1" xfId="0" applyFont="1" applyFill="1" applyBorder="1" applyAlignment="1">
      <alignment wrapText="1"/>
    </xf>
    <xf numFmtId="0" fontId="43" fillId="0" borderId="1" xfId="0" applyFont="1" applyBorder="1" applyAlignment="1">
      <alignment wrapText="1"/>
    </xf>
    <xf numFmtId="167" fontId="1" fillId="0" borderId="1" xfId="0" applyNumberFormat="1" applyFont="1" applyBorder="1" applyAlignment="1">
      <alignment horizontal="right"/>
    </xf>
    <xf numFmtId="10" fontId="1" fillId="0" borderId="1" xfId="0" applyNumberFormat="1" applyFont="1" applyBorder="1" applyAlignment="1">
      <alignment horizontal="right"/>
    </xf>
    <xf numFmtId="0" fontId="1" fillId="0" borderId="1" xfId="0" applyFont="1" applyBorder="1" applyAlignment="1">
      <alignment horizontal="right" wrapText="1"/>
    </xf>
    <xf numFmtId="0" fontId="1" fillId="0" borderId="1" xfId="0" applyFont="1" applyBorder="1" applyAlignment="1">
      <alignment horizontal="right" wrapText="1"/>
    </xf>
    <xf numFmtId="0" fontId="6" fillId="2" borderId="1" xfId="0" applyFont="1" applyFill="1" applyBorder="1" applyAlignment="1"/>
    <xf numFmtId="164" fontId="8" fillId="0" borderId="0" xfId="0" applyNumberFormat="1" applyFont="1" applyAlignment="1">
      <alignment wrapText="1"/>
    </xf>
    <xf numFmtId="0" fontId="5" fillId="2" borderId="1" xfId="0" applyFont="1" applyFill="1" applyBorder="1" applyAlignment="1">
      <alignment vertical="top" wrapText="1"/>
    </xf>
    <xf numFmtId="0" fontId="11" fillId="2" borderId="1" xfId="0" applyFont="1" applyFill="1" applyBorder="1" applyAlignment="1">
      <alignment wrapText="1"/>
    </xf>
    <xf numFmtId="164" fontId="5" fillId="2" borderId="1" xfId="0" applyNumberFormat="1" applyFont="1" applyFill="1" applyBorder="1" applyAlignment="1">
      <alignment horizontal="left" wrapText="1"/>
    </xf>
    <xf numFmtId="0" fontId="15" fillId="2" borderId="1" xfId="0" applyFont="1" applyFill="1" applyBorder="1" applyAlignment="1">
      <alignment wrapText="1"/>
    </xf>
    <xf numFmtId="10" fontId="5" fillId="2" borderId="1" xfId="0" applyNumberFormat="1" applyFont="1" applyFill="1" applyBorder="1" applyAlignment="1">
      <alignment horizontal="left"/>
    </xf>
    <xf numFmtId="0" fontId="5" fillId="2" borderId="1" xfId="0" applyFont="1" applyFill="1" applyBorder="1" applyAlignment="1">
      <alignment horizontal="left"/>
    </xf>
    <xf numFmtId="0" fontId="15" fillId="0" borderId="1" xfId="0" applyFont="1" applyBorder="1" applyAlignment="1">
      <alignment horizontal="left" wrapText="1"/>
    </xf>
    <xf numFmtId="0" fontId="1" fillId="2" borderId="1" xfId="0" applyFont="1" applyFill="1" applyBorder="1" applyAlignment="1">
      <alignment horizontal="left" wrapText="1"/>
    </xf>
    <xf numFmtId="0" fontId="6" fillId="2" borderId="1" xfId="0" applyFont="1" applyFill="1" applyBorder="1" applyAlignment="1">
      <alignment horizontal="right"/>
    </xf>
    <xf numFmtId="164" fontId="8" fillId="0" borderId="0" xfId="0" applyNumberFormat="1" applyFont="1" applyAlignment="1"/>
    <xf numFmtId="0" fontId="9" fillId="2" borderId="1" xfId="0" applyFont="1" applyFill="1" applyBorder="1" applyAlignment="1">
      <alignment wrapText="1"/>
    </xf>
    <xf numFmtId="0" fontId="6" fillId="0" borderId="1" xfId="0" applyFont="1" applyBorder="1" applyAlignment="1">
      <alignment horizontal="left" wrapText="1"/>
    </xf>
    <xf numFmtId="10" fontId="6" fillId="0" borderId="1" xfId="0" applyNumberFormat="1" applyFont="1" applyBorder="1" applyAlignment="1">
      <alignment horizontal="left" wrapText="1"/>
    </xf>
    <xf numFmtId="164" fontId="6" fillId="0" borderId="1" xfId="0" applyNumberFormat="1" applyFont="1" applyBorder="1" applyAlignment="1">
      <alignment horizontal="left" wrapText="1"/>
    </xf>
    <xf numFmtId="0" fontId="44" fillId="0" borderId="0" xfId="0" applyFont="1" applyAlignment="1">
      <alignment wrapText="1"/>
    </xf>
    <xf numFmtId="0" fontId="45" fillId="0" borderId="0" xfId="0" applyFont="1" applyAlignment="1">
      <alignment wrapText="1"/>
    </xf>
    <xf numFmtId="167" fontId="6" fillId="0" borderId="1" xfId="0" applyNumberFormat="1" applyFont="1" applyBorder="1" applyAlignment="1">
      <alignment wrapText="1"/>
    </xf>
    <xf numFmtId="0" fontId="46" fillId="0" borderId="1" xfId="0" applyFont="1" applyBorder="1" applyAlignment="1">
      <alignment horizontal="left"/>
    </xf>
    <xf numFmtId="0" fontId="8" fillId="0" borderId="0" xfId="0" applyFont="1" applyAlignment="1"/>
    <xf numFmtId="0" fontId="8" fillId="0" borderId="0" xfId="0" applyFont="1" applyAlignment="1"/>
    <xf numFmtId="0" fontId="5" fillId="0" borderId="0" xfId="0" applyFont="1" applyAlignment="1"/>
    <xf numFmtId="0" fontId="5" fillId="0" borderId="0" xfId="0" applyFont="1" applyAlignment="1">
      <alignment wrapText="1"/>
    </xf>
    <xf numFmtId="0" fontId="5" fillId="0" borderId="0" xfId="0" applyFont="1" applyAlignment="1">
      <alignment horizontal="left" wrapText="1"/>
    </xf>
    <xf numFmtId="0" fontId="5" fillId="0" borderId="0" xfId="0" applyFont="1" applyAlignment="1">
      <alignment wrapText="1"/>
    </xf>
    <xf numFmtId="164" fontId="5" fillId="0" borderId="0" xfId="0" applyNumberFormat="1" applyFont="1" applyAlignment="1">
      <alignment horizontal="left" wrapText="1"/>
    </xf>
    <xf numFmtId="10" fontId="5" fillId="0" borderId="0" xfId="0" applyNumberFormat="1" applyFont="1" applyAlignment="1">
      <alignment horizontal="left" wrapText="1"/>
    </xf>
    <xf numFmtId="0" fontId="5" fillId="0" borderId="0" xfId="0" applyFont="1" applyAlignment="1">
      <alignment horizontal="left" wrapText="1"/>
    </xf>
    <xf numFmtId="0" fontId="5" fillId="2" borderId="1" xfId="0" applyFont="1" applyFill="1" applyBorder="1" applyAlignment="1">
      <alignment horizontal="left" wrapText="1"/>
    </xf>
    <xf numFmtId="0" fontId="47" fillId="2" borderId="1" xfId="0" applyFont="1" applyFill="1" applyBorder="1" applyAlignment="1">
      <alignment horizontal="left"/>
    </xf>
    <xf numFmtId="10" fontId="8" fillId="0" borderId="0" xfId="0" applyNumberFormat="1" applyFont="1" applyAlignment="1"/>
    <xf numFmtId="0" fontId="0" fillId="2" borderId="0" xfId="0" applyFont="1" applyFill="1" applyAlignment="1">
      <alignment wrapText="1"/>
    </xf>
    <xf numFmtId="10" fontId="5" fillId="0" borderId="1" xfId="0" applyNumberFormat="1" applyFont="1" applyBorder="1" applyAlignment="1">
      <alignment horizontal="right" vertical="top" wrapText="1"/>
    </xf>
    <xf numFmtId="0" fontId="48" fillId="0" borderId="1" xfId="0" applyFont="1" applyBorder="1" applyAlignment="1">
      <alignment wrapText="1"/>
    </xf>
    <xf numFmtId="0" fontId="28" fillId="0" borderId="1" xfId="0" applyFont="1" applyBorder="1" applyAlignment="1">
      <alignment wrapText="1"/>
    </xf>
    <xf numFmtId="0" fontId="28" fillId="0" borderId="1" xfId="0" applyFont="1" applyBorder="1" applyAlignment="1">
      <alignment horizontal="left" vertical="top" wrapText="1"/>
    </xf>
    <xf numFmtId="0" fontId="6" fillId="0" borderId="0" xfId="0" applyFont="1" applyAlignment="1">
      <alignment wrapText="1"/>
    </xf>
    <xf numFmtId="0" fontId="6" fillId="0" borderId="0" xfId="0" applyFont="1" applyAlignment="1">
      <alignment horizontal="right" wrapText="1"/>
    </xf>
    <xf numFmtId="0" fontId="49" fillId="0" borderId="0" xfId="0" applyFont="1" applyAlignment="1">
      <alignment wrapText="1"/>
    </xf>
    <xf numFmtId="10" fontId="1" fillId="0" borderId="1" xfId="0" applyNumberFormat="1" applyFont="1" applyBorder="1" applyAlignment="1">
      <alignment horizontal="left"/>
    </xf>
    <xf numFmtId="0" fontId="15" fillId="2" borderId="1" xfId="0" applyFont="1" applyFill="1" applyBorder="1" applyAlignment="1">
      <alignment wrapText="1"/>
    </xf>
    <xf numFmtId="0" fontId="50" fillId="2" borderId="1" xfId="0" applyFont="1" applyFill="1" applyBorder="1" applyAlignment="1">
      <alignment wrapText="1"/>
    </xf>
    <xf numFmtId="9" fontId="5" fillId="2" borderId="1" xfId="0" applyNumberFormat="1" applyFont="1" applyFill="1" applyBorder="1" applyAlignment="1">
      <alignment horizontal="left"/>
    </xf>
    <xf numFmtId="0" fontId="9" fillId="0" borderId="1" xfId="0" applyFont="1" applyBorder="1" applyAlignment="1">
      <alignment horizontal="left" wrapText="1"/>
    </xf>
    <xf numFmtId="10" fontId="6" fillId="0" borderId="1" xfId="0" applyNumberFormat="1" applyFont="1" applyBorder="1" applyAlignment="1">
      <alignment wrapText="1"/>
    </xf>
    <xf numFmtId="164" fontId="5" fillId="0" borderId="1" xfId="0" applyNumberFormat="1" applyFont="1" applyBorder="1" applyAlignment="1">
      <alignment horizontal="right" wrapText="1"/>
    </xf>
    <xf numFmtId="164" fontId="1" fillId="0" borderId="1" xfId="0" applyNumberFormat="1" applyFont="1" applyBorder="1" applyAlignment="1">
      <alignment horizontal="right" wrapText="1"/>
    </xf>
    <xf numFmtId="0" fontId="51" fillId="0" borderId="1" xfId="0" applyFont="1" applyBorder="1" applyAlignment="1">
      <alignment wrapText="1"/>
    </xf>
    <xf numFmtId="0" fontId="5" fillId="2" borderId="3" xfId="0" applyFont="1" applyFill="1" applyBorder="1" applyAlignment="1">
      <alignment wrapText="1"/>
    </xf>
    <xf numFmtId="0" fontId="5" fillId="2" borderId="4" xfId="0" applyFont="1" applyFill="1" applyBorder="1" applyAlignment="1">
      <alignment wrapText="1"/>
    </xf>
    <xf numFmtId="0" fontId="28" fillId="0" borderId="1" xfId="0" applyFont="1" applyBorder="1" applyAlignment="1"/>
    <xf numFmtId="0" fontId="52" fillId="0" borderId="1" xfId="0" applyFont="1" applyBorder="1" applyAlignment="1">
      <alignment wrapText="1"/>
    </xf>
    <xf numFmtId="164" fontId="28" fillId="0" borderId="1" xfId="0" applyNumberFormat="1" applyFont="1" applyBorder="1" applyAlignment="1">
      <alignment horizontal="right" wrapText="1"/>
    </xf>
    <xf numFmtId="10" fontId="28" fillId="0" borderId="1" xfId="0" applyNumberFormat="1" applyFont="1" applyBorder="1" applyAlignment="1">
      <alignment horizontal="right" wrapText="1"/>
    </xf>
    <xf numFmtId="9" fontId="6" fillId="0" borderId="1" xfId="0" applyNumberFormat="1" applyFont="1" applyBorder="1" applyAlignment="1">
      <alignment wrapText="1"/>
    </xf>
    <xf numFmtId="0" fontId="53" fillId="2" borderId="1" xfId="0" applyFont="1" applyFill="1" applyBorder="1" applyAlignment="1">
      <alignment wrapText="1"/>
    </xf>
    <xf numFmtId="0" fontId="1" fillId="2" borderId="1" xfId="0" applyFont="1" applyFill="1" applyBorder="1" applyAlignment="1">
      <alignment horizontal="right" wrapText="1"/>
    </xf>
    <xf numFmtId="0" fontId="1" fillId="2" borderId="1" xfId="0" applyFont="1" applyFill="1" applyBorder="1" applyAlignment="1">
      <alignment horizontal="right" wrapText="1"/>
    </xf>
    <xf numFmtId="9" fontId="1" fillId="2" borderId="1" xfId="0" applyNumberFormat="1" applyFont="1" applyFill="1" applyBorder="1" applyAlignment="1">
      <alignment horizontal="right" wrapText="1"/>
    </xf>
    <xf numFmtId="0" fontId="6" fillId="2" borderId="1" xfId="0" applyFont="1" applyFill="1" applyBorder="1" applyAlignment="1">
      <alignment horizontal="left" wrapText="1"/>
    </xf>
    <xf numFmtId="0" fontId="9" fillId="0" borderId="1" xfId="0" applyFont="1" applyBorder="1" applyAlignment="1">
      <alignment horizontal="right" wrapText="1"/>
    </xf>
    <xf numFmtId="0" fontId="6" fillId="0" borderId="5" xfId="0" applyFont="1" applyBorder="1" applyAlignment="1"/>
    <xf numFmtId="0" fontId="6" fillId="0" borderId="5" xfId="0" applyFont="1" applyBorder="1" applyAlignment="1">
      <alignment wrapText="1"/>
    </xf>
    <xf numFmtId="0" fontId="5" fillId="0" borderId="5" xfId="0" applyFont="1" applyBorder="1" applyAlignment="1">
      <alignment wrapText="1"/>
    </xf>
    <xf numFmtId="0" fontId="5" fillId="0" borderId="5" xfId="0" applyFont="1" applyBorder="1" applyAlignment="1">
      <alignment wrapText="1"/>
    </xf>
    <xf numFmtId="0" fontId="6" fillId="0" borderId="5" xfId="0" applyFont="1" applyBorder="1" applyAlignment="1">
      <alignment horizontal="right" wrapText="1"/>
    </xf>
    <xf numFmtId="0" fontId="54" fillId="0" borderId="5" xfId="0" applyFont="1" applyBorder="1" applyAlignment="1">
      <alignment wrapText="1"/>
    </xf>
    <xf numFmtId="164" fontId="6" fillId="0" borderId="6" xfId="0" applyNumberFormat="1" applyFont="1" applyBorder="1" applyAlignment="1">
      <alignment horizontal="right" wrapText="1"/>
    </xf>
    <xf numFmtId="10" fontId="6" fillId="0" borderId="5" xfId="0" applyNumberFormat="1" applyFont="1" applyBorder="1" applyAlignment="1">
      <alignment horizontal="right" wrapText="1"/>
    </xf>
    <xf numFmtId="0" fontId="5" fillId="0" borderId="5" xfId="0" applyFont="1" applyBorder="1" applyAlignment="1">
      <alignment horizontal="left" vertical="top" wrapText="1"/>
    </xf>
    <xf numFmtId="0" fontId="5" fillId="0" borderId="7" xfId="0" applyFont="1" applyBorder="1" applyAlignment="1">
      <alignment wrapText="1"/>
    </xf>
    <xf numFmtId="0" fontId="15" fillId="0" borderId="5" xfId="0" applyFont="1" applyBorder="1" applyAlignment="1">
      <alignment wrapText="1"/>
    </xf>
    <xf numFmtId="0" fontId="55" fillId="0" borderId="6" xfId="0" applyFont="1" applyBorder="1" applyAlignment="1"/>
    <xf numFmtId="0" fontId="55" fillId="0" borderId="6" xfId="0" applyFont="1" applyBorder="1" applyAlignment="1">
      <alignment wrapText="1"/>
    </xf>
    <xf numFmtId="0" fontId="5" fillId="0" borderId="6" xfId="0" applyFont="1" applyBorder="1" applyAlignment="1">
      <alignment wrapText="1"/>
    </xf>
    <xf numFmtId="0" fontId="9" fillId="0" borderId="6" xfId="0" applyFont="1" applyBorder="1" applyAlignment="1">
      <alignment wrapText="1"/>
    </xf>
    <xf numFmtId="0" fontId="6" fillId="0" borderId="6" xfId="0" applyFont="1" applyBorder="1" applyAlignment="1">
      <alignment wrapText="1"/>
    </xf>
    <xf numFmtId="0" fontId="9" fillId="0" borderId="6" xfId="0" applyFont="1" applyBorder="1" applyAlignment="1">
      <alignment wrapText="1"/>
    </xf>
    <xf numFmtId="0" fontId="55" fillId="0" borderId="6" xfId="0" applyFont="1" applyBorder="1" applyAlignment="1">
      <alignment horizontal="right" wrapText="1"/>
    </xf>
    <xf numFmtId="0" fontId="55" fillId="0" borderId="6" xfId="0" applyFont="1" applyBorder="1" applyAlignment="1">
      <alignment horizontal="right" wrapText="1"/>
    </xf>
    <xf numFmtId="0" fontId="55" fillId="0" borderId="6" xfId="0" applyFont="1" applyBorder="1" applyAlignment="1">
      <alignment wrapText="1"/>
    </xf>
    <xf numFmtId="0" fontId="56" fillId="0" borderId="6" xfId="0" applyFont="1" applyBorder="1" applyAlignment="1">
      <alignment wrapText="1"/>
    </xf>
    <xf numFmtId="0" fontId="55" fillId="0" borderId="6" xfId="0" applyFont="1" applyBorder="1" applyAlignment="1">
      <alignment horizontal="left" wrapText="1"/>
    </xf>
    <xf numFmtId="10" fontId="55" fillId="0" borderId="6" xfId="0" applyNumberFormat="1" applyFont="1" applyBorder="1" applyAlignment="1">
      <alignment horizontal="right" wrapText="1"/>
    </xf>
    <xf numFmtId="0" fontId="55" fillId="0" borderId="1" xfId="0" applyFont="1" applyBorder="1" applyAlignment="1"/>
    <xf numFmtId="0" fontId="55" fillId="0" borderId="1" xfId="0" applyFont="1" applyBorder="1" applyAlignment="1">
      <alignment wrapText="1"/>
    </xf>
    <xf numFmtId="0" fontId="55" fillId="0" borderId="1" xfId="0" applyFont="1" applyBorder="1" applyAlignment="1">
      <alignment horizontal="left" wrapText="1"/>
    </xf>
    <xf numFmtId="10" fontId="55" fillId="0" borderId="1" xfId="0" applyNumberFormat="1" applyFont="1" applyBorder="1" applyAlignment="1">
      <alignment horizontal="right" wrapText="1"/>
    </xf>
    <xf numFmtId="0" fontId="55" fillId="0" borderId="1" xfId="0" applyFont="1" applyBorder="1" applyAlignment="1">
      <alignment horizontal="right" wrapText="1"/>
    </xf>
    <xf numFmtId="0" fontId="55" fillId="0" borderId="1" xfId="0" applyFont="1" applyBorder="1" applyAlignment="1">
      <alignment horizontal="right" wrapText="1"/>
    </xf>
    <xf numFmtId="0" fontId="15" fillId="0" borderId="0" xfId="0" applyFont="1" applyAlignment="1">
      <alignment wrapText="1"/>
    </xf>
    <xf numFmtId="0" fontId="15" fillId="0" borderId="0" xfId="0" applyFont="1" applyAlignment="1">
      <alignment wrapText="1"/>
    </xf>
    <xf numFmtId="0" fontId="8" fillId="0" borderId="8" xfId="0" applyFont="1" applyBorder="1" applyAlignment="1"/>
    <xf numFmtId="0" fontId="1" fillId="0" borderId="0" xfId="0" applyFont="1" applyAlignment="1">
      <alignment wrapText="1"/>
    </xf>
    <xf numFmtId="0" fontId="23" fillId="0" borderId="0" xfId="0" applyFont="1" applyAlignment="1">
      <alignment wrapText="1"/>
    </xf>
    <xf numFmtId="0" fontId="57" fillId="0" borderId="0" xfId="0" applyFont="1" applyAlignment="1"/>
    <xf numFmtId="0" fontId="35" fillId="4" borderId="0" xfId="0" applyFont="1" applyFill="1" applyAlignment="1">
      <alignment wrapText="1"/>
    </xf>
    <xf numFmtId="164" fontId="6" fillId="0" borderId="0" xfId="0" applyNumberFormat="1" applyFont="1" applyAlignment="1">
      <alignment horizontal="right" wrapText="1"/>
    </xf>
    <xf numFmtId="10" fontId="6" fillId="0" borderId="0" xfId="0" applyNumberFormat="1" applyFont="1" applyAlignment="1">
      <alignment horizontal="right" wrapText="1"/>
    </xf>
    <xf numFmtId="0" fontId="6" fillId="0" borderId="0" xfId="0" applyFont="1" applyAlignment="1">
      <alignment horizontal="right" wrapText="1"/>
    </xf>
    <xf numFmtId="0" fontId="6" fillId="0" borderId="9" xfId="0" applyFont="1" applyBorder="1" applyAlignment="1"/>
    <xf numFmtId="0" fontId="6" fillId="0" borderId="9" xfId="0" applyFont="1" applyBorder="1" applyAlignment="1">
      <alignment wrapText="1"/>
    </xf>
    <xf numFmtId="0" fontId="5" fillId="0" borderId="9" xfId="0" applyFont="1" applyBorder="1" applyAlignment="1">
      <alignment wrapText="1"/>
    </xf>
    <xf numFmtId="0" fontId="5" fillId="0" borderId="9" xfId="0" applyFont="1" applyBorder="1" applyAlignment="1">
      <alignment wrapText="1"/>
    </xf>
    <xf numFmtId="0" fontId="6" fillId="0" borderId="9" xfId="0" applyFont="1" applyBorder="1" applyAlignment="1">
      <alignment horizontal="right" wrapText="1"/>
    </xf>
    <xf numFmtId="0" fontId="58" fillId="0" borderId="9" xfId="0" applyFont="1" applyBorder="1" applyAlignment="1">
      <alignment wrapText="1"/>
    </xf>
    <xf numFmtId="10" fontId="6" fillId="0" borderId="9" xfId="0" applyNumberFormat="1" applyFont="1" applyBorder="1" applyAlignment="1">
      <alignment horizontal="right" wrapText="1"/>
    </xf>
    <xf numFmtId="0" fontId="5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42" Type="http://schemas.openxmlformats.org/officeDocument/2006/relationships/hyperlink" Target="http://www.schreiner.edu/financialaid/CostOfAttending/calcMerit.aspx" TargetMode="External"/><Relationship Id="rId143" Type="http://schemas.openxmlformats.org/officeDocument/2006/relationships/hyperlink" Target="https://www.stmarytx.edu/admission/financial-aid/scholarships/st-louis-scholars-award/" TargetMode="External"/><Relationship Id="rId144" Type="http://schemas.openxmlformats.org/officeDocument/2006/relationships/hyperlink" Target="https://financialaid.tcu.edu/special-eligibility-scholarships/" TargetMode="External"/><Relationship Id="rId145" Type="http://schemas.openxmlformats.org/officeDocument/2006/relationships/hyperlink" Target="https://txwes.edu/admissions/scholarships-and-aid/types-of-financial-aid/scholarships/freshman-academic-scholarship/" TargetMode="External"/><Relationship Id="rId146" Type="http://schemas.openxmlformats.org/officeDocument/2006/relationships/hyperlink" Target="https://new.trinity.edu/admissions-aid/financial-aid/academic-merit-scholarships-first-year-students-trinity" TargetMode="External"/><Relationship Id="rId147" Type="http://schemas.openxmlformats.org/officeDocument/2006/relationships/hyperlink" Target="http://scholarships.texasexes.org/scholarships/forty-acres-scholars/" TargetMode="External"/><Relationship Id="rId148" Type="http://schemas.openxmlformats.org/officeDocument/2006/relationships/hyperlink" Target="https://financialaid.utah.edu/types-of-aid/scholarships/freshman/academic-excellence-scholarship.php" TargetMode="External"/><Relationship Id="rId149" Type="http://schemas.openxmlformats.org/officeDocument/2006/relationships/hyperlink" Target="https://financialaid.utah.edu/types-of-aid/scholarships/freshman/presidents-scholarship.php" TargetMode="External"/><Relationship Id="rId40" Type="http://schemas.openxmlformats.org/officeDocument/2006/relationships/hyperlink" Target="https://inside.nku.edu/financialaid/scholarships/freshman/merit-based.html" TargetMode="External"/><Relationship Id="rId41" Type="http://schemas.openxmlformats.org/officeDocument/2006/relationships/hyperlink" Target="https://artscience.nku.edu/departments/biology/about/awards/scholarships.html" TargetMode="External"/><Relationship Id="rId42" Type="http://schemas.openxmlformats.org/officeDocument/2006/relationships/hyperlink" Target="https://inside.nku.edu/financialaid/scholarships/freshman/diversity.html" TargetMode="External"/><Relationship Id="rId43" Type="http://schemas.openxmlformats.org/officeDocument/2006/relationships/hyperlink" Target="http://louisville.edu/admissions/cost-aid/scholarships/ky-so-in-scholarships" TargetMode="External"/><Relationship Id="rId44" Type="http://schemas.openxmlformats.org/officeDocument/2006/relationships/hyperlink" Target="http://www.lsu.edu/financialaid/types_of_scholarships/entering_freshman_scholarships/Stamps_Scholarship.php" TargetMode="External"/><Relationship Id="rId45" Type="http://schemas.openxmlformats.org/officeDocument/2006/relationships/hyperlink" Target="http://www.uno.edu/admissions/scholarships-awards.aspx" TargetMode="External"/><Relationship Id="rId46" Type="http://schemas.openxmlformats.org/officeDocument/2006/relationships/hyperlink" Target="http://www.xula.edu/financial-aid/how-types.html" TargetMode="External"/><Relationship Id="rId47" Type="http://schemas.openxmlformats.org/officeDocument/2006/relationships/hyperlink" Target="http://www.xula.edu/financial-aid/how-types.html" TargetMode="External"/><Relationship Id="rId48" Type="http://schemas.openxmlformats.org/officeDocument/2006/relationships/hyperlink" Target="http://www.xula.edu/admissions/scholarships" TargetMode="External"/><Relationship Id="rId49" Type="http://schemas.openxmlformats.org/officeDocument/2006/relationships/hyperlink" Target="http://www.xula.edu/admissions/scholarships" TargetMode="External"/><Relationship Id="rId80" Type="http://schemas.openxmlformats.org/officeDocument/2006/relationships/hyperlink" Target="http://www.uncg.edu/hhs/scholarship/JeanEiserer.php" TargetMode="External"/><Relationship Id="rId81" Type="http://schemas.openxmlformats.org/officeDocument/2006/relationships/hyperlink" Target="https://fia.uncg.edu/uncg-grants-and-scholarships/blue-gold-scholarships/" TargetMode="External"/><Relationship Id="rId82" Type="http://schemas.openxmlformats.org/officeDocument/2006/relationships/hyperlink" Target="http://honorscollege.uncg.edu/futurestudents/honors-college-scholarships.htm" TargetMode="External"/><Relationship Id="rId83" Type="http://schemas.openxmlformats.org/officeDocument/2006/relationships/hyperlink" Target="http://financialaid.wfu.edu/merit-based-scholarships/stamps/" TargetMode="External"/><Relationship Id="rId84" Type="http://schemas.openxmlformats.org/officeDocument/2006/relationships/hyperlink" Target="https://www.unomaha.edu/admissions/financial-support-and-scholarships/types-of-aid/scholarships/uno.php" TargetMode="External"/><Relationship Id="rId85" Type="http://schemas.openxmlformats.org/officeDocument/2006/relationships/hyperlink" Target="https://admissions.newbrunswick.rutgers.edu/paying-for-college/scholarships" TargetMode="External"/><Relationship Id="rId86" Type="http://schemas.openxmlformats.org/officeDocument/2006/relationships/hyperlink" Target="http://fa.nmsu.edu/scholarships/" TargetMode="External"/><Relationship Id="rId87" Type="http://schemas.openxmlformats.org/officeDocument/2006/relationships/hyperlink" Target="https://www.clarkson.edu/undergraduate-admissions/1st-year-students-applying-financial-aid-scholarships/scholarships-special" TargetMode="External"/><Relationship Id="rId88" Type="http://schemas.openxmlformats.org/officeDocument/2006/relationships/hyperlink" Target="http://www.concordia-ny.edu/admission/undergraduate-admission/scholarships" TargetMode="External"/><Relationship Id="rId89" Type="http://schemas.openxmlformats.org/officeDocument/2006/relationships/hyperlink" Target="http://www.concordia-ny.edu/admission/undergraduate-admission/scholarships" TargetMode="External"/><Relationship Id="rId110" Type="http://schemas.openxmlformats.org/officeDocument/2006/relationships/hyperlink" Target="http://www.wright.edu/raiderconnect/financial-aid/first-year-scholarships" TargetMode="External"/><Relationship Id="rId111" Type="http://schemas.openxmlformats.org/officeDocument/2006/relationships/hyperlink" Target="http://www.wright.edu/raiderconnect/financial-aid/first-year-scholarships" TargetMode="External"/><Relationship Id="rId112" Type="http://schemas.openxmlformats.org/officeDocument/2006/relationships/hyperlink" Target="http://www.wright.edu/raiderconnect/financial-aid/first-year-scholarships" TargetMode="External"/><Relationship Id="rId113" Type="http://schemas.openxmlformats.org/officeDocument/2006/relationships/hyperlink" Target="http://www.wright.edu/raiderconnect/financial-aid/first-year-scholarships" TargetMode="External"/><Relationship Id="rId114" Type="http://schemas.openxmlformats.org/officeDocument/2006/relationships/hyperlink" Target="http://www.wright.edu/raiderconnect/financial-aid/first-year-scholarships" TargetMode="External"/><Relationship Id="rId115" Type="http://schemas.openxmlformats.org/officeDocument/2006/relationships/hyperlink" Target="http://www.okcu.edu/financialaid/types-of-assistance/scholarships/freshmen" TargetMode="External"/><Relationship Id="rId116" Type="http://schemas.openxmlformats.org/officeDocument/2006/relationships/hyperlink" Target="http://www.okcu.edu/financialaid/types-of-assistance/scholarships/freshmen" TargetMode="External"/><Relationship Id="rId117" Type="http://schemas.openxmlformats.org/officeDocument/2006/relationships/hyperlink" Target="http://www.okcu.edu/financialaid/types-of-assistance/scholarships/freshmen" TargetMode="External"/><Relationship Id="rId118" Type="http://schemas.openxmlformats.org/officeDocument/2006/relationships/hyperlink" Target="http://www.okcu.edu/financialaid/types-of-assistance/scholarships/freshmen" TargetMode="External"/><Relationship Id="rId119" Type="http://schemas.openxmlformats.org/officeDocument/2006/relationships/hyperlink" Target="http://www.okcu.edu/financialaid/types-of-assistance/scholarships/freshmen" TargetMode="External"/><Relationship Id="rId150" Type="http://schemas.openxmlformats.org/officeDocument/2006/relationships/hyperlink" Target="https://financialaid.utah.edu/types-of-aid/scholarships/freshman/presidents-scholarship.php" TargetMode="External"/><Relationship Id="rId151" Type="http://schemas.openxmlformats.org/officeDocument/2006/relationships/hyperlink" Target="https://financialaid.utah.edu/types-of-aid/scholarships/freshman/merit-scholarship-presidential-honors.php" TargetMode="External"/><Relationship Id="rId152" Type="http://schemas.openxmlformats.org/officeDocument/2006/relationships/hyperlink" Target="http://www.uvu.edu/financialaid/scholarships/available/acadmerit.html" TargetMode="External"/><Relationship Id="rId10" Type="http://schemas.openxmlformats.org/officeDocument/2006/relationships/hyperlink" Target="https://www.uapb.edu/sites/www/Uploads/Recruitment/Institutional%20Scholarships%202.pdf" TargetMode="External"/><Relationship Id="rId11" Type="http://schemas.openxmlformats.org/officeDocument/2006/relationships/hyperlink" Target="http://financialaid.arizona.edu/types-aid/scholarships/2018-2019-terms-and-conditions" TargetMode="External"/><Relationship Id="rId12" Type="http://schemas.openxmlformats.org/officeDocument/2006/relationships/hyperlink" Target="http://financialaid.arizona.edu/types-aid/scholarships/2018-2019-terms-and-conditions" TargetMode="External"/><Relationship Id="rId13" Type="http://schemas.openxmlformats.org/officeDocument/2006/relationships/hyperlink" Target="http://financialaid.arizona.edu/types-aid/scholarships/2018-2019-terms-and-conditions" TargetMode="External"/><Relationship Id="rId14" Type="http://schemas.openxmlformats.org/officeDocument/2006/relationships/hyperlink" Target="http://financialaid.arizona.edu/types-aid/scholarships/2018-2019-terms-and-conditions" TargetMode="External"/><Relationship Id="rId15" Type="http://schemas.openxmlformats.org/officeDocument/2006/relationships/hyperlink" Target="http://www.menlo.edu/wp-content/uploads/admissions/valedictorian-scholarship.pdf" TargetMode="External"/><Relationship Id="rId16" Type="http://schemas.openxmlformats.org/officeDocument/2006/relationships/hyperlink" Target="http://asu-sacs.asurams.edu/ASUCatalog/Undergraduate/.%5Casu%5Cfinancial-scholarship.html" TargetMode="External"/><Relationship Id="rId17" Type="http://schemas.openxmlformats.org/officeDocument/2006/relationships/hyperlink" Target="http://www.hawaii.edu/fas/info/nws.php" TargetMode="External"/><Relationship Id="rId18" Type="http://schemas.openxmlformats.org/officeDocument/2006/relationships/hyperlink" Target="https://www.briarcliff.edu/financial-aid/types-of-financial-aid/" TargetMode="External"/><Relationship Id="rId19" Type="http://schemas.openxmlformats.org/officeDocument/2006/relationships/hyperlink" Target="http://www.drake.edu/admission/first-yearstudents/costsfinancialaid/scholarships/nationalalumni/" TargetMode="External"/><Relationship Id="rId153" Type="http://schemas.openxmlformats.org/officeDocument/2006/relationships/hyperlink" Target="http://www.uvu.edu/financialaid/scholarships/available/nrf_academicmerit.html" TargetMode="External"/><Relationship Id="rId154" Type="http://schemas.openxmlformats.org/officeDocument/2006/relationships/hyperlink" Target="http://www.bluefield.edu/admissions-and-aid/bc-central/financial-aid/types-of-financial-aid/" TargetMode="External"/><Relationship Id="rId155" Type="http://schemas.openxmlformats.org/officeDocument/2006/relationships/hyperlink" Target="http://www.emu.edu/academics/honors/yoder-scholars/" TargetMode="External"/><Relationship Id="rId156" Type="http://schemas.openxmlformats.org/officeDocument/2006/relationships/hyperlink" Target="http://www.regent.edu/admissions-aid/financial-aid/types-of-aid/regent-endowed-scholarships/" TargetMode="External"/><Relationship Id="rId157" Type="http://schemas.openxmlformats.org/officeDocument/2006/relationships/hyperlink" Target="http://www.regent.edu/admissions-aid/financial-aid/types-of-aid/regent-endowed-scholarships/" TargetMode="External"/><Relationship Id="rId158" Type="http://schemas.openxmlformats.org/officeDocument/2006/relationships/hyperlink" Target="http://www.regent.edu/cas/applying-to-regent-university/scholarships-for-on-campus-students/" TargetMode="External"/><Relationship Id="rId159" Type="http://schemas.openxmlformats.org/officeDocument/2006/relationships/hyperlink" Target="http://www.regent.edu/cas/applying-to-regent-university/scholarships-for-on-campus-students/" TargetMode="External"/><Relationship Id="rId50" Type="http://schemas.openxmlformats.org/officeDocument/2006/relationships/hyperlink" Target="http://www.babson.edu/admission/tuition-aid/undergraduate/merit-awards/weissman-scholars/Pages/selection-criteria.aspx" TargetMode="External"/><Relationship Id="rId51" Type="http://schemas.openxmlformats.org/officeDocument/2006/relationships/hyperlink" Target="https://simons-rock.edu/admission/tuition-and-financial-aid/scholarships.php" TargetMode="External"/><Relationship Id="rId52" Type="http://schemas.openxmlformats.org/officeDocument/2006/relationships/hyperlink" Target="http://www.brandeis.edu/student-financial-services/scholarships/international.html" TargetMode="External"/><Relationship Id="rId53" Type="http://schemas.openxmlformats.org/officeDocument/2006/relationships/hyperlink" Target="http://www.brandeis.edu/student-financial-services/scholarships/international.html" TargetMode="External"/><Relationship Id="rId54" Type="http://schemas.openxmlformats.org/officeDocument/2006/relationships/hyperlink" Target="http://www.brandeis.edu/student-financial-services/scholarships/merit.html" TargetMode="External"/><Relationship Id="rId55" Type="http://schemas.openxmlformats.org/officeDocument/2006/relationships/hyperlink" Target="https://finaid.jhu.edu/undergraduate-aid/types-of-aid/grants-scholarships/" TargetMode="External"/><Relationship Id="rId56" Type="http://schemas.openxmlformats.org/officeDocument/2006/relationships/hyperlink" Target="http://www.ndm.edu/admissions-aid/financial-aid/scholarships/institutional" TargetMode="External"/><Relationship Id="rId57" Type="http://schemas.openxmlformats.org/officeDocument/2006/relationships/hyperlink" Target="http://www.ndm.edu/admissions-aid/financial-aid/scholarships/institutional" TargetMode="External"/><Relationship Id="rId58" Type="http://schemas.openxmlformats.org/officeDocument/2006/relationships/hyperlink" Target="https://eso.umd.edu/osfa-scholarships/veterans" TargetMode="External"/><Relationship Id="rId59" Type="http://schemas.openxmlformats.org/officeDocument/2006/relationships/hyperlink" Target="https://www.financialaid.umd.edu/scholarships/banneker_info.html" TargetMode="External"/><Relationship Id="rId90" Type="http://schemas.openxmlformats.org/officeDocument/2006/relationships/hyperlink" Target="http://www.houghton.edu/financial-aid/scholarships-grants/" TargetMode="External"/><Relationship Id="rId91" Type="http://schemas.openxmlformats.org/officeDocument/2006/relationships/hyperlink" Target="https://www.sunypoly.edu/admissions/international/undergraduate/international-admissions-undergraduate-merit-scholarships.html" TargetMode="External"/><Relationship Id="rId92" Type="http://schemas.openxmlformats.org/officeDocument/2006/relationships/hyperlink" Target="https://www.geneseo.edu/scholarships/undergraduate-scholarships" TargetMode="External"/><Relationship Id="rId93" Type="http://schemas.openxmlformats.org/officeDocument/2006/relationships/hyperlink" Target="https://www.bgsu.edu/admissions/scholarships-and-financial-aid/freshman-scholarships.html" TargetMode="External"/><Relationship Id="rId94" Type="http://schemas.openxmlformats.org/officeDocument/2006/relationships/hyperlink" Target="https://www.bgsu.edu/admissions/scholarships-and-financial-aid/freshman-scholarships.html" TargetMode="External"/><Relationship Id="rId95" Type="http://schemas.openxmlformats.org/officeDocument/2006/relationships/hyperlink" Target="https://case.edu/admission/affording-cwru/scholarships/scholarship-competitions/" TargetMode="External"/><Relationship Id="rId96" Type="http://schemas.openxmlformats.org/officeDocument/2006/relationships/hyperlink" Target="https://case.edu/admission/affording-cwru/scholarships/scholarship-competitions/" TargetMode="External"/><Relationship Id="rId97" Type="http://schemas.openxmlformats.org/officeDocument/2006/relationships/hyperlink" Target="https://case.edu/admission/affording-cwru/scholarships/scholarship-competitions/" TargetMode="External"/><Relationship Id="rId98" Type="http://schemas.openxmlformats.org/officeDocument/2006/relationships/hyperlink" Target="https://case.edu/admission/affording-cwru/scholarships/scholarship-competitions/" TargetMode="External"/><Relationship Id="rId99" Type="http://schemas.openxmlformats.org/officeDocument/2006/relationships/hyperlink" Target="https://case.edu/admission/affording-cwru/scholarships/scholarship-competitions/" TargetMode="External"/><Relationship Id="rId120" Type="http://schemas.openxmlformats.org/officeDocument/2006/relationships/hyperlink" Target="http://financialaid.okstate.edu/in-state-scholarships" TargetMode="External"/><Relationship Id="rId121" Type="http://schemas.openxmlformats.org/officeDocument/2006/relationships/hyperlink" Target="http://swcu.edu/Websites/swcu/images/Academic%20Scholarship%20Application%20FINAL%20'17.pdf" TargetMode="External"/><Relationship Id="rId122" Type="http://schemas.openxmlformats.org/officeDocument/2006/relationships/hyperlink" Target="http://sites.uco.edu/em/files/UCOFr.Scholarship.pdf" TargetMode="External"/><Relationship Id="rId123" Type="http://schemas.openxmlformats.org/officeDocument/2006/relationships/hyperlink" Target="http://sites.uco.edu/em/files/UCOFr.Scholarship.pdf" TargetMode="External"/><Relationship Id="rId124" Type="http://schemas.openxmlformats.org/officeDocument/2006/relationships/hyperlink" Target="http://sites.uco.edu/em/files/UCOFr.Scholarship.pdf" TargetMode="External"/><Relationship Id="rId125" Type="http://schemas.openxmlformats.org/officeDocument/2006/relationships/hyperlink" Target="https://www.pdx.edu/scholarships/future-freshman" TargetMode="External"/><Relationship Id="rId126" Type="http://schemas.openxmlformats.org/officeDocument/2006/relationships/hyperlink" Target="http://www.iup.edu/financialaid/types-of-financial-aid/scholarships/honors/" TargetMode="External"/><Relationship Id="rId127" Type="http://schemas.openxmlformats.org/officeDocument/2006/relationships/hyperlink" Target="https://www1.lehigh.edu/admissions/undergrad/tuition/aidtypes/scholarships" TargetMode="External"/><Relationship Id="rId128" Type="http://schemas.openxmlformats.org/officeDocument/2006/relationships/hyperlink" Target="http://www.widener.edu/admissions/undergraduate/scholarships_aid/scholarships.aspx" TargetMode="External"/><Relationship Id="rId129" Type="http://schemas.openxmlformats.org/officeDocument/2006/relationships/hyperlink" Target="http://www.providence.edu/honors" TargetMode="External"/><Relationship Id="rId160" Type="http://schemas.openxmlformats.org/officeDocument/2006/relationships/hyperlink" Target="https://finaid.vt.edu/undergraduate/typesofaid/scholarships/military-scholarships.html" TargetMode="External"/><Relationship Id="rId161" Type="http://schemas.openxmlformats.org/officeDocument/2006/relationships/hyperlink" Target="http://www.greenmtn.edu/admissions/undergraduate-admissions/financial-aid/application-based-scholarships/" TargetMode="External"/><Relationship Id="rId162" Type="http://schemas.openxmlformats.org/officeDocument/2006/relationships/hyperlink" Target="http://www.greenmtn.edu/admissions/undergraduate-admissions/financial-aid/application-based-scholarships/" TargetMode="External"/><Relationship Id="rId20" Type="http://schemas.openxmlformats.org/officeDocument/2006/relationships/hyperlink" Target="http://financialaid.iastate.edu/scholarships/universitywide/view.php?id=398" TargetMode="External"/><Relationship Id="rId21" Type="http://schemas.openxmlformats.org/officeDocument/2006/relationships/hyperlink" Target="http://www.byui.edu/financial-aid/aid-available/scholarships" TargetMode="External"/><Relationship Id="rId22" Type="http://schemas.openxmlformats.org/officeDocument/2006/relationships/hyperlink" Target="https://www.millikin.edu/presidential" TargetMode="External"/><Relationship Id="rId23" Type="http://schemas.openxmlformats.org/officeDocument/2006/relationships/hyperlink" Target="http://www.niu.edu/scholarships/merit-scholarships/Presidential/index.shtml" TargetMode="External"/><Relationship Id="rId24" Type="http://schemas.openxmlformats.org/officeDocument/2006/relationships/hyperlink" Target="https://www.rockford.edu/admission/financialaid/scholarshipcalculator/" TargetMode="External"/><Relationship Id="rId25" Type="http://schemas.openxmlformats.org/officeDocument/2006/relationships/hyperlink" Target="http://www.siue.edu/paying-for-college/scholarships-and-financial-aid/" TargetMode="External"/><Relationship Id="rId26" Type="http://schemas.openxmlformats.org/officeDocument/2006/relationships/hyperlink" Target="https://undergrad.tiu.edu/tuition-aid/scholarships-aid/" TargetMode="External"/><Relationship Id="rId27" Type="http://schemas.openxmlformats.org/officeDocument/2006/relationships/hyperlink" Target="https://undergrad.tiu.edu/tuition-aid/scholarships-aid/" TargetMode="External"/><Relationship Id="rId28" Type="http://schemas.openxmlformats.org/officeDocument/2006/relationships/hyperlink" Target="http://www.uis.edu/financialaid/wp-content/uploads/sites/133/2014/06/Freshmen-Scholarships-2017-2018.pdf" TargetMode="External"/><Relationship Id="rId29" Type="http://schemas.openxmlformats.org/officeDocument/2006/relationships/hyperlink" Target="http://franklincollege.edu/admissions/ben-franklin-scholars-program/" TargetMode="External"/><Relationship Id="rId163" Type="http://schemas.openxmlformats.org/officeDocument/2006/relationships/hyperlink" Target="http://www.evergreen.edu/scholarships/merit-award" TargetMode="External"/><Relationship Id="rId164" Type="http://schemas.openxmlformats.org/officeDocument/2006/relationships/hyperlink" Target="http://www.evergreen.edu/scholarships/merit-award" TargetMode="External"/><Relationship Id="rId165" Type="http://schemas.openxmlformats.org/officeDocument/2006/relationships/hyperlink" Target="https://www.uwplatt.edu/financial-aid/chancellor-scholarship" TargetMode="External"/><Relationship Id="rId166" Type="http://schemas.openxmlformats.org/officeDocument/2006/relationships/hyperlink" Target="http://financialaid.wvu.edu/home/scholarships/freshmen/residents" TargetMode="External"/><Relationship Id="rId167" Type="http://schemas.openxmlformats.org/officeDocument/2006/relationships/hyperlink" Target="http://financialaid.wvu.edu/home/scholarships/freshmen/residents" TargetMode="External"/><Relationship Id="rId168" Type="http://schemas.openxmlformats.org/officeDocument/2006/relationships/hyperlink" Target="http://financialaid.wvu.edu/home/scholarships/freshmen/non-residents" TargetMode="External"/><Relationship Id="rId169" Type="http://schemas.openxmlformats.org/officeDocument/2006/relationships/hyperlink" Target="https://www.wju.edu/finaid/scholarships-grants.html" TargetMode="External"/><Relationship Id="rId60" Type="http://schemas.openxmlformats.org/officeDocument/2006/relationships/hyperlink" Target="http://www.morgan.edu/finaid/scholarships" TargetMode="External"/><Relationship Id="rId61" Type="http://schemas.openxmlformats.org/officeDocument/2006/relationships/hyperlink" Target="https://www.alma.edu/admissions/financial-aid/grants-scholarships/alma-scholarships/" TargetMode="External"/><Relationship Id="rId62" Type="http://schemas.openxmlformats.org/officeDocument/2006/relationships/hyperlink" Target="http://www.emich.edu/finaid/types/scholarships/freshman.php" TargetMode="External"/><Relationship Id="rId63" Type="http://schemas.openxmlformats.org/officeDocument/2006/relationships/hyperlink" Target="http://www.emich.edu/finaid/types/scholarships/freshman.php" TargetMode="External"/><Relationship Id="rId64" Type="http://schemas.openxmlformats.org/officeDocument/2006/relationships/hyperlink" Target="https://www.lssu.edu/financial-aid/types-of-aid/scholarships/2017-2018-incoming-freshman/" TargetMode="External"/><Relationship Id="rId65" Type="http://schemas.openxmlformats.org/officeDocument/2006/relationships/hyperlink" Target="http://www.centralmethodist.edu/admissions/financial-aid/scholarships.php" TargetMode="External"/><Relationship Id="rId66" Type="http://schemas.openxmlformats.org/officeDocument/2006/relationships/hyperlink" Target="http://www.culver.edu/pillars/" TargetMode="External"/><Relationship Id="rId67" Type="http://schemas.openxmlformats.org/officeDocument/2006/relationships/hyperlink" Target="http://www.jsums.edu/admissions/files/2017/10/hsacademicscholarshipappl.pdf?x59239" TargetMode="External"/><Relationship Id="rId68" Type="http://schemas.openxmlformats.org/officeDocument/2006/relationships/hyperlink" Target="http://www.jsums.edu/admissions/files/2017/10/hsacademicscholarshipappl.pdf?x59239" TargetMode="External"/><Relationship Id="rId69" Type="http://schemas.openxmlformats.org/officeDocument/2006/relationships/hyperlink" Target="http://www.millsaps.edu/financial-aid/scholarships-grants-loans-students.php" TargetMode="External"/><Relationship Id="rId130" Type="http://schemas.openxmlformats.org/officeDocument/2006/relationships/hyperlink" Target="https://www.rwu.edu/undergraduate/admission-aid/financial-aid/types-aid/endowed-awards" TargetMode="External"/><Relationship Id="rId131" Type="http://schemas.openxmlformats.org/officeDocument/2006/relationships/hyperlink" Target="https://www.rwu.edu/undergraduate/admission-aid/financial-aid/types-aid/endowed-awards" TargetMode="External"/><Relationship Id="rId132" Type="http://schemas.openxmlformats.org/officeDocument/2006/relationships/hyperlink" Target="http://www.claflin.edu/admissions-aid/financial-aid/scholarships-and-grants" TargetMode="External"/><Relationship Id="rId133" Type="http://schemas.openxmlformats.org/officeDocument/2006/relationships/hyperlink" Target="http://www.claflin.edu/admissions-aid/financial-aid/scholarships-and-grants" TargetMode="External"/><Relationship Id="rId134" Type="http://schemas.openxmlformats.org/officeDocument/2006/relationships/hyperlink" Target="http://www.citadel.edu/root/finaid-scholarships/cadet" TargetMode="External"/><Relationship Id="rId135" Type="http://schemas.openxmlformats.org/officeDocument/2006/relationships/hyperlink" Target="http://www.cn.edu/undergraduate/programs/honors-program" TargetMode="External"/><Relationship Id="rId136" Type="http://schemas.openxmlformats.org/officeDocument/2006/relationships/hyperlink" Target="http://www.cn.edu/administration/financial-aid/undergraduate-students/types-of-aid/other-university-scholarships-gift-aid" TargetMode="External"/><Relationship Id="rId137" Type="http://schemas.openxmlformats.org/officeDocument/2006/relationships/hyperlink" Target="http://www.mtsu.edu/financial-aid/scholarships/forms/ScholarshipGuide.pdf" TargetMode="External"/><Relationship Id="rId138" Type="http://schemas.openxmlformats.org/officeDocument/2006/relationships/hyperlink" Target="http://www.uu.edu/admissions/scholars-of-excellence/" TargetMode="External"/><Relationship Id="rId139" Type="http://schemas.openxmlformats.org/officeDocument/2006/relationships/hyperlink" Target="http://www.memphis.edu/scholarships/pdfs/uofmfreshmenscholarships20182019.pdf" TargetMode="External"/><Relationship Id="rId30" Type="http://schemas.openxmlformats.org/officeDocument/2006/relationships/hyperlink" Target="http://franklincollege.edu/admissions/scholarships-overview/" TargetMode="External"/><Relationship Id="rId31" Type="http://schemas.openxmlformats.org/officeDocument/2006/relationships/hyperlink" Target="http://www.indstate.edu/sites/default/files/media/Documents/PDF/overview-freshman-2017.pdf" TargetMode="External"/><Relationship Id="rId32" Type="http://schemas.openxmlformats.org/officeDocument/2006/relationships/hyperlink" Target="https://scholarships.indiana.edu/scholarships/cox-scholars-program/research.html" TargetMode="External"/><Relationship Id="rId33" Type="http://schemas.openxmlformats.org/officeDocument/2006/relationships/hyperlink" Target="http://scholarships.iupui.edu/freshman/noninres.html" TargetMode="External"/><Relationship Id="rId34" Type="http://schemas.openxmlformats.org/officeDocument/2006/relationships/hyperlink" Target="http://scholarships.iupui.edu/freshman/noninres.html" TargetMode="External"/><Relationship Id="rId35" Type="http://schemas.openxmlformats.org/officeDocument/2006/relationships/hyperlink" Target="https://www.trine.edu/admission-aid/tuition-aid/types-of-aid/competitive-scholarships.aspx" TargetMode="External"/><Relationship Id="rId36" Type="http://schemas.openxmlformats.org/officeDocument/2006/relationships/hyperlink" Target="http://meritscholarships.nd.edu/scholarships/stamps-scholars-program/" TargetMode="External"/><Relationship Id="rId37" Type="http://schemas.openxmlformats.org/officeDocument/2006/relationships/hyperlink" Target="http://meritscholarships.nd.edu/scholarships/greater-china-scholarship/" TargetMode="External"/><Relationship Id="rId38" Type="http://schemas.openxmlformats.org/officeDocument/2006/relationships/hyperlink" Target="https://admissions.ku.edu/tuition-scholarship/freshman" TargetMode="External"/><Relationship Id="rId39" Type="http://schemas.openxmlformats.org/officeDocument/2006/relationships/hyperlink" Target="http://inside.nku.edu/financialaid/scholarships/freshman/merit-based.html" TargetMode="External"/><Relationship Id="rId70" Type="http://schemas.openxmlformats.org/officeDocument/2006/relationships/hyperlink" Target="http://www.millsaps.edu/financial-aid/scholarships-grants-loans-students.php" TargetMode="External"/><Relationship Id="rId71" Type="http://schemas.openxmlformats.org/officeDocument/2006/relationships/hyperlink" Target="http://www.rustcollege.edu/administration/financial-aid/types_of_aid.html" TargetMode="External"/><Relationship Id="rId72" Type="http://schemas.openxmlformats.org/officeDocument/2006/relationships/hyperlink" Target="http://finaid.olemiss.edu/scholarships/" TargetMode="External"/><Relationship Id="rId73" Type="http://schemas.openxmlformats.org/officeDocument/2006/relationships/hyperlink" Target="https://www.usm.edu/undergraduate-scholarships/freshman-designation-based-scholarships" TargetMode="External"/><Relationship Id="rId74" Type="http://schemas.openxmlformats.org/officeDocument/2006/relationships/hyperlink" Target="http://www.montana.edu/honors/scholarships.html" TargetMode="External"/><Relationship Id="rId75" Type="http://schemas.openxmlformats.org/officeDocument/2006/relationships/hyperlink" Target="http://www.montana.edu/admissions/scholarships/index.html" TargetMode="External"/><Relationship Id="rId76" Type="http://schemas.openxmlformats.org/officeDocument/2006/relationships/hyperlink" Target="http://www.dhc.umt.edu/scholarships/dhcScholarships.php" TargetMode="External"/><Relationship Id="rId77" Type="http://schemas.openxmlformats.org/officeDocument/2006/relationships/hyperlink" Target="http://ncwc.edu/scholarships/" TargetMode="External"/><Relationship Id="rId78" Type="http://schemas.openxmlformats.org/officeDocument/2006/relationships/hyperlink" Target="http://ncwc.edu/scholarships/" TargetMode="External"/><Relationship Id="rId79" Type="http://schemas.openxmlformats.org/officeDocument/2006/relationships/hyperlink" Target="http://ncwc.edu/scholarships/" TargetMode="External"/><Relationship Id="rId1" Type="http://schemas.openxmlformats.org/officeDocument/2006/relationships/hyperlink" Target="http://www.uaf.edu/finaid/scholarships/" TargetMode="External"/><Relationship Id="rId2" Type="http://schemas.openxmlformats.org/officeDocument/2006/relationships/hyperlink" Target="http://www.aamu.edu/admissions/fincialaid/documents/academicscholarshipbrochure1819x.pdf" TargetMode="External"/><Relationship Id="rId3" Type="http://schemas.openxmlformats.org/officeDocument/2006/relationships/hyperlink" Target="http://www.aamu.edu/admissions/fincialaid/documents/academicscholarshipbrochure1819x.pdf" TargetMode="External"/><Relationship Id="rId4" Type="http://schemas.openxmlformats.org/officeDocument/2006/relationships/hyperlink" Target="http://www.huntingdon.edu/wp-content/uploads/2017-18_FinancialAid.pdf" TargetMode="External"/><Relationship Id="rId100" Type="http://schemas.openxmlformats.org/officeDocument/2006/relationships/hyperlink" Target="https://denison.edu/campus/finances/types-of-scholarships-aid" TargetMode="External"/><Relationship Id="rId101" Type="http://schemas.openxmlformats.org/officeDocument/2006/relationships/hyperlink" Target="http://www.hiram.edu/academics/undergraduate/scholarship-grants/" TargetMode="External"/><Relationship Id="rId102" Type="http://schemas.openxmlformats.org/officeDocument/2006/relationships/hyperlink" Target="http://www.stampsfoundation.org/2012/11/01/miami-university-miami-oh/" TargetMode="External"/><Relationship Id="rId103" Type="http://schemas.openxmlformats.org/officeDocument/2006/relationships/hyperlink" Target="http://new.oberlin.edu/dotAsset/4576483.pdf" TargetMode="External"/><Relationship Id="rId104" Type="http://schemas.openxmlformats.org/officeDocument/2006/relationships/hyperlink" Target="http://new.oberlin.edu/dotAsset/4576485.pdf" TargetMode="External"/><Relationship Id="rId105" Type="http://schemas.openxmlformats.org/officeDocument/2006/relationships/hyperlink" Target="https://www.ohio.edu/omsar/appalachian/index.cfm" TargetMode="External"/><Relationship Id="rId106" Type="http://schemas.openxmlformats.org/officeDocument/2006/relationships/hyperlink" Target="https://engineering-computer-science.wright.edu/admission/scholarships-tuition-and-financial-aid" TargetMode="External"/><Relationship Id="rId107" Type="http://schemas.openxmlformats.org/officeDocument/2006/relationships/hyperlink" Target="https://engineering-computer-science.wright.edu/admission/scholarships-tuition-and-financial-aid" TargetMode="External"/><Relationship Id="rId108" Type="http://schemas.openxmlformats.org/officeDocument/2006/relationships/hyperlink" Target="https://engineering-computer-science.wright.edu/admission/scholarships-tuition-and-financial-aid" TargetMode="External"/><Relationship Id="rId109" Type="http://schemas.openxmlformats.org/officeDocument/2006/relationships/hyperlink" Target="http://www.wright.edu/raiderconnect/financial-aid/first-year-scholarships" TargetMode="External"/><Relationship Id="rId5" Type="http://schemas.openxmlformats.org/officeDocument/2006/relationships/hyperlink" Target="http://www.huntingdon.edu/wp-content/uploads/2017-18_FinancialAid.pdf" TargetMode="External"/><Relationship Id="rId6" Type="http://schemas.openxmlformats.org/officeDocument/2006/relationships/hyperlink" Target="http://www.huntingdon.edu/wp-content/uploads/2017-18_FinancialAid.pdf" TargetMode="External"/><Relationship Id="rId7" Type="http://schemas.openxmlformats.org/officeDocument/2006/relationships/hyperlink" Target="https://www.lyon.edu/scholarships-aid-programs" TargetMode="External"/><Relationship Id="rId8" Type="http://schemas.openxmlformats.org/officeDocument/2006/relationships/hyperlink" Target="https://www.lyon.edu/scholarships-aid-programs" TargetMode="External"/><Relationship Id="rId9" Type="http://schemas.openxmlformats.org/officeDocument/2006/relationships/hyperlink" Target="https://www.uapb.edu/sites/www/Uploads/Recruitment/Institutional%20Scholarships%202.pdf" TargetMode="External"/><Relationship Id="rId140" Type="http://schemas.openxmlformats.org/officeDocument/2006/relationships/hyperlink" Target="http://www.baylor.edu/admissions/index.php?id=934970" TargetMode="External"/><Relationship Id="rId141" Type="http://schemas.openxmlformats.org/officeDocument/2006/relationships/hyperlink" Target="http://www.hputx.edu/campus-offices/financial-aid/scholarshi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136"/>
  <sheetViews>
    <sheetView tabSelected="1" workbookViewId="0">
      <pane ySplit="2" topLeftCell="A3" activePane="bottomLeft" state="frozen"/>
      <selection pane="bottomLeft" activeCell="O579" sqref="O579"/>
    </sheetView>
  </sheetViews>
  <sheetFormatPr baseColWidth="10" defaultColWidth="14.5" defaultRowHeight="15" customHeight="1" x14ac:dyDescent="0.2"/>
  <cols>
    <col min="1" max="1" width="7.6640625" customWidth="1"/>
    <col min="2" max="2" width="31.5" customWidth="1"/>
    <col min="3" max="3" width="11" customWidth="1"/>
    <col min="4" max="4" width="16.33203125" customWidth="1"/>
    <col min="5" max="5" width="15.33203125" customWidth="1"/>
    <col min="6" max="6" width="14.83203125" customWidth="1"/>
    <col min="7" max="7" width="15.6640625" customWidth="1"/>
    <col min="8" max="8" width="14.83203125" customWidth="1"/>
    <col min="9" max="9" width="12.1640625" customWidth="1"/>
    <col min="10" max="10" width="32.33203125" customWidth="1"/>
    <col min="11" max="11" width="13.33203125" customWidth="1"/>
    <col min="12" max="12" width="12.1640625" customWidth="1"/>
    <col min="13" max="13" width="9.5" customWidth="1"/>
    <col min="14" max="14" width="12.5" customWidth="1"/>
    <col min="15" max="15" width="21.5" customWidth="1"/>
    <col min="16" max="16" width="12.5" customWidth="1"/>
    <col min="17" max="17" width="15" customWidth="1"/>
    <col min="18" max="18" width="11.5" customWidth="1"/>
    <col min="19" max="19" width="14.5" customWidth="1"/>
    <col min="20" max="20" width="13.5" hidden="1" customWidth="1"/>
    <col min="21" max="21" width="13.6640625" customWidth="1"/>
    <col min="22" max="27" width="5.83203125" customWidth="1"/>
  </cols>
  <sheetData>
    <row r="1" spans="1:27" ht="15.75" customHeight="1" x14ac:dyDescent="0.2">
      <c r="A1" s="1" t="s">
        <v>0</v>
      </c>
      <c r="B1" s="3"/>
      <c r="C1" s="7" t="str">
        <f>HYPERLINK("http://www.mykidscollegechoice.com/","mykidscollegechoice.com")</f>
        <v>mykidscollegechoice.com</v>
      </c>
      <c r="D1" s="8"/>
      <c r="E1" s="8"/>
      <c r="F1" s="8"/>
      <c r="G1" s="9" t="s">
        <v>9</v>
      </c>
      <c r="H1" s="9"/>
      <c r="I1" s="9"/>
      <c r="J1" s="8"/>
      <c r="K1" s="8"/>
      <c r="L1" s="8"/>
      <c r="M1" s="8"/>
      <c r="N1" s="8"/>
      <c r="O1" s="8"/>
      <c r="P1" s="8"/>
      <c r="Q1" s="8"/>
      <c r="R1" s="8"/>
      <c r="S1" s="8"/>
      <c r="T1" s="8"/>
      <c r="U1" s="8"/>
      <c r="V1" s="8"/>
      <c r="W1" s="8"/>
      <c r="X1" s="8"/>
      <c r="Y1" s="8"/>
      <c r="Z1" s="8"/>
      <c r="AA1" s="8"/>
    </row>
    <row r="2" spans="1:27" ht="90.75" customHeight="1" x14ac:dyDescent="0.2">
      <c r="A2" s="11" t="s">
        <v>13</v>
      </c>
      <c r="B2" s="12" t="s">
        <v>22</v>
      </c>
      <c r="C2" s="12" t="s">
        <v>27</v>
      </c>
      <c r="D2" s="12" t="s">
        <v>28</v>
      </c>
      <c r="E2" s="12" t="s">
        <v>29</v>
      </c>
      <c r="F2" s="12" t="s">
        <v>30</v>
      </c>
      <c r="G2" s="12" t="s">
        <v>31</v>
      </c>
      <c r="H2" s="12" t="s">
        <v>32</v>
      </c>
      <c r="I2" s="12" t="s">
        <v>33</v>
      </c>
      <c r="J2" s="14" t="s">
        <v>34</v>
      </c>
      <c r="K2" s="12" t="s">
        <v>43</v>
      </c>
      <c r="L2" s="12" t="s">
        <v>45</v>
      </c>
      <c r="M2" s="12" t="s">
        <v>46</v>
      </c>
      <c r="N2" s="12" t="s">
        <v>48</v>
      </c>
      <c r="O2" s="12" t="s">
        <v>49</v>
      </c>
      <c r="P2" s="12" t="s">
        <v>51</v>
      </c>
      <c r="Q2" s="12" t="s">
        <v>52</v>
      </c>
      <c r="R2" s="12" t="s">
        <v>53</v>
      </c>
      <c r="S2" s="12" t="s">
        <v>54</v>
      </c>
      <c r="T2" s="12" t="s">
        <v>55</v>
      </c>
      <c r="U2" s="12" t="s">
        <v>56</v>
      </c>
      <c r="V2" s="12"/>
      <c r="W2" s="12"/>
      <c r="X2" s="12"/>
      <c r="Y2" s="12"/>
      <c r="Z2" s="12"/>
      <c r="AA2" s="12"/>
    </row>
    <row r="3" spans="1:27" ht="95.25" customHeight="1" x14ac:dyDescent="0.2">
      <c r="A3" s="15" t="s">
        <v>57</v>
      </c>
      <c r="B3" s="16" t="s">
        <v>58</v>
      </c>
      <c r="C3" s="16" t="s">
        <v>59</v>
      </c>
      <c r="D3" s="12"/>
      <c r="E3" s="16" t="s">
        <v>60</v>
      </c>
      <c r="F3" s="16" t="s">
        <v>61</v>
      </c>
      <c r="G3" s="12"/>
      <c r="H3" s="17" t="s">
        <v>62</v>
      </c>
      <c r="I3" s="17" t="s">
        <v>63</v>
      </c>
      <c r="J3" s="16" t="s">
        <v>64</v>
      </c>
      <c r="K3" s="18">
        <v>30</v>
      </c>
      <c r="L3" s="18">
        <v>1410</v>
      </c>
      <c r="M3" s="14"/>
      <c r="N3" s="18">
        <v>4</v>
      </c>
      <c r="O3" s="19" t="s">
        <v>65</v>
      </c>
      <c r="P3" s="20" t="s">
        <v>66</v>
      </c>
      <c r="Q3" s="21">
        <v>0.74</v>
      </c>
      <c r="R3" s="20" t="s">
        <v>67</v>
      </c>
      <c r="S3" s="22" t="s">
        <v>68</v>
      </c>
      <c r="T3" s="12"/>
      <c r="U3" s="17">
        <v>3.21</v>
      </c>
      <c r="V3" s="12"/>
      <c r="W3" s="12"/>
      <c r="X3" s="12"/>
      <c r="Y3" s="12"/>
      <c r="Z3" s="12"/>
      <c r="AA3" s="12"/>
    </row>
    <row r="4" spans="1:27" ht="95.25" customHeight="1" x14ac:dyDescent="0.2">
      <c r="A4" s="23" t="s">
        <v>69</v>
      </c>
      <c r="B4" s="14" t="s">
        <v>70</v>
      </c>
      <c r="C4" s="14" t="s">
        <v>59</v>
      </c>
      <c r="D4" s="12" t="s">
        <v>71</v>
      </c>
      <c r="E4" s="14" t="s">
        <v>60</v>
      </c>
      <c r="F4" s="14" t="s">
        <v>72</v>
      </c>
      <c r="G4" s="12"/>
      <c r="H4" s="12" t="s">
        <v>73</v>
      </c>
      <c r="I4" s="12" t="s">
        <v>74</v>
      </c>
      <c r="J4" s="14" t="s">
        <v>75</v>
      </c>
      <c r="K4" s="24">
        <v>23</v>
      </c>
      <c r="L4" s="18">
        <v>1130</v>
      </c>
      <c r="M4" s="16" t="s">
        <v>76</v>
      </c>
      <c r="N4" s="24">
        <v>3.25</v>
      </c>
      <c r="O4" s="19" t="s">
        <v>77</v>
      </c>
      <c r="P4" s="14" t="s">
        <v>78</v>
      </c>
      <c r="Q4" s="25">
        <v>0.51</v>
      </c>
      <c r="R4" s="14" t="s">
        <v>79</v>
      </c>
      <c r="S4" s="14" t="s">
        <v>80</v>
      </c>
      <c r="T4" s="12"/>
      <c r="U4" s="12" t="s">
        <v>81</v>
      </c>
      <c r="V4" s="12"/>
      <c r="W4" s="12"/>
      <c r="X4" s="12"/>
      <c r="Y4" s="12"/>
      <c r="Z4" s="12"/>
      <c r="AA4" s="12"/>
    </row>
    <row r="5" spans="1:27" ht="95.25" customHeight="1" x14ac:dyDescent="0.2">
      <c r="A5" s="23" t="s">
        <v>69</v>
      </c>
      <c r="B5" s="14" t="s">
        <v>70</v>
      </c>
      <c r="C5" s="14" t="s">
        <v>59</v>
      </c>
      <c r="D5" s="12" t="s">
        <v>71</v>
      </c>
      <c r="E5" s="14" t="s">
        <v>82</v>
      </c>
      <c r="F5" s="14" t="s">
        <v>72</v>
      </c>
      <c r="G5" s="12"/>
      <c r="H5" s="12" t="s">
        <v>73</v>
      </c>
      <c r="I5" s="12" t="s">
        <v>74</v>
      </c>
      <c r="J5" s="14" t="s">
        <v>83</v>
      </c>
      <c r="K5" s="24">
        <v>28</v>
      </c>
      <c r="L5" s="18">
        <v>1310</v>
      </c>
      <c r="M5" s="16" t="s">
        <v>76</v>
      </c>
      <c r="N5" s="24">
        <v>3.75</v>
      </c>
      <c r="O5" s="19" t="s">
        <v>77</v>
      </c>
      <c r="P5" s="14" t="s">
        <v>78</v>
      </c>
      <c r="Q5" s="25">
        <v>0.51</v>
      </c>
      <c r="R5" s="14" t="s">
        <v>79</v>
      </c>
      <c r="S5" s="14" t="s">
        <v>80</v>
      </c>
      <c r="T5" s="12"/>
      <c r="U5" s="12" t="s">
        <v>81</v>
      </c>
      <c r="V5" s="12"/>
      <c r="W5" s="12"/>
      <c r="X5" s="12"/>
      <c r="Y5" s="12"/>
      <c r="Z5" s="12"/>
      <c r="AA5" s="12"/>
    </row>
    <row r="6" spans="1:27" ht="205.5" customHeight="1" x14ac:dyDescent="0.2">
      <c r="A6" s="11" t="s">
        <v>69</v>
      </c>
      <c r="B6" s="12" t="s">
        <v>84</v>
      </c>
      <c r="C6" s="26" t="s">
        <v>59</v>
      </c>
      <c r="D6" s="26"/>
      <c r="E6" s="12" t="s">
        <v>82</v>
      </c>
      <c r="F6" s="11" t="s">
        <v>72</v>
      </c>
      <c r="G6" s="12"/>
      <c r="H6" s="12" t="s">
        <v>73</v>
      </c>
      <c r="I6" s="12" t="s">
        <v>74</v>
      </c>
      <c r="J6" s="27" t="s">
        <v>85</v>
      </c>
      <c r="K6" s="28">
        <v>26</v>
      </c>
      <c r="L6" s="28">
        <v>1240</v>
      </c>
      <c r="M6" s="29" t="s">
        <v>76</v>
      </c>
      <c r="N6" s="26">
        <v>3.76</v>
      </c>
      <c r="O6" s="30" t="str">
        <f t="shared" ref="O6:O8" si="0">HYPERLINK("http://www.alasu.edu/cost-aid/types-of-aid/asu-scholarships/asu-academic-scholarships/index.aspx","http://www.alasu.edu/cost-aid/types-of-aid/asu-scholarships/asu-academic-scholarships/index.aspx")</f>
        <v>http://www.alasu.edu/cost-aid/types-of-aid/asu-scholarships/asu-academic-scholarships/index.aspx</v>
      </c>
      <c r="P6" s="26" t="s">
        <v>86</v>
      </c>
      <c r="Q6" s="31">
        <v>0.53</v>
      </c>
      <c r="R6" s="26" t="s">
        <v>79</v>
      </c>
      <c r="S6" s="26" t="s">
        <v>87</v>
      </c>
      <c r="T6" s="12"/>
      <c r="U6" s="12">
        <v>2.8</v>
      </c>
      <c r="V6" s="12"/>
      <c r="W6" s="12"/>
      <c r="X6" s="12"/>
      <c r="Y6" s="12"/>
      <c r="Z6" s="12"/>
      <c r="AA6" s="12"/>
    </row>
    <row r="7" spans="1:27" ht="192.75" customHeight="1" x14ac:dyDescent="0.2">
      <c r="A7" s="11" t="s">
        <v>69</v>
      </c>
      <c r="B7" s="12" t="s">
        <v>84</v>
      </c>
      <c r="C7" s="26" t="s">
        <v>59</v>
      </c>
      <c r="D7" s="26"/>
      <c r="E7" s="12" t="s">
        <v>88</v>
      </c>
      <c r="F7" s="11" t="s">
        <v>72</v>
      </c>
      <c r="G7" s="12"/>
      <c r="H7" s="12" t="s">
        <v>73</v>
      </c>
      <c r="I7" s="12" t="s">
        <v>74</v>
      </c>
      <c r="J7" s="27" t="s">
        <v>89</v>
      </c>
      <c r="K7" s="28">
        <v>22</v>
      </c>
      <c r="L7" s="28">
        <v>1100</v>
      </c>
      <c r="M7" s="29" t="s">
        <v>76</v>
      </c>
      <c r="N7" s="26">
        <v>3.51</v>
      </c>
      <c r="O7" s="30" t="str">
        <f t="shared" si="0"/>
        <v>http://www.alasu.edu/cost-aid/types-of-aid/asu-scholarships/asu-academic-scholarships/index.aspx</v>
      </c>
      <c r="P7" s="26" t="s">
        <v>86</v>
      </c>
      <c r="Q7" s="31">
        <v>0.53</v>
      </c>
      <c r="R7" s="26" t="s">
        <v>79</v>
      </c>
      <c r="S7" s="26" t="s">
        <v>87</v>
      </c>
      <c r="T7" s="12"/>
      <c r="U7" s="12">
        <v>2.8</v>
      </c>
      <c r="V7" s="12"/>
      <c r="W7" s="12"/>
      <c r="X7" s="12"/>
      <c r="Y7" s="12"/>
      <c r="Z7" s="12"/>
      <c r="AA7" s="12"/>
    </row>
    <row r="8" spans="1:27" ht="147.75" customHeight="1" x14ac:dyDescent="0.2">
      <c r="A8" s="11" t="s">
        <v>69</v>
      </c>
      <c r="B8" s="12" t="s">
        <v>84</v>
      </c>
      <c r="C8" s="26" t="s">
        <v>59</v>
      </c>
      <c r="D8" s="26"/>
      <c r="E8" s="12" t="s">
        <v>60</v>
      </c>
      <c r="F8" s="11" t="s">
        <v>72</v>
      </c>
      <c r="G8" s="12"/>
      <c r="H8" s="12" t="s">
        <v>73</v>
      </c>
      <c r="I8" s="12" t="s">
        <v>74</v>
      </c>
      <c r="J8" s="32" t="s">
        <v>90</v>
      </c>
      <c r="K8" s="28">
        <v>20</v>
      </c>
      <c r="L8" s="28">
        <v>1020</v>
      </c>
      <c r="M8" s="29" t="s">
        <v>76</v>
      </c>
      <c r="N8" s="26">
        <v>3</v>
      </c>
      <c r="O8" s="30" t="str">
        <f t="shared" si="0"/>
        <v>http://www.alasu.edu/cost-aid/types-of-aid/asu-scholarships/asu-academic-scholarships/index.aspx</v>
      </c>
      <c r="P8" s="26" t="s">
        <v>86</v>
      </c>
      <c r="Q8" s="31">
        <v>0.53</v>
      </c>
      <c r="R8" s="26" t="s">
        <v>79</v>
      </c>
      <c r="S8" s="26" t="s">
        <v>87</v>
      </c>
      <c r="T8" s="12"/>
      <c r="U8" s="12">
        <v>2.8</v>
      </c>
      <c r="V8" s="12"/>
      <c r="W8" s="12"/>
      <c r="X8" s="12"/>
      <c r="Y8" s="12"/>
      <c r="Z8" s="12"/>
      <c r="AA8" s="12"/>
    </row>
    <row r="9" spans="1:27" ht="144" x14ac:dyDescent="0.2">
      <c r="A9" s="23" t="s">
        <v>69</v>
      </c>
      <c r="B9" s="14" t="s">
        <v>91</v>
      </c>
      <c r="C9" s="14" t="s">
        <v>59</v>
      </c>
      <c r="D9" s="12"/>
      <c r="E9" s="14" t="s">
        <v>88</v>
      </c>
      <c r="F9" s="14" t="s">
        <v>92</v>
      </c>
      <c r="G9" s="12"/>
      <c r="H9" s="12" t="s">
        <v>93</v>
      </c>
      <c r="I9" s="12" t="s">
        <v>74</v>
      </c>
      <c r="J9" s="14" t="s">
        <v>94</v>
      </c>
      <c r="K9" s="12"/>
      <c r="L9" s="12"/>
      <c r="M9" s="12"/>
      <c r="N9" s="24">
        <v>3.5</v>
      </c>
      <c r="O9" s="30" t="str">
        <f>HYPERLINK("http://www.auburn.edu/scholarship/undergraduate/national-scholars.html","http://www.auburn.edu/scholarship/undergraduate/national-scholars.html")</f>
        <v>http://www.auburn.edu/scholarship/undergraduate/national-scholars.html</v>
      </c>
      <c r="P9" s="14" t="s">
        <v>95</v>
      </c>
      <c r="Q9" s="25">
        <v>0.83</v>
      </c>
      <c r="R9" s="14" t="s">
        <v>96</v>
      </c>
      <c r="S9" s="14" t="s">
        <v>97</v>
      </c>
      <c r="T9" s="12"/>
      <c r="U9" s="12">
        <v>3.83</v>
      </c>
      <c r="V9" s="12"/>
      <c r="W9" s="12"/>
      <c r="X9" s="12"/>
      <c r="Y9" s="12"/>
      <c r="Z9" s="12"/>
      <c r="AA9" s="12"/>
    </row>
    <row r="10" spans="1:27" ht="128" x14ac:dyDescent="0.2">
      <c r="A10" s="23" t="s">
        <v>69</v>
      </c>
      <c r="B10" s="14" t="s">
        <v>91</v>
      </c>
      <c r="C10" s="14" t="s">
        <v>59</v>
      </c>
      <c r="D10" s="14" t="s">
        <v>98</v>
      </c>
      <c r="E10" s="14" t="s">
        <v>60</v>
      </c>
      <c r="F10" s="14" t="s">
        <v>72</v>
      </c>
      <c r="G10" s="12"/>
      <c r="H10" s="12" t="s">
        <v>73</v>
      </c>
      <c r="I10" s="12" t="s">
        <v>74</v>
      </c>
      <c r="J10" s="14" t="s">
        <v>99</v>
      </c>
      <c r="K10" s="24">
        <v>33</v>
      </c>
      <c r="L10" s="24">
        <v>1490</v>
      </c>
      <c r="M10" s="29" t="s">
        <v>76</v>
      </c>
      <c r="N10" s="24">
        <v>3.5</v>
      </c>
      <c r="O10" s="30" t="str">
        <f>HYPERLINK("http://www.auburn.edu/scholarship/undergraduate/freshman.html","http://www.auburn.edu/scholarship/undergraduate/freshman.html")</f>
        <v>http://www.auburn.edu/scholarship/undergraduate/freshman.html</v>
      </c>
      <c r="P10" s="14" t="s">
        <v>95</v>
      </c>
      <c r="Q10" s="25">
        <v>0.83</v>
      </c>
      <c r="R10" s="14" t="s">
        <v>96</v>
      </c>
      <c r="S10" s="14" t="s">
        <v>97</v>
      </c>
      <c r="T10" s="12"/>
      <c r="U10" s="12">
        <v>3.83</v>
      </c>
      <c r="V10" s="12"/>
      <c r="W10" s="12"/>
      <c r="X10" s="12"/>
      <c r="Y10" s="12"/>
      <c r="Z10" s="12"/>
      <c r="AA10" s="12"/>
    </row>
    <row r="11" spans="1:27" ht="196" x14ac:dyDescent="0.2">
      <c r="A11" s="23" t="s">
        <v>69</v>
      </c>
      <c r="B11" s="14" t="s">
        <v>100</v>
      </c>
      <c r="C11" s="14" t="s">
        <v>101</v>
      </c>
      <c r="D11" s="12"/>
      <c r="E11" s="14" t="s">
        <v>102</v>
      </c>
      <c r="F11" s="14" t="s">
        <v>72</v>
      </c>
      <c r="G11" s="12"/>
      <c r="H11" s="12" t="s">
        <v>103</v>
      </c>
      <c r="I11" s="12" t="s">
        <v>74</v>
      </c>
      <c r="J11" s="12" t="s">
        <v>104</v>
      </c>
      <c r="K11" s="12"/>
      <c r="L11" s="12"/>
      <c r="M11" s="12"/>
      <c r="N11" s="12"/>
      <c r="O11" s="30" t="str">
        <f>HYPERLINK("http://www.bsc.edu/fp/scholarships.cfm","http://www.bsc.edu/fp/scholarships.cfm")</f>
        <v>http://www.bsc.edu/fp/scholarships.cfm</v>
      </c>
      <c r="P11" s="33">
        <v>34448</v>
      </c>
      <c r="Q11" s="25">
        <v>0.65</v>
      </c>
      <c r="R11" s="34" t="s">
        <v>105</v>
      </c>
      <c r="S11" s="34" t="s">
        <v>106</v>
      </c>
      <c r="T11" s="12"/>
      <c r="U11" s="12">
        <v>3.48</v>
      </c>
      <c r="V11" s="12"/>
      <c r="W11" s="12"/>
      <c r="X11" s="12"/>
      <c r="Y11" s="12"/>
      <c r="Z11" s="12"/>
      <c r="AA11" s="12"/>
    </row>
    <row r="12" spans="1:27" ht="170" x14ac:dyDescent="0.2">
      <c r="A12" s="11" t="s">
        <v>69</v>
      </c>
      <c r="B12" s="12" t="s">
        <v>107</v>
      </c>
      <c r="C12" s="26" t="s">
        <v>101</v>
      </c>
      <c r="D12" s="12"/>
      <c r="E12" s="12" t="s">
        <v>82</v>
      </c>
      <c r="F12" s="11" t="s">
        <v>72</v>
      </c>
      <c r="G12" s="12"/>
      <c r="H12" s="12" t="s">
        <v>103</v>
      </c>
      <c r="I12" s="12" t="s">
        <v>74</v>
      </c>
      <c r="J12" s="26" t="s">
        <v>108</v>
      </c>
      <c r="K12" s="35">
        <v>26</v>
      </c>
      <c r="L12" s="35">
        <v>1240</v>
      </c>
      <c r="M12" s="29" t="s">
        <v>76</v>
      </c>
      <c r="N12" s="36">
        <v>3.9</v>
      </c>
      <c r="O12" s="37" t="str">
        <f>HYPERLINK("http://www.ccal.edu/admissions/scholarships/#1464909697334-02456bc2-775f","http://www.ccal.edu/admissions/scholarships/#1464909697334-02456bc2-775f")</f>
        <v>http://www.ccal.edu/admissions/scholarships/#1464909697334-02456bc2-775f</v>
      </c>
      <c r="P12" s="38">
        <v>10120</v>
      </c>
      <c r="Q12" s="31">
        <v>0.53300000000000003</v>
      </c>
      <c r="R12" s="26" t="s">
        <v>109</v>
      </c>
      <c r="S12" s="26" t="s">
        <v>109</v>
      </c>
      <c r="T12" s="12"/>
      <c r="U12" s="12">
        <v>2.5</v>
      </c>
      <c r="V12" s="12"/>
      <c r="W12" s="12"/>
      <c r="X12" s="12"/>
      <c r="Y12" s="12"/>
      <c r="Z12" s="12"/>
      <c r="AA12" s="12"/>
    </row>
    <row r="13" spans="1:27" ht="111" customHeight="1" x14ac:dyDescent="0.2">
      <c r="A13" s="23" t="s">
        <v>69</v>
      </c>
      <c r="B13" s="14" t="s">
        <v>110</v>
      </c>
      <c r="C13" s="14" t="s">
        <v>101</v>
      </c>
      <c r="D13" s="12"/>
      <c r="E13" s="14" t="s">
        <v>111</v>
      </c>
      <c r="F13" s="14" t="s">
        <v>92</v>
      </c>
      <c r="G13" s="12"/>
      <c r="H13" s="12" t="s">
        <v>93</v>
      </c>
      <c r="I13" s="12" t="s">
        <v>74</v>
      </c>
      <c r="J13" s="12" t="s">
        <v>112</v>
      </c>
      <c r="K13" s="12"/>
      <c r="L13" s="12"/>
      <c r="M13" s="12"/>
      <c r="N13" s="12"/>
      <c r="O13" s="30" t="str">
        <f t="shared" ref="O13:O14" si="1">HYPERLINK("https://www.faulkner.edu/undergrad/admissions/scholarships/","https://www.faulkner.edu/undergrad/admissions/scholarships/")</f>
        <v>https://www.faulkner.edu/undergrad/admissions/scholarships/</v>
      </c>
      <c r="P13" s="33">
        <v>19250</v>
      </c>
      <c r="Q13" s="25">
        <v>0.5</v>
      </c>
      <c r="R13" s="14" t="s">
        <v>113</v>
      </c>
      <c r="S13" s="14" t="s">
        <v>114</v>
      </c>
      <c r="T13" s="12"/>
      <c r="U13" s="12">
        <v>3.26</v>
      </c>
      <c r="V13" s="12"/>
      <c r="W13" s="12"/>
      <c r="X13" s="12"/>
      <c r="Y13" s="12"/>
      <c r="Z13" s="12"/>
      <c r="AA13" s="12"/>
    </row>
    <row r="14" spans="1:27" ht="105.75" customHeight="1" x14ac:dyDescent="0.2">
      <c r="A14" s="39" t="s">
        <v>69</v>
      </c>
      <c r="B14" s="40" t="s">
        <v>110</v>
      </c>
      <c r="C14" s="40" t="s">
        <v>101</v>
      </c>
      <c r="D14" s="40"/>
      <c r="E14" s="40" t="s">
        <v>60</v>
      </c>
      <c r="F14" s="40" t="s">
        <v>92</v>
      </c>
      <c r="G14" s="40"/>
      <c r="H14" s="40" t="s">
        <v>93</v>
      </c>
      <c r="I14" s="40" t="s">
        <v>74</v>
      </c>
      <c r="J14" s="40" t="s">
        <v>115</v>
      </c>
      <c r="K14" s="40"/>
      <c r="L14" s="40"/>
      <c r="M14" s="40"/>
      <c r="N14" s="40"/>
      <c r="O14" s="30" t="str">
        <f t="shared" si="1"/>
        <v>https://www.faulkner.edu/undergrad/admissions/scholarships/</v>
      </c>
      <c r="P14" s="41">
        <v>19250</v>
      </c>
      <c r="Q14" s="42">
        <v>0.5</v>
      </c>
      <c r="R14" s="40" t="s">
        <v>113</v>
      </c>
      <c r="S14" s="40" t="s">
        <v>116</v>
      </c>
      <c r="T14" s="40"/>
      <c r="U14" s="40">
        <v>3.26</v>
      </c>
      <c r="V14" s="40"/>
      <c r="W14" s="40"/>
      <c r="X14" s="40"/>
      <c r="Y14" s="40"/>
      <c r="Z14" s="40"/>
      <c r="AA14" s="40"/>
    </row>
    <row r="15" spans="1:27" ht="105" x14ac:dyDescent="0.2">
      <c r="A15" s="43" t="s">
        <v>69</v>
      </c>
      <c r="B15" s="44" t="s">
        <v>117</v>
      </c>
      <c r="C15" s="43" t="s">
        <v>101</v>
      </c>
      <c r="D15" s="12"/>
      <c r="E15" s="40" t="s">
        <v>60</v>
      </c>
      <c r="F15" s="16" t="s">
        <v>72</v>
      </c>
      <c r="G15" s="12"/>
      <c r="H15" s="17" t="s">
        <v>103</v>
      </c>
      <c r="I15" s="17" t="s">
        <v>74</v>
      </c>
      <c r="J15" s="45" t="s">
        <v>118</v>
      </c>
      <c r="K15" s="18">
        <v>26</v>
      </c>
      <c r="L15" s="12"/>
      <c r="M15" s="12"/>
      <c r="N15" s="18">
        <v>3.75</v>
      </c>
      <c r="O15" s="46" t="s">
        <v>119</v>
      </c>
      <c r="P15" s="47">
        <v>24900</v>
      </c>
      <c r="Q15" s="48">
        <v>0.57999999999999996</v>
      </c>
      <c r="R15" s="43" t="s">
        <v>120</v>
      </c>
      <c r="S15" s="44" t="s">
        <v>121</v>
      </c>
      <c r="T15" s="12"/>
      <c r="U15" s="17">
        <v>3.35</v>
      </c>
      <c r="V15" s="12"/>
      <c r="W15" s="12"/>
      <c r="X15" s="12"/>
      <c r="Y15" s="12"/>
      <c r="Z15" s="12"/>
      <c r="AA15" s="12"/>
    </row>
    <row r="16" spans="1:27" ht="120" x14ac:dyDescent="0.2">
      <c r="A16" s="43" t="s">
        <v>69</v>
      </c>
      <c r="B16" s="44" t="s">
        <v>117</v>
      </c>
      <c r="C16" s="43" t="s">
        <v>101</v>
      </c>
      <c r="D16" s="12"/>
      <c r="E16" s="40" t="s">
        <v>60</v>
      </c>
      <c r="F16" s="16" t="s">
        <v>72</v>
      </c>
      <c r="G16" s="12"/>
      <c r="H16" s="17" t="s">
        <v>122</v>
      </c>
      <c r="I16" s="17" t="s">
        <v>74</v>
      </c>
      <c r="J16" s="44" t="s">
        <v>123</v>
      </c>
      <c r="K16" s="18">
        <v>26</v>
      </c>
      <c r="L16" s="12"/>
      <c r="M16" s="12"/>
      <c r="N16" s="18">
        <v>3.75</v>
      </c>
      <c r="O16" s="46" t="s">
        <v>119</v>
      </c>
      <c r="P16" s="47">
        <v>24900</v>
      </c>
      <c r="Q16" s="48">
        <v>0.57999999999999996</v>
      </c>
      <c r="R16" s="43" t="s">
        <v>124</v>
      </c>
      <c r="S16" s="44" t="s">
        <v>121</v>
      </c>
      <c r="T16" s="12"/>
      <c r="U16" s="17">
        <v>3.35</v>
      </c>
      <c r="V16" s="12"/>
      <c r="W16" s="12"/>
      <c r="X16" s="12"/>
      <c r="Y16" s="12"/>
      <c r="Z16" s="12"/>
      <c r="AA16" s="12"/>
    </row>
    <row r="17" spans="1:27" ht="105" x14ac:dyDescent="0.2">
      <c r="A17" s="43" t="s">
        <v>69</v>
      </c>
      <c r="B17" s="44" t="s">
        <v>117</v>
      </c>
      <c r="C17" s="43" t="s">
        <v>101</v>
      </c>
      <c r="D17" s="12"/>
      <c r="E17" s="40" t="s">
        <v>60</v>
      </c>
      <c r="F17" s="16" t="s">
        <v>72</v>
      </c>
      <c r="G17" s="12"/>
      <c r="H17" s="17" t="s">
        <v>103</v>
      </c>
      <c r="I17" s="17" t="s">
        <v>74</v>
      </c>
      <c r="J17" s="44" t="s">
        <v>125</v>
      </c>
      <c r="K17" s="18">
        <v>26</v>
      </c>
      <c r="L17" s="12"/>
      <c r="M17" s="12"/>
      <c r="N17" s="18">
        <v>3.75</v>
      </c>
      <c r="O17" s="46" t="s">
        <v>119</v>
      </c>
      <c r="P17" s="47">
        <v>24900</v>
      </c>
      <c r="Q17" s="48">
        <v>0.57999999999999996</v>
      </c>
      <c r="R17" s="43" t="s">
        <v>126</v>
      </c>
      <c r="S17" s="44" t="s">
        <v>121</v>
      </c>
      <c r="T17" s="12"/>
      <c r="U17" s="17">
        <v>3.35</v>
      </c>
      <c r="V17" s="12"/>
      <c r="W17" s="12"/>
      <c r="X17" s="12"/>
      <c r="Y17" s="12"/>
      <c r="Z17" s="12"/>
      <c r="AA17" s="12"/>
    </row>
    <row r="18" spans="1:27" ht="176" x14ac:dyDescent="0.2">
      <c r="A18" s="23" t="s">
        <v>69</v>
      </c>
      <c r="B18" s="14" t="s">
        <v>127</v>
      </c>
      <c r="C18" s="14" t="s">
        <v>101</v>
      </c>
      <c r="D18" s="12" t="s">
        <v>128</v>
      </c>
      <c r="E18" s="14" t="s">
        <v>60</v>
      </c>
      <c r="F18" s="14" t="s">
        <v>72</v>
      </c>
      <c r="G18" s="12"/>
      <c r="H18" s="12" t="s">
        <v>128</v>
      </c>
      <c r="I18" s="12">
        <v>1</v>
      </c>
      <c r="J18" s="14" t="s">
        <v>129</v>
      </c>
      <c r="K18" s="24">
        <v>29</v>
      </c>
      <c r="L18" s="12"/>
      <c r="M18" s="12"/>
      <c r="N18" s="24">
        <v>3.5</v>
      </c>
      <c r="O18" s="49" t="str">
        <f t="shared" ref="O18:O19" si="2">HYPERLINK("http://www.judson.edu/admissions/financial-aid/how-to-apply/institutional-aid/","http://www.judson.edu/admissions/financial-aid/how-to-apply/institutional-aid/")</f>
        <v>http://www.judson.edu/admissions/financial-aid/how-to-apply/institutional-aid/</v>
      </c>
      <c r="P18" s="33">
        <v>16248</v>
      </c>
      <c r="Q18" s="25">
        <v>0.63</v>
      </c>
      <c r="R18" s="50" t="s">
        <v>130</v>
      </c>
      <c r="S18" s="51" t="s">
        <v>131</v>
      </c>
      <c r="T18" s="12"/>
      <c r="U18" s="12">
        <v>3.49</v>
      </c>
      <c r="V18" s="12"/>
      <c r="W18" s="12"/>
      <c r="X18" s="12"/>
      <c r="Y18" s="12"/>
      <c r="Z18" s="12"/>
      <c r="AA18" s="12"/>
    </row>
    <row r="19" spans="1:27" ht="170" x14ac:dyDescent="0.2">
      <c r="A19" s="23" t="s">
        <v>69</v>
      </c>
      <c r="B19" s="14" t="s">
        <v>127</v>
      </c>
      <c r="C19" s="14" t="s">
        <v>101</v>
      </c>
      <c r="D19" s="12"/>
      <c r="E19" s="14" t="s">
        <v>132</v>
      </c>
      <c r="F19" s="14" t="s">
        <v>72</v>
      </c>
      <c r="G19" s="12"/>
      <c r="H19" s="12" t="s">
        <v>103</v>
      </c>
      <c r="I19" s="12" t="s">
        <v>133</v>
      </c>
      <c r="J19" s="12" t="s">
        <v>134</v>
      </c>
      <c r="K19" s="12"/>
      <c r="L19" s="12"/>
      <c r="M19" s="12"/>
      <c r="N19" s="12"/>
      <c r="O19" s="30" t="str">
        <f t="shared" si="2"/>
        <v>http://www.judson.edu/admissions/financial-aid/how-to-apply/institutional-aid/</v>
      </c>
      <c r="P19" s="33">
        <v>16248</v>
      </c>
      <c r="Q19" s="25">
        <v>0.63</v>
      </c>
      <c r="R19" s="52" t="s">
        <v>130</v>
      </c>
      <c r="S19" s="34" t="s">
        <v>131</v>
      </c>
      <c r="T19" s="12"/>
      <c r="U19" s="12">
        <v>3.49</v>
      </c>
      <c r="V19" s="12"/>
      <c r="W19" s="12"/>
      <c r="X19" s="12"/>
      <c r="Y19" s="12"/>
      <c r="Z19" s="12"/>
      <c r="AA19" s="12"/>
    </row>
    <row r="20" spans="1:27" ht="105.75" customHeight="1" x14ac:dyDescent="0.2">
      <c r="A20" s="39" t="s">
        <v>69</v>
      </c>
      <c r="B20" s="40" t="s">
        <v>135</v>
      </c>
      <c r="C20" s="53" t="s">
        <v>101</v>
      </c>
      <c r="D20" s="40"/>
      <c r="E20" s="40" t="s">
        <v>136</v>
      </c>
      <c r="F20" s="40" t="s">
        <v>92</v>
      </c>
      <c r="G20" s="40"/>
      <c r="H20" s="40" t="s">
        <v>93</v>
      </c>
      <c r="I20" s="40" t="s">
        <v>74</v>
      </c>
      <c r="J20" s="53" t="s">
        <v>137</v>
      </c>
      <c r="K20" s="40"/>
      <c r="L20" s="40"/>
      <c r="M20" s="40"/>
      <c r="N20" s="40"/>
      <c r="O20" s="30" t="str">
        <f>HYPERLINK("http://www.oakwood.edu/images/zfiles/enrollment/admission-forms/Academic%20Scholarships.pdf","http://www.oakwood.edu/zPublic/admis...holarships.pdf")</f>
        <v>http://www.oakwood.edu/zPublic/admis...holarships.pdf</v>
      </c>
      <c r="P20" s="54">
        <v>16720</v>
      </c>
      <c r="Q20" s="55">
        <v>0.56999999999999995</v>
      </c>
      <c r="R20" s="53" t="s">
        <v>138</v>
      </c>
      <c r="S20" s="53" t="s">
        <v>139</v>
      </c>
      <c r="T20" s="40"/>
      <c r="U20" s="40">
        <v>2.99</v>
      </c>
      <c r="V20" s="40"/>
      <c r="W20" s="40"/>
      <c r="X20" s="40"/>
      <c r="Y20" s="40"/>
      <c r="Z20" s="40"/>
      <c r="AA20" s="40"/>
    </row>
    <row r="21" spans="1:27" ht="189.75" customHeight="1" x14ac:dyDescent="0.2">
      <c r="A21" s="23" t="s">
        <v>69</v>
      </c>
      <c r="B21" s="14" t="s">
        <v>140</v>
      </c>
      <c r="C21" s="14" t="s">
        <v>101</v>
      </c>
      <c r="D21" s="12"/>
      <c r="E21" s="14" t="s">
        <v>60</v>
      </c>
      <c r="F21" s="14" t="s">
        <v>72</v>
      </c>
      <c r="G21" s="12"/>
      <c r="H21" s="12" t="s">
        <v>103</v>
      </c>
      <c r="I21" s="12">
        <v>5</v>
      </c>
      <c r="J21" s="14" t="s">
        <v>141</v>
      </c>
      <c r="K21" s="24">
        <v>27</v>
      </c>
      <c r="L21" s="12"/>
      <c r="M21" s="12"/>
      <c r="N21" s="24">
        <v>3.5</v>
      </c>
      <c r="O21" s="30" t="str">
        <f>HYPERLINK("http://www.shc.edu/undergraduate/tuition-and-financial-aid/types-aid/scholarships/","http://www.shc.edu/undergraduate/tuition-and-financial-aid/types-aid/scholarships/")</f>
        <v>http://www.shc.edu/undergraduate/tuition-and-financial-aid/types-aid/scholarships/</v>
      </c>
      <c r="P21" s="33">
        <v>35794</v>
      </c>
      <c r="Q21" s="25">
        <v>0.52</v>
      </c>
      <c r="R21" s="14" t="s">
        <v>142</v>
      </c>
      <c r="S21" s="14" t="s">
        <v>143</v>
      </c>
      <c r="T21" s="12"/>
      <c r="U21" s="12">
        <v>3.54</v>
      </c>
      <c r="V21" s="12"/>
      <c r="W21" s="12"/>
      <c r="X21" s="12"/>
      <c r="Y21" s="12"/>
      <c r="Z21" s="12"/>
      <c r="AA21" s="12"/>
    </row>
    <row r="22" spans="1:27" ht="192" x14ac:dyDescent="0.2">
      <c r="A22" s="23" t="s">
        <v>69</v>
      </c>
      <c r="B22" s="14" t="s">
        <v>144</v>
      </c>
      <c r="C22" s="14" t="s">
        <v>59</v>
      </c>
      <c r="D22" s="12"/>
      <c r="E22" s="14" t="s">
        <v>60</v>
      </c>
      <c r="F22" s="14" t="s">
        <v>145</v>
      </c>
      <c r="G22" s="12"/>
      <c r="H22" s="12" t="s">
        <v>145</v>
      </c>
      <c r="I22" s="12" t="s">
        <v>74</v>
      </c>
      <c r="J22" s="14" t="s">
        <v>146</v>
      </c>
      <c r="K22" s="12"/>
      <c r="L22" s="12"/>
      <c r="M22" s="12"/>
      <c r="N22" s="12"/>
      <c r="O22" s="30" t="str">
        <f t="shared" ref="O22:O25" si="3">HYPERLINK("http://www.troy.edu/scholarships/undergraduate/troy-scholarships.html","http://www.troy.edu/scholarships/undergraduate/troy-scholarships.html")</f>
        <v>http://www.troy.edu/scholarships/undergraduate/troy-scholarships.html</v>
      </c>
      <c r="P22" s="14" t="s">
        <v>147</v>
      </c>
      <c r="Q22" s="25">
        <v>0.44</v>
      </c>
      <c r="R22" s="14" t="s">
        <v>67</v>
      </c>
      <c r="S22" s="14" t="s">
        <v>148</v>
      </c>
      <c r="T22" s="12"/>
      <c r="U22" s="12" t="s">
        <v>81</v>
      </c>
      <c r="V22" s="12"/>
      <c r="W22" s="12"/>
      <c r="X22" s="12"/>
      <c r="Y22" s="12"/>
      <c r="Z22" s="12"/>
      <c r="AA22" s="12"/>
    </row>
    <row r="23" spans="1:27" ht="80" x14ac:dyDescent="0.2">
      <c r="A23" s="23" t="s">
        <v>69</v>
      </c>
      <c r="B23" s="14" t="s">
        <v>144</v>
      </c>
      <c r="C23" s="14" t="s">
        <v>59</v>
      </c>
      <c r="D23" s="12"/>
      <c r="E23" s="14" t="s">
        <v>60</v>
      </c>
      <c r="F23" s="14" t="s">
        <v>61</v>
      </c>
      <c r="G23" s="12"/>
      <c r="H23" s="12" t="s">
        <v>73</v>
      </c>
      <c r="I23" s="12" t="s">
        <v>74</v>
      </c>
      <c r="J23" s="14" t="s">
        <v>149</v>
      </c>
      <c r="K23" s="24">
        <v>28</v>
      </c>
      <c r="L23" s="24">
        <v>1320</v>
      </c>
      <c r="M23" s="29" t="s">
        <v>76</v>
      </c>
      <c r="N23" s="24">
        <v>3.5</v>
      </c>
      <c r="O23" s="30" t="str">
        <f t="shared" si="3"/>
        <v>http://www.troy.edu/scholarships/undergraduate/troy-scholarships.html</v>
      </c>
      <c r="P23" s="14" t="s">
        <v>147</v>
      </c>
      <c r="Q23" s="25">
        <v>0.44</v>
      </c>
      <c r="R23" s="14" t="s">
        <v>67</v>
      </c>
      <c r="S23" s="14" t="s">
        <v>148</v>
      </c>
      <c r="T23" s="12"/>
      <c r="U23" s="12" t="s">
        <v>81</v>
      </c>
      <c r="V23" s="12"/>
      <c r="W23" s="12"/>
      <c r="X23" s="12"/>
      <c r="Y23" s="12"/>
      <c r="Z23" s="12"/>
      <c r="AA23" s="12"/>
    </row>
    <row r="24" spans="1:27" ht="96" x14ac:dyDescent="0.2">
      <c r="A24" s="23" t="s">
        <v>69</v>
      </c>
      <c r="B24" s="14" t="s">
        <v>144</v>
      </c>
      <c r="C24" s="14" t="s">
        <v>59</v>
      </c>
      <c r="D24" s="12"/>
      <c r="E24" s="14" t="s">
        <v>111</v>
      </c>
      <c r="F24" s="14" t="s">
        <v>61</v>
      </c>
      <c r="G24" s="12"/>
      <c r="H24" s="12" t="s">
        <v>73</v>
      </c>
      <c r="I24" s="12" t="s">
        <v>74</v>
      </c>
      <c r="J24" s="14" t="s">
        <v>150</v>
      </c>
      <c r="K24" s="24">
        <v>32</v>
      </c>
      <c r="L24" s="24">
        <v>1470</v>
      </c>
      <c r="M24" s="29" t="s">
        <v>76</v>
      </c>
      <c r="N24" s="24">
        <v>3.7</v>
      </c>
      <c r="O24" s="30" t="str">
        <f t="shared" si="3"/>
        <v>http://www.troy.edu/scholarships/undergraduate/troy-scholarships.html</v>
      </c>
      <c r="P24" s="14" t="s">
        <v>147</v>
      </c>
      <c r="Q24" s="25">
        <v>0.44</v>
      </c>
      <c r="R24" s="14" t="s">
        <v>67</v>
      </c>
      <c r="S24" s="14" t="s">
        <v>148</v>
      </c>
      <c r="T24" s="12"/>
      <c r="U24" s="12" t="s">
        <v>81</v>
      </c>
      <c r="V24" s="12"/>
      <c r="W24" s="12"/>
      <c r="X24" s="12"/>
      <c r="Y24" s="12"/>
      <c r="Z24" s="12"/>
      <c r="AA24" s="12"/>
    </row>
    <row r="25" spans="1:27" ht="64" x14ac:dyDescent="0.2">
      <c r="A25" s="23" t="s">
        <v>69</v>
      </c>
      <c r="B25" s="14" t="s">
        <v>144</v>
      </c>
      <c r="C25" s="14" t="s">
        <v>59</v>
      </c>
      <c r="D25" s="12"/>
      <c r="E25" s="14" t="s">
        <v>111</v>
      </c>
      <c r="F25" s="14" t="s">
        <v>92</v>
      </c>
      <c r="G25" s="12"/>
      <c r="H25" s="12" t="s">
        <v>93</v>
      </c>
      <c r="I25" s="12" t="s">
        <v>74</v>
      </c>
      <c r="J25" s="14" t="s">
        <v>151</v>
      </c>
      <c r="K25" s="24"/>
      <c r="L25" s="24"/>
      <c r="M25" s="14"/>
      <c r="N25" s="24"/>
      <c r="O25" s="30" t="str">
        <f t="shared" si="3"/>
        <v>http://www.troy.edu/scholarships/undergraduate/troy-scholarships.html</v>
      </c>
      <c r="P25" s="14" t="s">
        <v>147</v>
      </c>
      <c r="Q25" s="25">
        <v>0.44</v>
      </c>
      <c r="R25" s="14" t="s">
        <v>67</v>
      </c>
      <c r="S25" s="14" t="s">
        <v>148</v>
      </c>
      <c r="T25" s="12"/>
      <c r="U25" s="12" t="s">
        <v>81</v>
      </c>
      <c r="V25" s="12"/>
      <c r="W25" s="12"/>
      <c r="X25" s="12"/>
      <c r="Y25" s="12"/>
      <c r="Z25" s="12"/>
      <c r="AA25" s="12"/>
    </row>
    <row r="26" spans="1:27" ht="142.5" customHeight="1" x14ac:dyDescent="0.2">
      <c r="A26" s="23" t="s">
        <v>69</v>
      </c>
      <c r="B26" s="14" t="s">
        <v>152</v>
      </c>
      <c r="C26" s="14" t="s">
        <v>101</v>
      </c>
      <c r="D26" s="12"/>
      <c r="E26" s="14" t="s">
        <v>82</v>
      </c>
      <c r="F26" s="14" t="s">
        <v>61</v>
      </c>
      <c r="G26" s="12"/>
      <c r="H26" s="17" t="s">
        <v>73</v>
      </c>
      <c r="I26" s="17" t="s">
        <v>74</v>
      </c>
      <c r="J26" s="14" t="s">
        <v>153</v>
      </c>
      <c r="K26" s="24">
        <v>30</v>
      </c>
      <c r="L26" s="24">
        <v>1390</v>
      </c>
      <c r="M26" s="29" t="s">
        <v>76</v>
      </c>
      <c r="N26" s="24">
        <v>3.5</v>
      </c>
      <c r="O26" s="30" t="s">
        <v>154</v>
      </c>
      <c r="P26" s="33">
        <v>18560</v>
      </c>
      <c r="Q26" s="25">
        <v>0.41</v>
      </c>
      <c r="R26" s="14" t="s">
        <v>155</v>
      </c>
      <c r="S26" s="14" t="s">
        <v>156</v>
      </c>
      <c r="T26" s="12"/>
      <c r="U26" s="12">
        <v>3.1</v>
      </c>
      <c r="V26" s="12"/>
      <c r="W26" s="12"/>
      <c r="X26" s="12"/>
      <c r="Y26" s="12"/>
      <c r="Z26" s="12"/>
      <c r="AA26" s="12"/>
    </row>
    <row r="27" spans="1:27" ht="158.25" customHeight="1" x14ac:dyDescent="0.2">
      <c r="A27" s="23" t="s">
        <v>69</v>
      </c>
      <c r="B27" s="14" t="s">
        <v>152</v>
      </c>
      <c r="C27" s="14" t="s">
        <v>101</v>
      </c>
      <c r="D27" s="12"/>
      <c r="E27" s="14" t="s">
        <v>60</v>
      </c>
      <c r="F27" s="14" t="s">
        <v>145</v>
      </c>
      <c r="G27" s="12"/>
      <c r="H27" s="17" t="s">
        <v>157</v>
      </c>
      <c r="I27" s="17" t="s">
        <v>74</v>
      </c>
      <c r="J27" s="14" t="s">
        <v>158</v>
      </c>
      <c r="K27" s="12"/>
      <c r="L27" s="12"/>
      <c r="M27" s="12"/>
      <c r="N27" s="12"/>
      <c r="O27" s="30" t="s">
        <v>159</v>
      </c>
      <c r="P27" s="33">
        <v>18560</v>
      </c>
      <c r="Q27" s="25">
        <v>0.41</v>
      </c>
      <c r="R27" s="14" t="s">
        <v>155</v>
      </c>
      <c r="S27" s="14" t="s">
        <v>156</v>
      </c>
      <c r="T27" s="12"/>
      <c r="U27" s="12">
        <v>3.1</v>
      </c>
      <c r="V27" s="12"/>
      <c r="W27" s="12"/>
      <c r="X27" s="12"/>
      <c r="Y27" s="12"/>
      <c r="Z27" s="12"/>
      <c r="AA27" s="12"/>
    </row>
    <row r="28" spans="1:27" ht="142.5" customHeight="1" x14ac:dyDescent="0.2">
      <c r="A28" s="23" t="s">
        <v>69</v>
      </c>
      <c r="B28" s="14" t="s">
        <v>152</v>
      </c>
      <c r="C28" s="14" t="s">
        <v>101</v>
      </c>
      <c r="D28" s="12"/>
      <c r="E28" s="14" t="s">
        <v>88</v>
      </c>
      <c r="F28" s="14" t="s">
        <v>61</v>
      </c>
      <c r="G28" s="12"/>
      <c r="H28" s="17" t="s">
        <v>62</v>
      </c>
      <c r="I28" s="17" t="s">
        <v>63</v>
      </c>
      <c r="J28" s="14" t="s">
        <v>160</v>
      </c>
      <c r="K28" s="24">
        <v>28</v>
      </c>
      <c r="L28" s="24">
        <v>1310</v>
      </c>
      <c r="M28" s="29" t="s">
        <v>76</v>
      </c>
      <c r="N28" s="24">
        <v>3.5</v>
      </c>
      <c r="O28" s="30" t="s">
        <v>154</v>
      </c>
      <c r="P28" s="33">
        <v>18560</v>
      </c>
      <c r="Q28" s="25">
        <v>0.41</v>
      </c>
      <c r="R28" s="14" t="s">
        <v>155</v>
      </c>
      <c r="S28" s="14" t="s">
        <v>156</v>
      </c>
      <c r="T28" s="12"/>
      <c r="U28" s="12">
        <v>3.1</v>
      </c>
      <c r="V28" s="12"/>
      <c r="W28" s="12"/>
      <c r="X28" s="12"/>
      <c r="Y28" s="12"/>
      <c r="Z28" s="12"/>
      <c r="AA28" s="12"/>
    </row>
    <row r="29" spans="1:27" ht="208" x14ac:dyDescent="0.2">
      <c r="A29" s="23" t="s">
        <v>69</v>
      </c>
      <c r="B29" s="14" t="s">
        <v>161</v>
      </c>
      <c r="C29" s="14" t="s">
        <v>59</v>
      </c>
      <c r="D29" s="14"/>
      <c r="E29" s="14" t="s">
        <v>88</v>
      </c>
      <c r="F29" s="14" t="s">
        <v>72</v>
      </c>
      <c r="G29" s="12"/>
      <c r="H29" s="12" t="s">
        <v>162</v>
      </c>
      <c r="I29" s="12" t="s">
        <v>74</v>
      </c>
      <c r="J29" s="14" t="s">
        <v>163</v>
      </c>
      <c r="K29" s="24">
        <v>32</v>
      </c>
      <c r="L29" s="24">
        <v>1450</v>
      </c>
      <c r="M29" s="29" t="s">
        <v>76</v>
      </c>
      <c r="N29" s="24">
        <v>3.8</v>
      </c>
      <c r="O29" s="30" t="str">
        <f>HYPERLINK("http://scholarships.ua.edu/types/crimson.html","http://scholarships.ua.edu/types/crimson.html")</f>
        <v>http://scholarships.ua.edu/types/crimson.html</v>
      </c>
      <c r="P29" s="14" t="s">
        <v>164</v>
      </c>
      <c r="Q29" s="25">
        <v>0.51</v>
      </c>
      <c r="R29" s="14" t="s">
        <v>165</v>
      </c>
      <c r="S29" s="14" t="s">
        <v>166</v>
      </c>
      <c r="T29" s="12"/>
      <c r="U29" s="12">
        <v>3.66</v>
      </c>
      <c r="V29" s="12"/>
      <c r="W29" s="12"/>
      <c r="X29" s="12"/>
      <c r="Y29" s="12"/>
      <c r="Z29" s="12"/>
      <c r="AA29" s="12"/>
    </row>
    <row r="30" spans="1:27" ht="277" x14ac:dyDescent="0.2">
      <c r="A30" s="23" t="s">
        <v>69</v>
      </c>
      <c r="B30" s="14" t="s">
        <v>161</v>
      </c>
      <c r="C30" s="14" t="s">
        <v>59</v>
      </c>
      <c r="D30" s="14"/>
      <c r="E30" s="14" t="s">
        <v>88</v>
      </c>
      <c r="F30" s="14" t="s">
        <v>72</v>
      </c>
      <c r="G30" s="12"/>
      <c r="H30" s="12" t="s">
        <v>103</v>
      </c>
      <c r="I30" s="12">
        <v>7</v>
      </c>
      <c r="J30" s="56" t="s">
        <v>167</v>
      </c>
      <c r="K30" s="24">
        <v>32</v>
      </c>
      <c r="L30" s="24">
        <v>1450</v>
      </c>
      <c r="M30" s="29" t="s">
        <v>76</v>
      </c>
      <c r="N30" s="24">
        <v>3.5</v>
      </c>
      <c r="O30" s="30" t="str">
        <f t="shared" ref="O30:O31" si="4">HYPERLINK("http://scholarships.ua.edu/types/elite.html","http://scholarships.ua.edu/types/elite.html")</f>
        <v>http://scholarships.ua.edu/types/elite.html</v>
      </c>
      <c r="P30" s="14" t="s">
        <v>164</v>
      </c>
      <c r="Q30" s="25">
        <v>0.51</v>
      </c>
      <c r="R30" s="14" t="s">
        <v>165</v>
      </c>
      <c r="S30" s="14" t="s">
        <v>166</v>
      </c>
      <c r="T30" s="12"/>
      <c r="U30" s="12">
        <v>3.66</v>
      </c>
      <c r="V30" s="12"/>
      <c r="W30" s="12"/>
      <c r="X30" s="12"/>
      <c r="Y30" s="12"/>
      <c r="Z30" s="12"/>
      <c r="AA30" s="12"/>
    </row>
    <row r="31" spans="1:27" ht="209" x14ac:dyDescent="0.2">
      <c r="A31" s="23" t="s">
        <v>69</v>
      </c>
      <c r="B31" s="14" t="s">
        <v>161</v>
      </c>
      <c r="C31" s="14" t="s">
        <v>59</v>
      </c>
      <c r="D31" s="14"/>
      <c r="E31" s="14" t="s">
        <v>88</v>
      </c>
      <c r="F31" s="14" t="s">
        <v>72</v>
      </c>
      <c r="G31" s="12"/>
      <c r="H31" s="12" t="s">
        <v>103</v>
      </c>
      <c r="I31" s="12" t="s">
        <v>74</v>
      </c>
      <c r="J31" s="12" t="s">
        <v>168</v>
      </c>
      <c r="K31" s="24">
        <v>28</v>
      </c>
      <c r="L31" s="24">
        <v>1310</v>
      </c>
      <c r="M31" s="29" t="s">
        <v>76</v>
      </c>
      <c r="N31" s="24">
        <v>3.5</v>
      </c>
      <c r="O31" s="30" t="str">
        <f t="shared" si="4"/>
        <v>http://scholarships.ua.edu/types/elite.html</v>
      </c>
      <c r="P31" s="14" t="s">
        <v>164</v>
      </c>
      <c r="Q31" s="25">
        <v>0.51</v>
      </c>
      <c r="R31" s="14" t="s">
        <v>165</v>
      </c>
      <c r="S31" s="14" t="s">
        <v>166</v>
      </c>
      <c r="T31" s="12"/>
      <c r="U31" s="12">
        <v>3.66</v>
      </c>
      <c r="V31" s="12"/>
      <c r="W31" s="12"/>
      <c r="X31" s="12"/>
      <c r="Y31" s="12"/>
      <c r="Z31" s="12"/>
      <c r="AA31" s="12"/>
    </row>
    <row r="32" spans="1:27" ht="196" x14ac:dyDescent="0.2">
      <c r="A32" s="23" t="s">
        <v>69</v>
      </c>
      <c r="B32" s="14" t="s">
        <v>161</v>
      </c>
      <c r="C32" s="14" t="s">
        <v>59</v>
      </c>
      <c r="D32" s="14" t="s">
        <v>98</v>
      </c>
      <c r="E32" s="14" t="s">
        <v>88</v>
      </c>
      <c r="F32" s="14" t="s">
        <v>61</v>
      </c>
      <c r="G32" s="12"/>
      <c r="H32" s="12" t="s">
        <v>62</v>
      </c>
      <c r="I32" s="12" t="s">
        <v>74</v>
      </c>
      <c r="J32" s="12" t="s">
        <v>169</v>
      </c>
      <c r="K32" s="24">
        <v>36</v>
      </c>
      <c r="L32" s="24">
        <v>1600</v>
      </c>
      <c r="M32" s="29" t="s">
        <v>76</v>
      </c>
      <c r="N32" s="24">
        <v>4</v>
      </c>
      <c r="O32" s="30" t="s">
        <v>170</v>
      </c>
      <c r="P32" s="14" t="s">
        <v>164</v>
      </c>
      <c r="Q32" s="25">
        <v>0.51</v>
      </c>
      <c r="R32" s="14" t="s">
        <v>165</v>
      </c>
      <c r="S32" s="14" t="s">
        <v>166</v>
      </c>
      <c r="T32" s="12"/>
      <c r="U32" s="12">
        <v>3.66</v>
      </c>
      <c r="V32" s="12"/>
      <c r="W32" s="12"/>
      <c r="X32" s="12"/>
      <c r="Y32" s="12"/>
      <c r="Z32" s="12"/>
      <c r="AA32" s="12"/>
    </row>
    <row r="33" spans="1:27" ht="176" x14ac:dyDescent="0.2">
      <c r="A33" s="23" t="s">
        <v>69</v>
      </c>
      <c r="B33" s="14" t="s">
        <v>161</v>
      </c>
      <c r="C33" s="14" t="s">
        <v>59</v>
      </c>
      <c r="D33" s="14" t="s">
        <v>98</v>
      </c>
      <c r="E33" s="14" t="s">
        <v>60</v>
      </c>
      <c r="F33" s="14" t="s">
        <v>61</v>
      </c>
      <c r="G33" s="12"/>
      <c r="H33" s="12" t="s">
        <v>62</v>
      </c>
      <c r="I33" s="12" t="s">
        <v>74</v>
      </c>
      <c r="J33" s="14" t="s">
        <v>171</v>
      </c>
      <c r="K33" s="24">
        <v>32</v>
      </c>
      <c r="L33" s="24">
        <v>1450</v>
      </c>
      <c r="M33" s="29" t="s">
        <v>76</v>
      </c>
      <c r="N33" s="24">
        <v>3.5</v>
      </c>
      <c r="O33" s="30" t="s">
        <v>170</v>
      </c>
      <c r="P33" s="14" t="s">
        <v>164</v>
      </c>
      <c r="Q33" s="25">
        <v>0.51</v>
      </c>
      <c r="R33" s="14" t="s">
        <v>165</v>
      </c>
      <c r="S33" s="14" t="s">
        <v>166</v>
      </c>
      <c r="T33" s="12"/>
      <c r="U33" s="12">
        <v>3.66</v>
      </c>
      <c r="V33" s="12"/>
      <c r="W33" s="12"/>
      <c r="X33" s="12"/>
      <c r="Y33" s="12"/>
      <c r="Z33" s="12"/>
      <c r="AA33" s="12"/>
    </row>
    <row r="34" spans="1:27" ht="196" x14ac:dyDescent="0.2">
      <c r="A34" s="23" t="s">
        <v>69</v>
      </c>
      <c r="B34" s="14" t="s">
        <v>161</v>
      </c>
      <c r="C34" s="14" t="s">
        <v>59</v>
      </c>
      <c r="D34" s="14" t="s">
        <v>172</v>
      </c>
      <c r="E34" s="14" t="s">
        <v>88</v>
      </c>
      <c r="F34" s="14" t="s">
        <v>61</v>
      </c>
      <c r="G34" s="12"/>
      <c r="H34" s="12" t="s">
        <v>62</v>
      </c>
      <c r="I34" s="12" t="s">
        <v>74</v>
      </c>
      <c r="J34" s="12" t="s">
        <v>169</v>
      </c>
      <c r="K34" s="24">
        <v>36</v>
      </c>
      <c r="L34" s="24">
        <v>1600</v>
      </c>
      <c r="M34" s="29" t="s">
        <v>76</v>
      </c>
      <c r="N34" s="24">
        <v>4</v>
      </c>
      <c r="O34" s="30" t="s">
        <v>173</v>
      </c>
      <c r="P34" s="14" t="s">
        <v>164</v>
      </c>
      <c r="Q34" s="25">
        <v>0.51</v>
      </c>
      <c r="R34" s="14" t="s">
        <v>165</v>
      </c>
      <c r="S34" s="14" t="s">
        <v>166</v>
      </c>
      <c r="T34" s="12"/>
      <c r="U34" s="12">
        <v>3.66</v>
      </c>
      <c r="V34" s="12"/>
      <c r="W34" s="12"/>
      <c r="X34" s="12"/>
      <c r="Y34" s="12"/>
      <c r="Z34" s="12"/>
      <c r="AA34" s="12"/>
    </row>
    <row r="35" spans="1:27" ht="118" x14ac:dyDescent="0.2">
      <c r="A35" s="23" t="s">
        <v>69</v>
      </c>
      <c r="B35" s="14" t="s">
        <v>161</v>
      </c>
      <c r="C35" s="14" t="s">
        <v>59</v>
      </c>
      <c r="D35" s="14" t="s">
        <v>172</v>
      </c>
      <c r="E35" s="14" t="s">
        <v>174</v>
      </c>
      <c r="F35" s="14" t="s">
        <v>61</v>
      </c>
      <c r="G35" s="12"/>
      <c r="H35" s="12" t="s">
        <v>62</v>
      </c>
      <c r="I35" s="12" t="s">
        <v>74</v>
      </c>
      <c r="J35" s="12" t="s">
        <v>175</v>
      </c>
      <c r="K35" s="24">
        <v>33</v>
      </c>
      <c r="L35" s="24">
        <v>1490</v>
      </c>
      <c r="M35" s="29" t="s">
        <v>76</v>
      </c>
      <c r="N35" s="24">
        <v>3.5</v>
      </c>
      <c r="O35" s="30" t="s">
        <v>173</v>
      </c>
      <c r="P35" s="14" t="s">
        <v>164</v>
      </c>
      <c r="Q35" s="25">
        <v>0.51</v>
      </c>
      <c r="R35" s="14" t="s">
        <v>165</v>
      </c>
      <c r="S35" s="14" t="s">
        <v>166</v>
      </c>
      <c r="T35" s="12"/>
      <c r="U35" s="12">
        <v>3.66</v>
      </c>
      <c r="V35" s="12"/>
      <c r="W35" s="12"/>
      <c r="X35" s="12"/>
      <c r="Y35" s="12"/>
      <c r="Z35" s="12"/>
      <c r="AA35" s="12"/>
    </row>
    <row r="36" spans="1:27" ht="274" x14ac:dyDescent="0.2">
      <c r="A36" s="23" t="s">
        <v>69</v>
      </c>
      <c r="B36" s="14" t="s">
        <v>161</v>
      </c>
      <c r="C36" s="14" t="s">
        <v>59</v>
      </c>
      <c r="D36" s="14"/>
      <c r="E36" s="14" t="s">
        <v>88</v>
      </c>
      <c r="F36" s="14" t="s">
        <v>92</v>
      </c>
      <c r="G36" s="12"/>
      <c r="H36" s="12" t="s">
        <v>93</v>
      </c>
      <c r="I36" s="12" t="s">
        <v>74</v>
      </c>
      <c r="J36" s="12" t="s">
        <v>176</v>
      </c>
      <c r="K36" s="12"/>
      <c r="L36" s="12"/>
      <c r="M36" s="12"/>
      <c r="N36" s="12"/>
      <c r="O36" s="30" t="str">
        <f t="shared" ref="O36:O37" si="5">HYPERLINK("http://scholarships.ua.edu/nationalscholars/","http://scholarships.ua.edu/nationalscholars/")</f>
        <v>http://scholarships.ua.edu/nationalscholars/</v>
      </c>
      <c r="P36" s="14" t="s">
        <v>164</v>
      </c>
      <c r="Q36" s="25">
        <v>0.51</v>
      </c>
      <c r="R36" s="14" t="s">
        <v>165</v>
      </c>
      <c r="S36" s="14" t="s">
        <v>166</v>
      </c>
      <c r="T36" s="12"/>
      <c r="U36" s="12">
        <v>3.66</v>
      </c>
      <c r="V36" s="12"/>
      <c r="W36" s="12"/>
      <c r="X36" s="12"/>
      <c r="Y36" s="12"/>
      <c r="Z36" s="12"/>
      <c r="AA36" s="12"/>
    </row>
    <row r="37" spans="1:27" ht="90.75" customHeight="1" x14ac:dyDescent="0.2">
      <c r="A37" s="39" t="s">
        <v>69</v>
      </c>
      <c r="B37" s="40" t="s">
        <v>161</v>
      </c>
      <c r="C37" s="40" t="s">
        <v>59</v>
      </c>
      <c r="D37" s="40"/>
      <c r="E37" s="40" t="s">
        <v>177</v>
      </c>
      <c r="F37" s="40" t="s">
        <v>92</v>
      </c>
      <c r="G37" s="40"/>
      <c r="H37" s="40" t="s">
        <v>93</v>
      </c>
      <c r="I37" s="40" t="s">
        <v>74</v>
      </c>
      <c r="J37" s="40" t="s">
        <v>178</v>
      </c>
      <c r="K37" s="40"/>
      <c r="L37" s="40"/>
      <c r="M37" s="40"/>
      <c r="N37" s="40"/>
      <c r="O37" s="30" t="str">
        <f t="shared" si="5"/>
        <v>http://scholarships.ua.edu/nationalscholars/</v>
      </c>
      <c r="P37" s="40" t="s">
        <v>164</v>
      </c>
      <c r="Q37" s="42">
        <v>0.51</v>
      </c>
      <c r="R37" s="40" t="s">
        <v>165</v>
      </c>
      <c r="S37" s="40" t="s">
        <v>166</v>
      </c>
      <c r="T37" s="40"/>
      <c r="U37" s="40">
        <v>3.66</v>
      </c>
      <c r="V37" s="40"/>
      <c r="W37" s="40"/>
      <c r="X37" s="40"/>
      <c r="Y37" s="40"/>
      <c r="Z37" s="40"/>
      <c r="AA37" s="40"/>
    </row>
    <row r="38" spans="1:27" ht="65.25" customHeight="1" x14ac:dyDescent="0.2">
      <c r="A38" s="11" t="s">
        <v>69</v>
      </c>
      <c r="B38" s="12" t="s">
        <v>179</v>
      </c>
      <c r="C38" s="12" t="s">
        <v>59</v>
      </c>
      <c r="D38" s="12" t="s">
        <v>98</v>
      </c>
      <c r="E38" s="12" t="s">
        <v>60</v>
      </c>
      <c r="F38" s="12" t="s">
        <v>72</v>
      </c>
      <c r="G38" s="12"/>
      <c r="H38" s="12" t="s">
        <v>62</v>
      </c>
      <c r="I38" s="12" t="s">
        <v>74</v>
      </c>
      <c r="J38" s="14" t="s">
        <v>180</v>
      </c>
      <c r="K38" s="36">
        <v>30</v>
      </c>
      <c r="L38" s="12"/>
      <c r="M38" s="12"/>
      <c r="N38" s="36">
        <v>3.5</v>
      </c>
      <c r="O38" s="37" t="str">
        <f>HYPERLINK("http://www.uab.edu/students/paying-for-college/scholarships/act-gpa-based-scholarships-alabama-residents","http://www.uab.edu/students/paying-for-college/scholarships/act-gpa-based-scholarships-alabama-residents")</f>
        <v>http://www.uab.edu/students/paying-for-college/scholarships/act-gpa-based-scholarships-alabama-residents</v>
      </c>
      <c r="P38" s="12" t="s">
        <v>181</v>
      </c>
      <c r="Q38" s="57">
        <v>0.85699999999999998</v>
      </c>
      <c r="R38" s="12" t="s">
        <v>182</v>
      </c>
      <c r="S38" s="12" t="s">
        <v>109</v>
      </c>
      <c r="T38" s="12"/>
      <c r="U38" s="12" t="s">
        <v>183</v>
      </c>
      <c r="V38" s="12"/>
      <c r="W38" s="12"/>
      <c r="X38" s="12"/>
      <c r="Y38" s="12"/>
      <c r="Z38" s="12"/>
      <c r="AA38" s="12"/>
    </row>
    <row r="39" spans="1:27" ht="95.25" customHeight="1" x14ac:dyDescent="0.2">
      <c r="A39" s="11" t="s">
        <v>69</v>
      </c>
      <c r="B39" s="12" t="s">
        <v>179</v>
      </c>
      <c r="C39" s="12" t="s">
        <v>59</v>
      </c>
      <c r="D39" s="12"/>
      <c r="E39" s="12" t="s">
        <v>88</v>
      </c>
      <c r="F39" s="12" t="s">
        <v>92</v>
      </c>
      <c r="G39" s="12"/>
      <c r="H39" s="12" t="s">
        <v>93</v>
      </c>
      <c r="I39" s="12" t="s">
        <v>74</v>
      </c>
      <c r="J39" s="14" t="s">
        <v>184</v>
      </c>
      <c r="K39" s="12"/>
      <c r="L39" s="12"/>
      <c r="M39" s="12"/>
      <c r="N39" s="12"/>
      <c r="O39" s="37" t="str">
        <f>HYPERLINK("http://www.uab.edu/students/paying-for-college/scholarships/national","http://www.uab.edu/students/paying-for-college/scholarships/national")</f>
        <v>http://www.uab.edu/students/paying-for-college/scholarships/national</v>
      </c>
      <c r="P39" s="12" t="s">
        <v>181</v>
      </c>
      <c r="Q39" s="57">
        <v>0.85699999999999998</v>
      </c>
      <c r="R39" s="12" t="s">
        <v>182</v>
      </c>
      <c r="S39" s="12" t="s">
        <v>109</v>
      </c>
      <c r="T39" s="12"/>
      <c r="U39" s="12" t="s">
        <v>183</v>
      </c>
      <c r="V39" s="12"/>
      <c r="W39" s="12"/>
      <c r="X39" s="12"/>
      <c r="Y39" s="12"/>
      <c r="Z39" s="12"/>
      <c r="AA39" s="12"/>
    </row>
    <row r="40" spans="1:27" ht="111" customHeight="1" x14ac:dyDescent="0.2">
      <c r="A40" s="23" t="s">
        <v>69</v>
      </c>
      <c r="B40" s="14" t="s">
        <v>185</v>
      </c>
      <c r="C40" s="14" t="s">
        <v>59</v>
      </c>
      <c r="D40" s="14"/>
      <c r="E40" s="14" t="s">
        <v>60</v>
      </c>
      <c r="F40" s="14" t="s">
        <v>61</v>
      </c>
      <c r="G40" s="14" t="s">
        <v>186</v>
      </c>
      <c r="H40" s="14" t="s">
        <v>62</v>
      </c>
      <c r="I40" s="14" t="s">
        <v>74</v>
      </c>
      <c r="J40" s="14" t="s">
        <v>187</v>
      </c>
      <c r="K40" s="24">
        <v>30</v>
      </c>
      <c r="L40" s="24">
        <v>1390</v>
      </c>
      <c r="M40" s="29" t="s">
        <v>76</v>
      </c>
      <c r="N40" s="24">
        <v>3.5</v>
      </c>
      <c r="O40" s="30" t="str">
        <f t="shared" ref="O40:O41" si="6">HYPERLINK("http://www.uah.edu/admissions/undergraduate/financial-aid/scholarships/merit-tuition-scholarships","http://www.uah.edu/admissions/undergraduate/financial-aid/scholarships/merit-tuition-scholarships")</f>
        <v>http://www.uah.edu/admissions/undergraduate/financial-aid/scholarships/merit-tuition-scholarships</v>
      </c>
      <c r="P40" s="14" t="s">
        <v>188</v>
      </c>
      <c r="Q40" s="58">
        <v>0.81</v>
      </c>
      <c r="R40" s="14" t="s">
        <v>96</v>
      </c>
      <c r="S40" s="14" t="s">
        <v>189</v>
      </c>
      <c r="T40" s="12"/>
      <c r="U40" s="12">
        <v>3.72</v>
      </c>
      <c r="V40" s="12"/>
      <c r="W40" s="12"/>
      <c r="X40" s="12"/>
      <c r="Y40" s="12"/>
      <c r="Z40" s="12"/>
      <c r="AA40" s="12"/>
    </row>
    <row r="41" spans="1:27" ht="111" customHeight="1" x14ac:dyDescent="0.2">
      <c r="A41" s="23" t="s">
        <v>69</v>
      </c>
      <c r="B41" s="14" t="s">
        <v>185</v>
      </c>
      <c r="C41" s="14" t="s">
        <v>59</v>
      </c>
      <c r="D41" s="14"/>
      <c r="E41" s="14" t="s">
        <v>111</v>
      </c>
      <c r="F41" s="14" t="s">
        <v>61</v>
      </c>
      <c r="G41" s="14" t="s">
        <v>186</v>
      </c>
      <c r="H41" s="14" t="s">
        <v>62</v>
      </c>
      <c r="I41" s="14" t="s">
        <v>74</v>
      </c>
      <c r="J41" s="14" t="s">
        <v>190</v>
      </c>
      <c r="K41" s="24">
        <v>34</v>
      </c>
      <c r="L41" s="24">
        <v>1520</v>
      </c>
      <c r="M41" s="29" t="s">
        <v>76</v>
      </c>
      <c r="N41" s="24">
        <v>4</v>
      </c>
      <c r="O41" s="30" t="str">
        <f t="shared" si="6"/>
        <v>http://www.uah.edu/admissions/undergraduate/financial-aid/scholarships/merit-tuition-scholarships</v>
      </c>
      <c r="P41" s="14" t="s">
        <v>188</v>
      </c>
      <c r="Q41" s="58">
        <v>0.81</v>
      </c>
      <c r="R41" s="14" t="s">
        <v>96</v>
      </c>
      <c r="S41" s="14" t="s">
        <v>189</v>
      </c>
      <c r="T41" s="12"/>
      <c r="U41" s="12">
        <v>3.72</v>
      </c>
      <c r="V41" s="12"/>
      <c r="W41" s="12"/>
      <c r="X41" s="12"/>
      <c r="Y41" s="12"/>
      <c r="Z41" s="12"/>
      <c r="AA41" s="12"/>
    </row>
    <row r="42" spans="1:27" ht="170" x14ac:dyDescent="0.2">
      <c r="A42" s="23" t="s">
        <v>69</v>
      </c>
      <c r="B42" s="14" t="s">
        <v>185</v>
      </c>
      <c r="C42" s="14" t="s">
        <v>59</v>
      </c>
      <c r="D42" s="14"/>
      <c r="E42" s="14" t="s">
        <v>191</v>
      </c>
      <c r="F42" s="14" t="s">
        <v>92</v>
      </c>
      <c r="G42" s="12"/>
      <c r="H42" s="12" t="s">
        <v>93</v>
      </c>
      <c r="I42" s="12" t="s">
        <v>74</v>
      </c>
      <c r="J42" s="12" t="s">
        <v>192</v>
      </c>
      <c r="K42" s="12"/>
      <c r="L42" s="12"/>
      <c r="M42" s="12"/>
      <c r="N42" s="12"/>
      <c r="O42" s="59" t="str">
        <f t="shared" ref="O42:O44" si="7">HYPERLINK("http://www.uah.edu/admissions/undergraduate/financial-aid/scholarships","http://www.uah.edu/admissions/undergraduate/financial-aid/scholarships")</f>
        <v>http://www.uah.edu/admissions/undergraduate/financial-aid/scholarships</v>
      </c>
      <c r="P42" s="14" t="s">
        <v>188</v>
      </c>
      <c r="Q42" s="58">
        <v>0.81</v>
      </c>
      <c r="R42" s="14" t="s">
        <v>96</v>
      </c>
      <c r="S42" s="14" t="s">
        <v>189</v>
      </c>
      <c r="T42" s="12"/>
      <c r="U42" s="12">
        <v>3.72</v>
      </c>
      <c r="V42" s="12"/>
      <c r="W42" s="12"/>
      <c r="X42" s="12"/>
      <c r="Y42" s="12"/>
      <c r="Z42" s="12"/>
      <c r="AA42" s="12"/>
    </row>
    <row r="43" spans="1:27" ht="180.75" customHeight="1" x14ac:dyDescent="0.2">
      <c r="A43" s="39" t="s">
        <v>69</v>
      </c>
      <c r="B43" s="40" t="s">
        <v>185</v>
      </c>
      <c r="C43" s="40" t="s">
        <v>59</v>
      </c>
      <c r="D43" s="40"/>
      <c r="E43" s="40" t="s">
        <v>88</v>
      </c>
      <c r="F43" s="40" t="s">
        <v>92</v>
      </c>
      <c r="G43" s="40"/>
      <c r="H43" s="40" t="s">
        <v>93</v>
      </c>
      <c r="I43" s="40" t="s">
        <v>74</v>
      </c>
      <c r="J43" s="12" t="s">
        <v>193</v>
      </c>
      <c r="K43" s="40"/>
      <c r="L43" s="40"/>
      <c r="M43" s="40"/>
      <c r="N43" s="40"/>
      <c r="O43" s="59" t="str">
        <f t="shared" si="7"/>
        <v>http://www.uah.edu/admissions/undergraduate/financial-aid/scholarships</v>
      </c>
      <c r="P43" s="40" t="s">
        <v>188</v>
      </c>
      <c r="Q43" s="60">
        <v>0.81</v>
      </c>
      <c r="R43" s="40" t="s">
        <v>96</v>
      </c>
      <c r="S43" s="40" t="s">
        <v>189</v>
      </c>
      <c r="T43" s="40"/>
      <c r="U43" s="40">
        <v>3.72</v>
      </c>
      <c r="V43" s="40"/>
      <c r="W43" s="40"/>
      <c r="X43" s="40"/>
      <c r="Y43" s="40"/>
      <c r="Z43" s="40"/>
      <c r="AA43" s="40"/>
    </row>
    <row r="44" spans="1:27" ht="284.25" customHeight="1" x14ac:dyDescent="0.2">
      <c r="A44" s="23" t="s">
        <v>69</v>
      </c>
      <c r="B44" s="14" t="s">
        <v>185</v>
      </c>
      <c r="C44" s="14" t="s">
        <v>59</v>
      </c>
      <c r="D44" s="14" t="s">
        <v>194</v>
      </c>
      <c r="E44" s="14" t="s">
        <v>60</v>
      </c>
      <c r="F44" s="14" t="s">
        <v>72</v>
      </c>
      <c r="G44" s="12"/>
      <c r="H44" s="12" t="s">
        <v>195</v>
      </c>
      <c r="I44" s="12" t="s">
        <v>74</v>
      </c>
      <c r="J44" s="12" t="s">
        <v>196</v>
      </c>
      <c r="K44" s="24">
        <v>25</v>
      </c>
      <c r="L44" s="24">
        <v>1130</v>
      </c>
      <c r="M44" s="14" t="s">
        <v>197</v>
      </c>
      <c r="N44" s="24">
        <v>3</v>
      </c>
      <c r="O44" s="59" t="str">
        <f t="shared" si="7"/>
        <v>http://www.uah.edu/admissions/undergraduate/financial-aid/scholarships</v>
      </c>
      <c r="P44" s="14" t="s">
        <v>188</v>
      </c>
      <c r="Q44" s="58">
        <v>0.81</v>
      </c>
      <c r="R44" s="14" t="s">
        <v>96</v>
      </c>
      <c r="S44" s="14" t="s">
        <v>189</v>
      </c>
      <c r="T44" s="12"/>
      <c r="U44" s="12">
        <v>3.72</v>
      </c>
      <c r="V44" s="12"/>
      <c r="W44" s="12"/>
      <c r="X44" s="12"/>
      <c r="Y44" s="12"/>
      <c r="Z44" s="12"/>
      <c r="AA44" s="12"/>
    </row>
    <row r="45" spans="1:27" ht="126.75" customHeight="1" x14ac:dyDescent="0.2">
      <c r="A45" s="23" t="s">
        <v>69</v>
      </c>
      <c r="B45" s="14" t="s">
        <v>198</v>
      </c>
      <c r="C45" s="14" t="s">
        <v>59</v>
      </c>
      <c r="D45" s="12"/>
      <c r="E45" s="14" t="s">
        <v>111</v>
      </c>
      <c r="F45" s="14" t="s">
        <v>72</v>
      </c>
      <c r="G45" s="12"/>
      <c r="H45" s="12" t="s">
        <v>62</v>
      </c>
      <c r="I45" s="12">
        <v>10</v>
      </c>
      <c r="J45" s="14" t="s">
        <v>199</v>
      </c>
      <c r="K45" s="24">
        <v>30</v>
      </c>
      <c r="L45" s="24">
        <v>1320</v>
      </c>
      <c r="M45" s="14" t="s">
        <v>197</v>
      </c>
      <c r="N45" s="24">
        <v>3.5</v>
      </c>
      <c r="O45" s="30" t="str">
        <f>HYPERLINK("http://www.montevallo.edu/admissions/undergraduate-admissions/scholarships/entering-freshmen-academic/","http://www.montevallo.edu/admissions/undergraduate-admissions/scholarships/entering-freshmen-academic/")</f>
        <v>http://www.montevallo.edu/admissions/undergraduate-admissions/scholarships/entering-freshmen-academic/</v>
      </c>
      <c r="P45" s="14" t="s">
        <v>200</v>
      </c>
      <c r="Q45" s="25">
        <v>0.74</v>
      </c>
      <c r="R45" s="14" t="s">
        <v>126</v>
      </c>
      <c r="S45" s="14" t="s">
        <v>201</v>
      </c>
      <c r="T45" s="12"/>
      <c r="U45" s="12">
        <v>3.44</v>
      </c>
      <c r="V45" s="12"/>
      <c r="W45" s="12"/>
      <c r="X45" s="12"/>
      <c r="Y45" s="12"/>
      <c r="Z45" s="12"/>
      <c r="AA45" s="12"/>
    </row>
    <row r="46" spans="1:27" ht="90.75" customHeight="1" x14ac:dyDescent="0.2">
      <c r="A46" s="39" t="s">
        <v>69</v>
      </c>
      <c r="B46" s="40" t="s">
        <v>202</v>
      </c>
      <c r="C46" s="53" t="s">
        <v>59</v>
      </c>
      <c r="D46" s="40"/>
      <c r="E46" s="40" t="s">
        <v>203</v>
      </c>
      <c r="F46" s="40" t="s">
        <v>92</v>
      </c>
      <c r="G46" s="40"/>
      <c r="H46" s="40" t="s">
        <v>93</v>
      </c>
      <c r="I46" s="40" t="s">
        <v>74</v>
      </c>
      <c r="J46" s="40" t="s">
        <v>204</v>
      </c>
      <c r="K46" s="40"/>
      <c r="L46" s="40"/>
      <c r="M46" s="40"/>
      <c r="N46" s="40"/>
      <c r="O46" s="30" t="str">
        <f t="shared" ref="O46:O47" si="8">HYPERLINK("http://una.edu/financial-aid/scholarships-excellence.html","http://una.edu/financial-aid/scholarships-excellence.html")</f>
        <v>http://una.edu/financial-aid/scholarships-excellence.html</v>
      </c>
      <c r="P46" s="53" t="s">
        <v>205</v>
      </c>
      <c r="Q46" s="55">
        <v>0.68</v>
      </c>
      <c r="R46" s="53" t="s">
        <v>130</v>
      </c>
      <c r="S46" s="53" t="s">
        <v>206</v>
      </c>
      <c r="T46" s="40"/>
      <c r="U46" s="40">
        <v>3.4</v>
      </c>
      <c r="V46" s="40"/>
      <c r="W46" s="40"/>
      <c r="X46" s="40"/>
      <c r="Y46" s="40"/>
      <c r="Z46" s="40"/>
      <c r="AA46" s="40"/>
    </row>
    <row r="47" spans="1:27" ht="78" customHeight="1" x14ac:dyDescent="0.2">
      <c r="A47" s="23" t="s">
        <v>69</v>
      </c>
      <c r="B47" s="14" t="s">
        <v>202</v>
      </c>
      <c r="C47" s="61" t="s">
        <v>59</v>
      </c>
      <c r="D47" s="12"/>
      <c r="E47" s="14" t="s">
        <v>207</v>
      </c>
      <c r="F47" s="23" t="s">
        <v>61</v>
      </c>
      <c r="G47" s="12"/>
      <c r="H47" s="12" t="s">
        <v>62</v>
      </c>
      <c r="I47" s="12" t="s">
        <v>63</v>
      </c>
      <c r="J47" s="14" t="s">
        <v>208</v>
      </c>
      <c r="K47" s="28">
        <v>30</v>
      </c>
      <c r="L47" s="12"/>
      <c r="M47" s="12"/>
      <c r="N47" s="26">
        <v>4</v>
      </c>
      <c r="O47" s="30" t="str">
        <f t="shared" si="8"/>
        <v>http://una.edu/financial-aid/scholarships-excellence.html</v>
      </c>
      <c r="P47" s="26" t="s">
        <v>205</v>
      </c>
      <c r="Q47" s="62">
        <v>0.68</v>
      </c>
      <c r="R47" s="26" t="s">
        <v>130</v>
      </c>
      <c r="S47" s="26" t="s">
        <v>206</v>
      </c>
      <c r="T47" s="12"/>
      <c r="U47" s="12">
        <v>3.4</v>
      </c>
      <c r="V47" s="12"/>
      <c r="W47" s="12"/>
      <c r="X47" s="12"/>
      <c r="Y47" s="12"/>
      <c r="Z47" s="12"/>
      <c r="AA47" s="12"/>
    </row>
    <row r="48" spans="1:27" ht="116.25" customHeight="1" x14ac:dyDescent="0.2">
      <c r="A48" s="11" t="s">
        <v>69</v>
      </c>
      <c r="B48" s="12" t="s">
        <v>209</v>
      </c>
      <c r="C48" s="26" t="s">
        <v>59</v>
      </c>
      <c r="D48" s="26" t="s">
        <v>194</v>
      </c>
      <c r="E48" s="12" t="s">
        <v>88</v>
      </c>
      <c r="F48" s="11" t="s">
        <v>61</v>
      </c>
      <c r="G48" s="12"/>
      <c r="H48" s="12" t="s">
        <v>62</v>
      </c>
      <c r="I48" s="12" t="s">
        <v>63</v>
      </c>
      <c r="J48" s="14" t="s">
        <v>210</v>
      </c>
      <c r="K48" s="28">
        <v>33</v>
      </c>
      <c r="L48" s="28">
        <v>1490</v>
      </c>
      <c r="M48" s="29" t="s">
        <v>76</v>
      </c>
      <c r="N48" s="26">
        <v>3.5</v>
      </c>
      <c r="O48" s="30" t="str">
        <f t="shared" ref="O48:O50" si="9">HYPERLINK("http://www.southalabama.edu/departments/financialaffairs/scholarships/freshmanstudents.html","http://www.southalabama.edu/departments/financialaffairs/scholarships/freshmanstudents.html")</f>
        <v>http://www.southalabama.edu/departments/financialaffairs/scholarships/freshmanstudents.html</v>
      </c>
      <c r="P48" s="26" t="s">
        <v>211</v>
      </c>
      <c r="Q48" s="31">
        <v>0.84</v>
      </c>
      <c r="R48" s="26" t="s">
        <v>124</v>
      </c>
      <c r="S48" s="26" t="s">
        <v>212</v>
      </c>
      <c r="T48" s="12"/>
      <c r="U48" s="12">
        <v>3.46</v>
      </c>
      <c r="V48" s="12"/>
      <c r="W48" s="12"/>
      <c r="X48" s="12"/>
      <c r="Y48" s="12"/>
      <c r="Z48" s="12"/>
      <c r="AA48" s="12"/>
    </row>
    <row r="49" spans="1:27" ht="116.25" customHeight="1" x14ac:dyDescent="0.2">
      <c r="A49" s="11" t="s">
        <v>69</v>
      </c>
      <c r="B49" s="12" t="s">
        <v>209</v>
      </c>
      <c r="C49" s="26" t="s">
        <v>59</v>
      </c>
      <c r="D49" s="26" t="s">
        <v>194</v>
      </c>
      <c r="E49" s="12" t="s">
        <v>60</v>
      </c>
      <c r="F49" s="11" t="s">
        <v>61</v>
      </c>
      <c r="G49" s="12"/>
      <c r="H49" s="12" t="s">
        <v>62</v>
      </c>
      <c r="I49" s="12" t="s">
        <v>63</v>
      </c>
      <c r="J49" s="14" t="s">
        <v>213</v>
      </c>
      <c r="K49" s="28">
        <v>32</v>
      </c>
      <c r="L49" s="28">
        <v>1450</v>
      </c>
      <c r="M49" s="29" t="s">
        <v>76</v>
      </c>
      <c r="N49" s="26">
        <v>3.5</v>
      </c>
      <c r="O49" s="30" t="str">
        <f t="shared" si="9"/>
        <v>http://www.southalabama.edu/departments/financialaffairs/scholarships/freshmanstudents.html</v>
      </c>
      <c r="P49" s="26" t="s">
        <v>211</v>
      </c>
      <c r="Q49" s="31">
        <v>0.84</v>
      </c>
      <c r="R49" s="26" t="s">
        <v>124</v>
      </c>
      <c r="S49" s="26" t="s">
        <v>212</v>
      </c>
      <c r="T49" s="12"/>
      <c r="U49" s="12">
        <v>3.46</v>
      </c>
      <c r="V49" s="12"/>
      <c r="W49" s="12"/>
      <c r="X49" s="12"/>
      <c r="Y49" s="12"/>
      <c r="Z49" s="12"/>
      <c r="AA49" s="12"/>
    </row>
    <row r="50" spans="1:27" ht="170.25" customHeight="1" x14ac:dyDescent="0.2">
      <c r="A50" s="11" t="s">
        <v>69</v>
      </c>
      <c r="B50" s="12" t="s">
        <v>209</v>
      </c>
      <c r="C50" s="26" t="s">
        <v>59</v>
      </c>
      <c r="D50" s="26"/>
      <c r="E50" s="12" t="s">
        <v>60</v>
      </c>
      <c r="F50" s="11" t="s">
        <v>72</v>
      </c>
      <c r="G50" s="12"/>
      <c r="H50" s="12" t="s">
        <v>62</v>
      </c>
      <c r="I50" s="12">
        <v>1</v>
      </c>
      <c r="J50" s="32" t="s">
        <v>214</v>
      </c>
      <c r="K50" s="12"/>
      <c r="L50" s="12"/>
      <c r="M50" s="12"/>
      <c r="N50" s="12"/>
      <c r="O50" s="30" t="str">
        <f t="shared" si="9"/>
        <v>http://www.southalabama.edu/departments/financialaffairs/scholarships/freshmanstudents.html</v>
      </c>
      <c r="P50" s="26" t="s">
        <v>211</v>
      </c>
      <c r="Q50" s="31">
        <v>0.84</v>
      </c>
      <c r="R50" s="26" t="s">
        <v>124</v>
      </c>
      <c r="S50" s="26" t="s">
        <v>212</v>
      </c>
      <c r="T50" s="12"/>
      <c r="U50" s="12">
        <v>3.46</v>
      </c>
      <c r="V50" s="12"/>
      <c r="W50" s="12"/>
      <c r="X50" s="12"/>
      <c r="Y50" s="12"/>
      <c r="Z50" s="12"/>
      <c r="AA50" s="12"/>
    </row>
    <row r="51" spans="1:27" ht="144" x14ac:dyDescent="0.2">
      <c r="A51" s="11" t="s">
        <v>69</v>
      </c>
      <c r="B51" s="12" t="s">
        <v>209</v>
      </c>
      <c r="C51" s="26" t="s">
        <v>59</v>
      </c>
      <c r="D51" s="26"/>
      <c r="E51" s="12" t="s">
        <v>215</v>
      </c>
      <c r="F51" s="11" t="s">
        <v>61</v>
      </c>
      <c r="G51" s="12"/>
      <c r="H51" s="12" t="s">
        <v>62</v>
      </c>
      <c r="I51" s="12" t="s">
        <v>74</v>
      </c>
      <c r="J51" s="32" t="s">
        <v>216</v>
      </c>
      <c r="K51" s="12">
        <v>33</v>
      </c>
      <c r="L51" s="12">
        <v>1490</v>
      </c>
      <c r="M51" s="29" t="s">
        <v>76</v>
      </c>
      <c r="N51" s="12">
        <v>3.5</v>
      </c>
      <c r="O51" s="59" t="str">
        <f>HYPERLINK("http://www.southalabama.edu/departments/honors/scholarship.html","http://www.southalabama.edu/departments/honors/scholarship.html")</f>
        <v>http://www.southalabama.edu/departments/honors/scholarship.html</v>
      </c>
      <c r="P51" s="26" t="s">
        <v>211</v>
      </c>
      <c r="Q51" s="31">
        <v>0.84</v>
      </c>
      <c r="R51" s="26" t="s">
        <v>124</v>
      </c>
      <c r="S51" s="26" t="s">
        <v>212</v>
      </c>
      <c r="T51" s="12"/>
      <c r="U51" s="12">
        <v>3.46</v>
      </c>
      <c r="V51" s="12"/>
      <c r="W51" s="12"/>
      <c r="X51" s="12"/>
      <c r="Y51" s="12"/>
      <c r="Z51" s="12"/>
      <c r="AA51" s="12"/>
    </row>
    <row r="52" spans="1:27" ht="170.25" customHeight="1" x14ac:dyDescent="0.2">
      <c r="A52" s="11" t="s">
        <v>69</v>
      </c>
      <c r="B52" s="12" t="s">
        <v>209</v>
      </c>
      <c r="C52" s="26" t="s">
        <v>59</v>
      </c>
      <c r="D52" s="26"/>
      <c r="E52" s="12" t="s">
        <v>215</v>
      </c>
      <c r="F52" s="11" t="s">
        <v>61</v>
      </c>
      <c r="G52" s="12"/>
      <c r="H52" s="12" t="s">
        <v>62</v>
      </c>
      <c r="I52" s="12" t="s">
        <v>74</v>
      </c>
      <c r="J52" s="32" t="s">
        <v>217</v>
      </c>
      <c r="K52" s="12">
        <v>32</v>
      </c>
      <c r="L52" s="12">
        <v>1450</v>
      </c>
      <c r="M52" s="29" t="s">
        <v>76</v>
      </c>
      <c r="N52" s="12">
        <v>3.5</v>
      </c>
      <c r="O52" s="63" t="s">
        <v>218</v>
      </c>
      <c r="P52" s="26" t="s">
        <v>211</v>
      </c>
      <c r="Q52" s="31">
        <v>0.84</v>
      </c>
      <c r="R52" s="26" t="s">
        <v>124</v>
      </c>
      <c r="S52" s="26" t="s">
        <v>212</v>
      </c>
      <c r="T52" s="12"/>
      <c r="U52" s="12">
        <v>3.46</v>
      </c>
      <c r="V52" s="12"/>
      <c r="W52" s="12"/>
      <c r="X52" s="12"/>
      <c r="Y52" s="12"/>
      <c r="Z52" s="12"/>
      <c r="AA52" s="12"/>
    </row>
    <row r="53" spans="1:27" ht="170.25" customHeight="1" x14ac:dyDescent="0.2">
      <c r="A53" s="11" t="s">
        <v>69</v>
      </c>
      <c r="B53" s="12" t="s">
        <v>209</v>
      </c>
      <c r="C53" s="26" t="s">
        <v>59</v>
      </c>
      <c r="D53" s="26"/>
      <c r="E53" s="12" t="s">
        <v>219</v>
      </c>
      <c r="F53" s="11" t="s">
        <v>61</v>
      </c>
      <c r="G53" s="12"/>
      <c r="H53" s="12" t="s">
        <v>62</v>
      </c>
      <c r="I53" s="12" t="s">
        <v>74</v>
      </c>
      <c r="J53" s="32" t="s">
        <v>220</v>
      </c>
      <c r="K53" s="12">
        <v>30</v>
      </c>
      <c r="L53" s="12">
        <v>1380</v>
      </c>
      <c r="M53" s="29" t="s">
        <v>76</v>
      </c>
      <c r="N53" s="12">
        <v>3.5</v>
      </c>
      <c r="O53" s="63" t="s">
        <v>218</v>
      </c>
      <c r="P53" s="26" t="s">
        <v>211</v>
      </c>
      <c r="Q53" s="31">
        <v>0.84</v>
      </c>
      <c r="R53" s="26" t="s">
        <v>124</v>
      </c>
      <c r="S53" s="26" t="s">
        <v>212</v>
      </c>
      <c r="T53" s="12"/>
      <c r="U53" s="12">
        <v>3.46</v>
      </c>
      <c r="V53" s="12"/>
      <c r="W53" s="12"/>
      <c r="X53" s="12"/>
      <c r="Y53" s="12"/>
      <c r="Z53" s="12"/>
      <c r="AA53" s="12"/>
    </row>
    <row r="54" spans="1:27" ht="284.25" customHeight="1" x14ac:dyDescent="0.2">
      <c r="A54" s="23" t="s">
        <v>221</v>
      </c>
      <c r="B54" s="14" t="s">
        <v>222</v>
      </c>
      <c r="C54" s="14" t="s">
        <v>101</v>
      </c>
      <c r="D54" s="12"/>
      <c r="E54" s="14" t="s">
        <v>60</v>
      </c>
      <c r="F54" s="14" t="s">
        <v>72</v>
      </c>
      <c r="G54" s="12"/>
      <c r="H54" s="12" t="s">
        <v>103</v>
      </c>
      <c r="I54" s="12" t="s">
        <v>74</v>
      </c>
      <c r="J54" s="12" t="s">
        <v>223</v>
      </c>
      <c r="K54" s="24">
        <v>31</v>
      </c>
      <c r="L54" s="24">
        <v>1420</v>
      </c>
      <c r="M54" s="29" t="s">
        <v>76</v>
      </c>
      <c r="N54" s="12"/>
      <c r="O54" s="30" t="str">
        <f t="shared" ref="O54:O56" si="10">HYPERLINK("https://www.harding.edu/admissions/cost/scholarships","https://www.harding.edu/admissions/cost/scholarships")</f>
        <v>https://www.harding.edu/admissions/cost/scholarships</v>
      </c>
      <c r="P54" s="33">
        <v>18440</v>
      </c>
      <c r="Q54" s="25">
        <v>0.76</v>
      </c>
      <c r="R54" s="14" t="s">
        <v>224</v>
      </c>
      <c r="S54" s="14" t="s">
        <v>225</v>
      </c>
      <c r="T54" s="12"/>
      <c r="U54" s="12">
        <v>3.59</v>
      </c>
      <c r="V54" s="12"/>
      <c r="W54" s="12"/>
      <c r="X54" s="12"/>
      <c r="Y54" s="12"/>
      <c r="Z54" s="12"/>
      <c r="AA54" s="12"/>
    </row>
    <row r="55" spans="1:27" ht="118" x14ac:dyDescent="0.2">
      <c r="A55" s="23" t="s">
        <v>221</v>
      </c>
      <c r="B55" s="14" t="s">
        <v>222</v>
      </c>
      <c r="C55" s="14" t="s">
        <v>101</v>
      </c>
      <c r="D55" s="12"/>
      <c r="E55" s="14" t="s">
        <v>111</v>
      </c>
      <c r="F55" s="14" t="s">
        <v>92</v>
      </c>
      <c r="G55" s="12"/>
      <c r="H55" s="12" t="s">
        <v>93</v>
      </c>
      <c r="I55" s="12" t="s">
        <v>74</v>
      </c>
      <c r="J55" s="12" t="s">
        <v>226</v>
      </c>
      <c r="K55" s="12"/>
      <c r="L55" s="12"/>
      <c r="M55" s="12"/>
      <c r="N55" s="12"/>
      <c r="O55" s="30" t="str">
        <f t="shared" si="10"/>
        <v>https://www.harding.edu/admissions/cost/scholarships</v>
      </c>
      <c r="P55" s="33">
        <v>18440</v>
      </c>
      <c r="Q55" s="25">
        <v>0.76</v>
      </c>
      <c r="R55" s="14" t="s">
        <v>224</v>
      </c>
      <c r="S55" s="14" t="s">
        <v>225</v>
      </c>
      <c r="T55" s="12"/>
      <c r="U55" s="12">
        <v>3.59</v>
      </c>
      <c r="V55" s="12"/>
      <c r="W55" s="12"/>
      <c r="X55" s="12"/>
      <c r="Y55" s="12"/>
      <c r="Z55" s="12"/>
      <c r="AA55" s="12"/>
    </row>
    <row r="56" spans="1:27" ht="105" x14ac:dyDescent="0.2">
      <c r="A56" s="39" t="s">
        <v>221</v>
      </c>
      <c r="B56" s="40" t="s">
        <v>222</v>
      </c>
      <c r="C56" s="40" t="s">
        <v>101</v>
      </c>
      <c r="D56" s="40"/>
      <c r="E56" s="40" t="s">
        <v>60</v>
      </c>
      <c r="F56" s="40" t="s">
        <v>92</v>
      </c>
      <c r="G56" s="40"/>
      <c r="H56" s="40" t="s">
        <v>93</v>
      </c>
      <c r="I56" s="40" t="s">
        <v>74</v>
      </c>
      <c r="J56" s="12" t="s">
        <v>227</v>
      </c>
      <c r="K56" s="40"/>
      <c r="L56" s="40"/>
      <c r="M56" s="40"/>
      <c r="N56" s="40"/>
      <c r="O56" s="30" t="str">
        <f t="shared" si="10"/>
        <v>https://www.harding.edu/admissions/cost/scholarships</v>
      </c>
      <c r="P56" s="41">
        <v>18440</v>
      </c>
      <c r="Q56" s="42">
        <v>0.76</v>
      </c>
      <c r="R56" s="40" t="s">
        <v>224</v>
      </c>
      <c r="S56" s="40" t="s">
        <v>225</v>
      </c>
      <c r="T56" s="40"/>
      <c r="U56" s="40">
        <v>3.59</v>
      </c>
      <c r="V56" s="40"/>
      <c r="W56" s="40"/>
      <c r="X56" s="40"/>
      <c r="Y56" s="40"/>
      <c r="Z56" s="40"/>
      <c r="AA56" s="40"/>
    </row>
    <row r="57" spans="1:27" ht="118" x14ac:dyDescent="0.2">
      <c r="A57" s="23" t="s">
        <v>221</v>
      </c>
      <c r="B57" s="14" t="s">
        <v>228</v>
      </c>
      <c r="C57" s="14" t="s">
        <v>101</v>
      </c>
      <c r="D57" s="12"/>
      <c r="E57" s="14" t="s">
        <v>229</v>
      </c>
      <c r="F57" s="14" t="s">
        <v>72</v>
      </c>
      <c r="G57" s="12"/>
      <c r="H57" s="12" t="s">
        <v>103</v>
      </c>
      <c r="I57" s="12" t="s">
        <v>74</v>
      </c>
      <c r="J57" s="12" t="s">
        <v>230</v>
      </c>
      <c r="K57" s="12"/>
      <c r="L57" s="12"/>
      <c r="M57" s="12"/>
      <c r="N57" s="12"/>
      <c r="O57" s="30" t="str">
        <f t="shared" ref="O57:O58" si="11">HYPERLINK("https://www.hendrix.edu/financialaid/scholarships/","https://www.hendrix.edu/financialaid/scholarships/")</f>
        <v>https://www.hendrix.edu/financialaid/scholarships/</v>
      </c>
      <c r="P57" s="33">
        <v>42090</v>
      </c>
      <c r="Q57" s="25">
        <v>0.83</v>
      </c>
      <c r="R57" s="34" t="s">
        <v>231</v>
      </c>
      <c r="S57" s="34" t="s">
        <v>232</v>
      </c>
      <c r="T57" s="12"/>
      <c r="U57" s="12">
        <v>3.9</v>
      </c>
      <c r="V57" s="12"/>
      <c r="W57" s="12"/>
      <c r="X57" s="12"/>
      <c r="Y57" s="12"/>
      <c r="Z57" s="12"/>
      <c r="AA57" s="12"/>
    </row>
    <row r="58" spans="1:27" ht="255" customHeight="1" x14ac:dyDescent="0.2">
      <c r="A58" s="23" t="s">
        <v>221</v>
      </c>
      <c r="B58" s="14" t="s">
        <v>228</v>
      </c>
      <c r="C58" s="14" t="s">
        <v>101</v>
      </c>
      <c r="D58" s="12"/>
      <c r="E58" s="14" t="s">
        <v>111</v>
      </c>
      <c r="F58" s="14" t="s">
        <v>72</v>
      </c>
      <c r="G58" s="12"/>
      <c r="H58" s="12" t="s">
        <v>62</v>
      </c>
      <c r="I58" s="12" t="s">
        <v>74</v>
      </c>
      <c r="J58" s="12" t="s">
        <v>233</v>
      </c>
      <c r="K58" s="24">
        <v>32</v>
      </c>
      <c r="L58" s="24">
        <v>1410</v>
      </c>
      <c r="M58" s="14" t="s">
        <v>197</v>
      </c>
      <c r="N58" s="24">
        <v>3.6</v>
      </c>
      <c r="O58" s="30" t="str">
        <f t="shared" si="11"/>
        <v>https://www.hendrix.edu/financialaid/scholarships/</v>
      </c>
      <c r="P58" s="33">
        <v>42090</v>
      </c>
      <c r="Q58" s="25">
        <v>0.83</v>
      </c>
      <c r="R58" s="34" t="s">
        <v>231</v>
      </c>
      <c r="S58" s="34" t="s">
        <v>232</v>
      </c>
      <c r="T58" s="12"/>
      <c r="U58" s="12">
        <v>3.9</v>
      </c>
      <c r="V58" s="12"/>
      <c r="W58" s="12"/>
      <c r="X58" s="12"/>
      <c r="Y58" s="12"/>
      <c r="Z58" s="12"/>
      <c r="AA58" s="12"/>
    </row>
    <row r="59" spans="1:27" ht="92" x14ac:dyDescent="0.2">
      <c r="A59" s="12" t="s">
        <v>221</v>
      </c>
      <c r="B59" s="12" t="s">
        <v>234</v>
      </c>
      <c r="C59" s="12" t="s">
        <v>101</v>
      </c>
      <c r="D59" s="12"/>
      <c r="E59" s="12" t="s">
        <v>60</v>
      </c>
      <c r="F59" s="12" t="s">
        <v>72</v>
      </c>
      <c r="G59" s="12"/>
      <c r="H59" s="12" t="s">
        <v>62</v>
      </c>
      <c r="I59" s="12" t="s">
        <v>74</v>
      </c>
      <c r="J59" s="64" t="s">
        <v>235</v>
      </c>
      <c r="K59" s="36">
        <v>29</v>
      </c>
      <c r="L59" s="36">
        <v>1350</v>
      </c>
      <c r="M59" s="29" t="s">
        <v>76</v>
      </c>
      <c r="N59" s="36">
        <v>3.9</v>
      </c>
      <c r="O59" s="30" t="str">
        <f t="shared" ref="O59:O62" si="12">HYPERLINK("http://www.jbu.edu/financial_aid/scholarships_grants/academic_competitive/","http://www.jbu.edu/financial_aid/scholarships_grants/academic_competitive/")</f>
        <v>http://www.jbu.edu/financial_aid/scholarships_grants/academic_competitive/</v>
      </c>
      <c r="P59" s="65">
        <v>25324</v>
      </c>
      <c r="Q59" s="31">
        <v>0.69</v>
      </c>
      <c r="R59" s="26" t="s">
        <v>105</v>
      </c>
      <c r="S59" s="26" t="s">
        <v>236</v>
      </c>
      <c r="T59" s="12"/>
      <c r="U59" s="12">
        <v>3.7</v>
      </c>
      <c r="V59" s="12"/>
      <c r="W59" s="12"/>
      <c r="X59" s="12"/>
      <c r="Y59" s="12"/>
      <c r="Z59" s="12"/>
      <c r="AA59" s="12"/>
    </row>
    <row r="60" spans="1:27" ht="92" x14ac:dyDescent="0.2">
      <c r="A60" s="12" t="s">
        <v>221</v>
      </c>
      <c r="B60" s="12" t="s">
        <v>234</v>
      </c>
      <c r="C60" s="12" t="s">
        <v>101</v>
      </c>
      <c r="D60" s="12"/>
      <c r="E60" s="12" t="s">
        <v>60</v>
      </c>
      <c r="F60" s="12" t="s">
        <v>72</v>
      </c>
      <c r="G60" s="12"/>
      <c r="H60" s="12" t="s">
        <v>62</v>
      </c>
      <c r="I60" s="12" t="s">
        <v>74</v>
      </c>
      <c r="J60" s="64" t="s">
        <v>235</v>
      </c>
      <c r="K60" s="36">
        <v>30</v>
      </c>
      <c r="L60" s="36">
        <v>1390</v>
      </c>
      <c r="M60" s="29" t="s">
        <v>76</v>
      </c>
      <c r="N60" s="36">
        <v>3.7</v>
      </c>
      <c r="O60" s="30" t="str">
        <f t="shared" si="12"/>
        <v>http://www.jbu.edu/financial_aid/scholarships_grants/academic_competitive/</v>
      </c>
      <c r="P60" s="65">
        <v>25324</v>
      </c>
      <c r="Q60" s="31">
        <v>0.69</v>
      </c>
      <c r="R60" s="26" t="s">
        <v>105</v>
      </c>
      <c r="S60" s="26" t="s">
        <v>236</v>
      </c>
      <c r="T60" s="12"/>
      <c r="U60" s="12">
        <v>3.7</v>
      </c>
      <c r="V60" s="12"/>
      <c r="W60" s="12"/>
      <c r="X60" s="12"/>
      <c r="Y60" s="12"/>
      <c r="Z60" s="12"/>
      <c r="AA60" s="12"/>
    </row>
    <row r="61" spans="1:27" ht="92" x14ac:dyDescent="0.2">
      <c r="A61" s="12" t="s">
        <v>221</v>
      </c>
      <c r="B61" s="12" t="s">
        <v>234</v>
      </c>
      <c r="C61" s="12" t="s">
        <v>101</v>
      </c>
      <c r="D61" s="12"/>
      <c r="E61" s="12" t="s">
        <v>60</v>
      </c>
      <c r="F61" s="12" t="s">
        <v>72</v>
      </c>
      <c r="G61" s="12"/>
      <c r="H61" s="12" t="s">
        <v>62</v>
      </c>
      <c r="I61" s="12" t="s">
        <v>74</v>
      </c>
      <c r="J61" s="64" t="s">
        <v>235</v>
      </c>
      <c r="K61" s="36">
        <v>32</v>
      </c>
      <c r="L61" s="36">
        <v>1450</v>
      </c>
      <c r="M61" s="29" t="s">
        <v>76</v>
      </c>
      <c r="N61" s="36">
        <v>3.6</v>
      </c>
      <c r="O61" s="30" t="str">
        <f t="shared" si="12"/>
        <v>http://www.jbu.edu/financial_aid/scholarships_grants/academic_competitive/</v>
      </c>
      <c r="P61" s="65">
        <v>25324</v>
      </c>
      <c r="Q61" s="31">
        <v>0.69</v>
      </c>
      <c r="R61" s="26" t="s">
        <v>105</v>
      </c>
      <c r="S61" s="26" t="s">
        <v>236</v>
      </c>
      <c r="T61" s="12"/>
      <c r="U61" s="12">
        <v>3.7</v>
      </c>
      <c r="V61" s="12"/>
      <c r="W61" s="12"/>
      <c r="X61" s="12"/>
      <c r="Y61" s="12"/>
      <c r="Z61" s="12"/>
      <c r="AA61" s="12"/>
    </row>
    <row r="62" spans="1:27" ht="78" customHeight="1" x14ac:dyDescent="0.2">
      <c r="A62" s="12" t="s">
        <v>221</v>
      </c>
      <c r="B62" s="12" t="s">
        <v>234</v>
      </c>
      <c r="C62" s="12" t="s">
        <v>101</v>
      </c>
      <c r="D62" s="12"/>
      <c r="E62" s="12" t="s">
        <v>60</v>
      </c>
      <c r="F62" s="12" t="s">
        <v>72</v>
      </c>
      <c r="G62" s="12"/>
      <c r="H62" s="12" t="s">
        <v>62</v>
      </c>
      <c r="I62" s="12" t="s">
        <v>74</v>
      </c>
      <c r="J62" s="64" t="s">
        <v>235</v>
      </c>
      <c r="K62" s="36">
        <v>34</v>
      </c>
      <c r="L62" s="36">
        <v>1520</v>
      </c>
      <c r="M62" s="29" t="s">
        <v>76</v>
      </c>
      <c r="N62" s="36">
        <v>3.5</v>
      </c>
      <c r="O62" s="30" t="str">
        <f t="shared" si="12"/>
        <v>http://www.jbu.edu/financial_aid/scholarships_grants/academic_competitive/</v>
      </c>
      <c r="P62" s="65">
        <v>25324</v>
      </c>
      <c r="Q62" s="31">
        <v>0.69</v>
      </c>
      <c r="R62" s="26" t="s">
        <v>105</v>
      </c>
      <c r="S62" s="26" t="s">
        <v>236</v>
      </c>
      <c r="T62" s="12"/>
      <c r="U62" s="12">
        <v>3.7</v>
      </c>
      <c r="V62" s="12"/>
      <c r="W62" s="12"/>
      <c r="X62" s="12"/>
      <c r="Y62" s="12"/>
      <c r="Z62" s="12"/>
      <c r="AA62" s="12"/>
    </row>
    <row r="63" spans="1:27" ht="222" x14ac:dyDescent="0.2">
      <c r="A63" s="23" t="s">
        <v>221</v>
      </c>
      <c r="B63" s="14" t="s">
        <v>237</v>
      </c>
      <c r="C63" s="14" t="s">
        <v>101</v>
      </c>
      <c r="D63" s="12"/>
      <c r="E63" s="14" t="s">
        <v>238</v>
      </c>
      <c r="F63" s="14" t="s">
        <v>72</v>
      </c>
      <c r="G63" s="12"/>
      <c r="H63" s="17" t="s">
        <v>239</v>
      </c>
      <c r="I63" s="12" t="s">
        <v>74</v>
      </c>
      <c r="J63" s="17" t="s">
        <v>240</v>
      </c>
      <c r="K63" s="12"/>
      <c r="L63" s="12"/>
      <c r="M63" s="12"/>
      <c r="N63" s="12"/>
      <c r="O63" s="19" t="s">
        <v>241</v>
      </c>
      <c r="P63" s="33">
        <v>26290</v>
      </c>
      <c r="Q63" s="25">
        <v>0.61</v>
      </c>
      <c r="R63" s="52" t="s">
        <v>142</v>
      </c>
      <c r="S63" s="34" t="s">
        <v>242</v>
      </c>
      <c r="T63" s="12"/>
      <c r="U63" s="12">
        <v>3.63</v>
      </c>
      <c r="V63" s="12"/>
      <c r="W63" s="12"/>
      <c r="X63" s="12"/>
      <c r="Y63" s="12"/>
      <c r="Z63" s="12"/>
      <c r="AA63" s="12"/>
    </row>
    <row r="64" spans="1:27" ht="267.75" customHeight="1" x14ac:dyDescent="0.2">
      <c r="A64" s="23" t="s">
        <v>221</v>
      </c>
      <c r="B64" s="14" t="s">
        <v>237</v>
      </c>
      <c r="C64" s="14" t="s">
        <v>101</v>
      </c>
      <c r="D64" s="12"/>
      <c r="E64" s="14" t="s">
        <v>243</v>
      </c>
      <c r="F64" s="14" t="s">
        <v>72</v>
      </c>
      <c r="G64" s="12"/>
      <c r="H64" s="17" t="s">
        <v>239</v>
      </c>
      <c r="I64" s="17" t="s">
        <v>74</v>
      </c>
      <c r="J64" s="66" t="s">
        <v>244</v>
      </c>
      <c r="K64" s="12"/>
      <c r="L64" s="12"/>
      <c r="M64" s="12"/>
      <c r="N64" s="12"/>
      <c r="O64" s="19" t="s">
        <v>241</v>
      </c>
      <c r="P64" s="33">
        <v>26290</v>
      </c>
      <c r="Q64" s="25">
        <v>0.61</v>
      </c>
      <c r="R64" s="52" t="s">
        <v>142</v>
      </c>
      <c r="S64" s="34" t="s">
        <v>242</v>
      </c>
      <c r="T64" s="12"/>
      <c r="U64" s="12">
        <v>3.63</v>
      </c>
      <c r="V64" s="12"/>
      <c r="W64" s="12"/>
      <c r="X64" s="12"/>
      <c r="Y64" s="12"/>
      <c r="Z64" s="12"/>
      <c r="AA64" s="12"/>
    </row>
    <row r="65" spans="1:27" ht="142.5" customHeight="1" x14ac:dyDescent="0.2">
      <c r="A65" s="23" t="s">
        <v>221</v>
      </c>
      <c r="B65" s="14" t="s">
        <v>245</v>
      </c>
      <c r="C65" s="14" t="s">
        <v>101</v>
      </c>
      <c r="D65" s="12"/>
      <c r="E65" s="14" t="s">
        <v>246</v>
      </c>
      <c r="F65" s="14" t="s">
        <v>72</v>
      </c>
      <c r="G65" s="12"/>
      <c r="H65" s="12" t="s">
        <v>62</v>
      </c>
      <c r="I65" s="12" t="s">
        <v>74</v>
      </c>
      <c r="J65" s="12" t="s">
        <v>247</v>
      </c>
      <c r="K65" s="12"/>
      <c r="L65" s="12"/>
      <c r="M65" s="12"/>
      <c r="N65" s="12"/>
      <c r="O65" s="30" t="str">
        <f>HYPERLINK("http://www.obu.edu/finaid/obu/","http://www.obu.edu/finaid/obu/")</f>
        <v>http://www.obu.edu/finaid/obu/</v>
      </c>
      <c r="P65" s="33">
        <v>25300</v>
      </c>
      <c r="Q65" s="25">
        <v>0.7</v>
      </c>
      <c r="R65" s="34" t="s">
        <v>182</v>
      </c>
      <c r="S65" s="34" t="s">
        <v>248</v>
      </c>
      <c r="T65" s="12"/>
      <c r="U65" s="12">
        <v>3.6</v>
      </c>
      <c r="V65" s="12"/>
      <c r="W65" s="12"/>
      <c r="X65" s="12"/>
      <c r="Y65" s="12"/>
      <c r="Z65" s="12"/>
      <c r="AA65" s="12"/>
    </row>
    <row r="66" spans="1:27" ht="78" customHeight="1" x14ac:dyDescent="0.2">
      <c r="A66" s="11" t="s">
        <v>221</v>
      </c>
      <c r="B66" s="12" t="s">
        <v>249</v>
      </c>
      <c r="C66" s="12" t="s">
        <v>101</v>
      </c>
      <c r="D66" s="12"/>
      <c r="E66" s="12" t="s">
        <v>111</v>
      </c>
      <c r="F66" s="12" t="s">
        <v>72</v>
      </c>
      <c r="G66" s="12"/>
      <c r="H66" s="17" t="s">
        <v>250</v>
      </c>
      <c r="I66" s="17" t="s">
        <v>74</v>
      </c>
      <c r="J66" s="14" t="s">
        <v>251</v>
      </c>
      <c r="K66" s="12"/>
      <c r="L66" s="12"/>
      <c r="M66" s="12"/>
      <c r="N66" s="12"/>
      <c r="O66" s="67" t="str">
        <f>HYPERLINK("https://www.philander.edu/scholarships/","https://www.philander.edu/scholarships/")</f>
        <v>https://www.philander.edu/scholarships/</v>
      </c>
      <c r="P66" s="65">
        <v>12564</v>
      </c>
      <c r="Q66" s="68">
        <v>0.52</v>
      </c>
      <c r="R66" s="12" t="s">
        <v>252</v>
      </c>
      <c r="S66" s="12" t="s">
        <v>253</v>
      </c>
      <c r="T66" s="12"/>
      <c r="U66" s="12">
        <v>2.88</v>
      </c>
      <c r="V66" s="12"/>
      <c r="W66" s="12"/>
      <c r="X66" s="12"/>
      <c r="Y66" s="12"/>
      <c r="Z66" s="12"/>
      <c r="AA66" s="12"/>
    </row>
    <row r="67" spans="1:27" ht="78" customHeight="1" x14ac:dyDescent="0.2">
      <c r="A67" s="11" t="s">
        <v>221</v>
      </c>
      <c r="B67" s="12" t="s">
        <v>249</v>
      </c>
      <c r="C67" s="12" t="s">
        <v>101</v>
      </c>
      <c r="D67" s="12"/>
      <c r="E67" s="12" t="s">
        <v>60</v>
      </c>
      <c r="F67" s="12" t="s">
        <v>72</v>
      </c>
      <c r="G67" s="12"/>
      <c r="H67" s="17" t="s">
        <v>250</v>
      </c>
      <c r="I67" s="17" t="s">
        <v>74</v>
      </c>
      <c r="J67" s="14" t="s">
        <v>254</v>
      </c>
      <c r="K67" s="12"/>
      <c r="L67" s="12"/>
      <c r="M67" s="12"/>
      <c r="N67" s="12"/>
      <c r="O67" s="37" t="s">
        <v>255</v>
      </c>
      <c r="P67" s="65">
        <v>12564</v>
      </c>
      <c r="Q67" s="68">
        <v>0.52</v>
      </c>
      <c r="R67" s="12" t="s">
        <v>252</v>
      </c>
      <c r="S67" s="12" t="s">
        <v>253</v>
      </c>
      <c r="T67" s="12"/>
      <c r="U67" s="12">
        <v>2.88</v>
      </c>
      <c r="V67" s="12"/>
      <c r="W67" s="12"/>
      <c r="X67" s="12"/>
      <c r="Y67" s="12"/>
      <c r="Z67" s="12"/>
      <c r="AA67" s="12"/>
    </row>
    <row r="68" spans="1:27" ht="75.75" customHeight="1" x14ac:dyDescent="0.2">
      <c r="A68" s="39" t="s">
        <v>221</v>
      </c>
      <c r="B68" s="40" t="s">
        <v>256</v>
      </c>
      <c r="C68" s="40" t="s">
        <v>59</v>
      </c>
      <c r="D68" s="40"/>
      <c r="E68" s="40" t="s">
        <v>88</v>
      </c>
      <c r="F68" s="40" t="s">
        <v>92</v>
      </c>
      <c r="G68" s="40"/>
      <c r="H68" s="40" t="s">
        <v>93</v>
      </c>
      <c r="I68" s="40" t="s">
        <v>74</v>
      </c>
      <c r="J68" s="40" t="s">
        <v>257</v>
      </c>
      <c r="K68" s="40"/>
      <c r="L68" s="40"/>
      <c r="M68" s="40"/>
      <c r="N68" s="40"/>
      <c r="O68" s="59" t="str">
        <f t="shared" ref="O68:O69" si="13">HYPERLINK("https://web.saumag.edu/finaid/scholarships/scholarpres/","https://web.saumag.edu/finaid/scholarships/scholarpres/")</f>
        <v>https://web.saumag.edu/finaid/scholarships/scholarpres/</v>
      </c>
      <c r="P68" s="41" t="s">
        <v>258</v>
      </c>
      <c r="Q68" s="60">
        <v>0.67</v>
      </c>
      <c r="R68" s="40" t="s">
        <v>259</v>
      </c>
      <c r="S68" s="40" t="s">
        <v>260</v>
      </c>
      <c r="T68" s="40"/>
      <c r="U68" s="40">
        <v>3.26</v>
      </c>
      <c r="V68" s="40"/>
      <c r="W68" s="40"/>
      <c r="X68" s="40"/>
      <c r="Y68" s="40"/>
      <c r="Z68" s="40"/>
      <c r="AA68" s="40"/>
    </row>
    <row r="69" spans="1:27" ht="75.75" customHeight="1" x14ac:dyDescent="0.2">
      <c r="A69" s="39" t="s">
        <v>221</v>
      </c>
      <c r="B69" s="40" t="s">
        <v>256</v>
      </c>
      <c r="C69" s="40" t="s">
        <v>59</v>
      </c>
      <c r="D69" s="40"/>
      <c r="E69" s="40" t="s">
        <v>88</v>
      </c>
      <c r="F69" s="40" t="s">
        <v>72</v>
      </c>
      <c r="G69" s="40"/>
      <c r="H69" s="69" t="s">
        <v>62</v>
      </c>
      <c r="I69" s="69" t="s">
        <v>74</v>
      </c>
      <c r="J69" s="40" t="s">
        <v>261</v>
      </c>
      <c r="K69" s="40">
        <v>30</v>
      </c>
      <c r="L69" s="40"/>
      <c r="M69" s="40"/>
      <c r="N69" s="40"/>
      <c r="O69" s="59" t="str">
        <f t="shared" si="13"/>
        <v>https://web.saumag.edu/finaid/scholarships/scholarpres/</v>
      </c>
      <c r="P69" s="41" t="s">
        <v>258</v>
      </c>
      <c r="Q69" s="60">
        <v>0.67</v>
      </c>
      <c r="R69" s="40" t="s">
        <v>259</v>
      </c>
      <c r="S69" s="40" t="s">
        <v>260</v>
      </c>
      <c r="T69" s="40"/>
      <c r="U69" s="40">
        <v>3.26</v>
      </c>
      <c r="V69" s="40"/>
      <c r="W69" s="40"/>
      <c r="X69" s="40"/>
      <c r="Y69" s="40"/>
      <c r="Z69" s="40"/>
      <c r="AA69" s="40"/>
    </row>
    <row r="70" spans="1:27" ht="79" x14ac:dyDescent="0.2">
      <c r="A70" s="26" t="s">
        <v>221</v>
      </c>
      <c r="B70" s="26" t="s">
        <v>262</v>
      </c>
      <c r="C70" s="26" t="s">
        <v>59</v>
      </c>
      <c r="D70" s="26"/>
      <c r="E70" s="26" t="s">
        <v>263</v>
      </c>
      <c r="F70" s="26" t="s">
        <v>92</v>
      </c>
      <c r="G70" s="12"/>
      <c r="H70" s="12" t="s">
        <v>93</v>
      </c>
      <c r="I70" s="12" t="s">
        <v>74</v>
      </c>
      <c r="J70" s="32" t="s">
        <v>264</v>
      </c>
      <c r="K70" s="12"/>
      <c r="L70" s="12"/>
      <c r="M70" s="12"/>
      <c r="N70" s="12"/>
      <c r="O70" s="70" t="str">
        <f t="shared" ref="O70:O71" si="14">HYPERLINK("http://scholarships.uark.edu/guide-to-academic-freshman-scholarships/new-freshman-academic-scholarships.php","http://scholarships.uark.edu/guide-to-academic-freshman-scholarships/new-freshman-academic-scholarships.php")</f>
        <v>http://scholarships.uark.edu/guide-to-academic-freshman-scholarships/new-freshman-academic-scholarships.php</v>
      </c>
      <c r="P70" s="26" t="s">
        <v>265</v>
      </c>
      <c r="Q70" s="62">
        <v>0.6</v>
      </c>
      <c r="R70" s="11" t="s">
        <v>266</v>
      </c>
      <c r="S70" s="12" t="s">
        <v>267</v>
      </c>
      <c r="T70" s="12"/>
      <c r="U70" s="12" t="s">
        <v>268</v>
      </c>
      <c r="V70" s="12"/>
      <c r="W70" s="12"/>
      <c r="X70" s="12"/>
      <c r="Y70" s="12"/>
      <c r="Z70" s="12"/>
      <c r="AA70" s="12"/>
    </row>
    <row r="71" spans="1:27" ht="78" customHeight="1" x14ac:dyDescent="0.2">
      <c r="A71" s="26" t="s">
        <v>221</v>
      </c>
      <c r="B71" s="26" t="s">
        <v>262</v>
      </c>
      <c r="C71" s="26" t="s">
        <v>59</v>
      </c>
      <c r="D71" s="26"/>
      <c r="E71" s="26" t="s">
        <v>269</v>
      </c>
      <c r="F71" s="26" t="s">
        <v>72</v>
      </c>
      <c r="G71" s="12"/>
      <c r="H71" s="12" t="s">
        <v>103</v>
      </c>
      <c r="I71" s="12" t="s">
        <v>74</v>
      </c>
      <c r="J71" s="32" t="s">
        <v>270</v>
      </c>
      <c r="K71" s="12"/>
      <c r="L71" s="12"/>
      <c r="M71" s="12"/>
      <c r="N71" s="12"/>
      <c r="O71" s="70" t="str">
        <f t="shared" si="14"/>
        <v>http://scholarships.uark.edu/guide-to-academic-freshman-scholarships/new-freshman-academic-scholarships.php</v>
      </c>
      <c r="P71" s="26" t="s">
        <v>265</v>
      </c>
      <c r="Q71" s="62">
        <v>0.6</v>
      </c>
      <c r="R71" s="11" t="s">
        <v>266</v>
      </c>
      <c r="S71" s="12" t="s">
        <v>267</v>
      </c>
      <c r="T71" s="12"/>
      <c r="U71" s="12" t="s">
        <v>268</v>
      </c>
      <c r="V71" s="12"/>
      <c r="W71" s="12"/>
      <c r="X71" s="12"/>
      <c r="Y71" s="12"/>
      <c r="Z71" s="12"/>
      <c r="AA71" s="12"/>
    </row>
    <row r="72" spans="1:27" ht="78" customHeight="1" x14ac:dyDescent="0.2">
      <c r="A72" s="26" t="s">
        <v>221</v>
      </c>
      <c r="B72" s="26" t="s">
        <v>262</v>
      </c>
      <c r="C72" s="26" t="s">
        <v>59</v>
      </c>
      <c r="D72" s="26"/>
      <c r="E72" s="26" t="s">
        <v>88</v>
      </c>
      <c r="F72" s="26" t="s">
        <v>72</v>
      </c>
      <c r="G72" s="12"/>
      <c r="H72" s="12" t="s">
        <v>62</v>
      </c>
      <c r="I72" s="12" t="s">
        <v>271</v>
      </c>
      <c r="J72" s="32" t="s">
        <v>272</v>
      </c>
      <c r="K72" s="12">
        <v>32</v>
      </c>
      <c r="L72" s="17">
        <v>1450</v>
      </c>
      <c r="M72" s="17" t="s">
        <v>76</v>
      </c>
      <c r="N72" s="12">
        <v>3.8</v>
      </c>
      <c r="O72" s="71" t="str">
        <f>HYPERLINK("http://honorscollege.uark.edu/prospective-students/fellowships/index.php","http://honorscollege.uark.edu/prospective-students/fellowships/index.php")</f>
        <v>http://honorscollege.uark.edu/prospective-students/fellowships/index.php</v>
      </c>
      <c r="P72" s="26" t="s">
        <v>265</v>
      </c>
      <c r="Q72" s="62">
        <v>0.6</v>
      </c>
      <c r="R72" s="11" t="s">
        <v>266</v>
      </c>
      <c r="S72" s="12" t="s">
        <v>267</v>
      </c>
      <c r="T72" s="12"/>
      <c r="U72" s="12" t="s">
        <v>268</v>
      </c>
      <c r="V72" s="12"/>
      <c r="W72" s="12"/>
      <c r="X72" s="12"/>
      <c r="Y72" s="12"/>
      <c r="Z72" s="12"/>
      <c r="AA72" s="12"/>
    </row>
    <row r="73" spans="1:27" ht="78" customHeight="1" x14ac:dyDescent="0.2">
      <c r="A73" s="26" t="s">
        <v>221</v>
      </c>
      <c r="B73" s="26" t="s">
        <v>262</v>
      </c>
      <c r="C73" s="26" t="s">
        <v>59</v>
      </c>
      <c r="D73" s="26"/>
      <c r="E73" s="26" t="s">
        <v>88</v>
      </c>
      <c r="F73" s="26" t="s">
        <v>72</v>
      </c>
      <c r="G73" s="12"/>
      <c r="H73" s="12" t="s">
        <v>62</v>
      </c>
      <c r="I73" s="72" t="s">
        <v>273</v>
      </c>
      <c r="J73" s="32" t="s">
        <v>274</v>
      </c>
      <c r="K73" s="12">
        <v>32</v>
      </c>
      <c r="L73" s="17">
        <v>1450</v>
      </c>
      <c r="M73" s="17" t="s">
        <v>76</v>
      </c>
      <c r="N73" s="12">
        <v>3.8</v>
      </c>
      <c r="O73" s="73" t="s">
        <v>275</v>
      </c>
      <c r="P73" s="26" t="s">
        <v>265</v>
      </c>
      <c r="Q73" s="62">
        <v>0.6</v>
      </c>
      <c r="R73" s="11" t="s">
        <v>266</v>
      </c>
      <c r="S73" s="12" t="s">
        <v>267</v>
      </c>
      <c r="T73" s="12"/>
      <c r="U73" s="12" t="s">
        <v>268</v>
      </c>
      <c r="V73" s="12"/>
      <c r="W73" s="12"/>
      <c r="X73" s="12"/>
      <c r="Y73" s="12"/>
      <c r="Z73" s="12"/>
      <c r="AA73" s="12"/>
    </row>
    <row r="74" spans="1:27" ht="78" customHeight="1" x14ac:dyDescent="0.2">
      <c r="A74" s="26" t="s">
        <v>221</v>
      </c>
      <c r="B74" s="26" t="s">
        <v>262</v>
      </c>
      <c r="C74" s="26" t="s">
        <v>59</v>
      </c>
      <c r="D74" s="26"/>
      <c r="E74" s="26" t="s">
        <v>88</v>
      </c>
      <c r="F74" s="26" t="s">
        <v>72</v>
      </c>
      <c r="G74" s="12"/>
      <c r="H74" s="12" t="s">
        <v>276</v>
      </c>
      <c r="I74" s="12" t="s">
        <v>273</v>
      </c>
      <c r="J74" s="32" t="s">
        <v>277</v>
      </c>
      <c r="K74" s="12">
        <v>32</v>
      </c>
      <c r="L74" s="17">
        <v>1450</v>
      </c>
      <c r="M74" s="17" t="s">
        <v>76</v>
      </c>
      <c r="N74" s="12">
        <v>3.8</v>
      </c>
      <c r="O74" s="73" t="s">
        <v>275</v>
      </c>
      <c r="P74" s="26" t="s">
        <v>265</v>
      </c>
      <c r="Q74" s="62">
        <v>0.6</v>
      </c>
      <c r="R74" s="11" t="s">
        <v>266</v>
      </c>
      <c r="S74" s="12" t="s">
        <v>267</v>
      </c>
      <c r="T74" s="12"/>
      <c r="U74" s="12" t="s">
        <v>268</v>
      </c>
      <c r="V74" s="12"/>
      <c r="W74" s="12"/>
      <c r="X74" s="12"/>
      <c r="Y74" s="12"/>
      <c r="Z74" s="12"/>
      <c r="AA74" s="12"/>
    </row>
    <row r="75" spans="1:27" ht="78" customHeight="1" x14ac:dyDescent="0.2">
      <c r="A75" s="26" t="s">
        <v>221</v>
      </c>
      <c r="B75" s="26" t="s">
        <v>262</v>
      </c>
      <c r="C75" s="26" t="s">
        <v>59</v>
      </c>
      <c r="D75" s="26"/>
      <c r="E75" s="26" t="s">
        <v>88</v>
      </c>
      <c r="F75" s="26" t="s">
        <v>72</v>
      </c>
      <c r="G75" s="12"/>
      <c r="H75" s="12" t="s">
        <v>278</v>
      </c>
      <c r="I75" s="12" t="s">
        <v>74</v>
      </c>
      <c r="J75" s="32" t="s">
        <v>279</v>
      </c>
      <c r="K75" s="12">
        <v>32</v>
      </c>
      <c r="L75" s="17">
        <v>1450</v>
      </c>
      <c r="M75" s="17" t="s">
        <v>76</v>
      </c>
      <c r="N75" s="12">
        <v>3.8</v>
      </c>
      <c r="O75" s="73" t="s">
        <v>275</v>
      </c>
      <c r="P75" s="26" t="s">
        <v>265</v>
      </c>
      <c r="Q75" s="62">
        <v>0.6</v>
      </c>
      <c r="R75" s="11" t="s">
        <v>266</v>
      </c>
      <c r="S75" s="12" t="s">
        <v>267</v>
      </c>
      <c r="T75" s="12"/>
      <c r="U75" s="12" t="s">
        <v>268</v>
      </c>
      <c r="V75" s="12"/>
      <c r="W75" s="12"/>
      <c r="X75" s="12"/>
      <c r="Y75" s="12"/>
      <c r="Z75" s="12"/>
      <c r="AA75" s="12"/>
    </row>
    <row r="76" spans="1:27" ht="136.5" customHeight="1" x14ac:dyDescent="0.2">
      <c r="A76" s="11" t="s">
        <v>221</v>
      </c>
      <c r="B76" s="12" t="s">
        <v>280</v>
      </c>
      <c r="C76" s="26" t="s">
        <v>59</v>
      </c>
      <c r="D76" s="12"/>
      <c r="E76" s="12" t="s">
        <v>281</v>
      </c>
      <c r="F76" s="11" t="s">
        <v>72</v>
      </c>
      <c r="G76" s="12"/>
      <c r="H76" s="12" t="s">
        <v>282</v>
      </c>
      <c r="I76" s="12" t="s">
        <v>74</v>
      </c>
      <c r="J76" s="74" t="s">
        <v>283</v>
      </c>
      <c r="K76" s="35">
        <v>25</v>
      </c>
      <c r="L76" s="12"/>
      <c r="M76" s="12"/>
      <c r="N76" s="36">
        <v>3.25</v>
      </c>
      <c r="O76" s="75" t="s">
        <v>284</v>
      </c>
      <c r="P76" s="26" t="s">
        <v>285</v>
      </c>
      <c r="Q76" s="31">
        <v>0.56000000000000005</v>
      </c>
      <c r="R76" s="26" t="s">
        <v>130</v>
      </c>
      <c r="S76" s="26" t="s">
        <v>109</v>
      </c>
      <c r="T76" s="12"/>
      <c r="U76" s="12" t="s">
        <v>286</v>
      </c>
      <c r="V76" s="12"/>
      <c r="W76" s="12"/>
      <c r="X76" s="12"/>
      <c r="Y76" s="12"/>
      <c r="Z76" s="12"/>
      <c r="AA76" s="12"/>
    </row>
    <row r="77" spans="1:27" ht="111" x14ac:dyDescent="0.2">
      <c r="A77" s="11" t="s">
        <v>221</v>
      </c>
      <c r="B77" s="12" t="s">
        <v>280</v>
      </c>
      <c r="C77" s="26" t="s">
        <v>59</v>
      </c>
      <c r="D77" s="12"/>
      <c r="E77" s="12" t="s">
        <v>287</v>
      </c>
      <c r="F77" s="11" t="s">
        <v>72</v>
      </c>
      <c r="G77" s="12"/>
      <c r="H77" s="12" t="s">
        <v>288</v>
      </c>
      <c r="I77" s="12" t="s">
        <v>74</v>
      </c>
      <c r="J77" s="74" t="s">
        <v>289</v>
      </c>
      <c r="K77" s="35">
        <v>27</v>
      </c>
      <c r="L77" s="12"/>
      <c r="M77" s="12"/>
      <c r="N77" s="36">
        <v>3.5</v>
      </c>
      <c r="O77" s="59" t="str">
        <f>HYPERLINK("http://admissions.uafs.edu/financial-aid/prestigious","http://admissions.uafs.edu/financial-aid/prestigious")</f>
        <v>http://admissions.uafs.edu/financial-aid/prestigious</v>
      </c>
      <c r="P77" s="26" t="s">
        <v>285</v>
      </c>
      <c r="Q77" s="31">
        <v>0.56000000000000005</v>
      </c>
      <c r="R77" s="26" t="s">
        <v>130</v>
      </c>
      <c r="S77" s="26" t="s">
        <v>109</v>
      </c>
      <c r="T77" s="12"/>
      <c r="U77" s="12" t="s">
        <v>286</v>
      </c>
      <c r="V77" s="12"/>
      <c r="W77" s="12"/>
      <c r="X77" s="12"/>
      <c r="Y77" s="12"/>
      <c r="Z77" s="12"/>
      <c r="AA77" s="12"/>
    </row>
    <row r="78" spans="1:27" ht="78" x14ac:dyDescent="0.2">
      <c r="A78" s="11" t="s">
        <v>221</v>
      </c>
      <c r="B78" s="12" t="s">
        <v>280</v>
      </c>
      <c r="C78" s="26" t="s">
        <v>59</v>
      </c>
      <c r="D78" s="12"/>
      <c r="E78" s="12" t="s">
        <v>287</v>
      </c>
      <c r="F78" s="11" t="s">
        <v>72</v>
      </c>
      <c r="G78" s="12"/>
      <c r="H78" s="12" t="s">
        <v>290</v>
      </c>
      <c r="I78" s="12" t="s">
        <v>74</v>
      </c>
      <c r="J78" s="74" t="s">
        <v>291</v>
      </c>
      <c r="K78" s="35">
        <v>27</v>
      </c>
      <c r="L78" s="12"/>
      <c r="M78" s="12"/>
      <c r="N78" s="36">
        <v>3.5</v>
      </c>
      <c r="O78" s="75" t="s">
        <v>284</v>
      </c>
      <c r="P78" s="26" t="s">
        <v>285</v>
      </c>
      <c r="Q78" s="31">
        <v>0.56000000000000005</v>
      </c>
      <c r="R78" s="26" t="s">
        <v>130</v>
      </c>
      <c r="S78" s="26" t="s">
        <v>109</v>
      </c>
      <c r="T78" s="12"/>
      <c r="U78" s="12" t="s">
        <v>286</v>
      </c>
      <c r="V78" s="12"/>
      <c r="W78" s="12"/>
      <c r="X78" s="12"/>
      <c r="Y78" s="12"/>
      <c r="Z78" s="12"/>
      <c r="AA78" s="12"/>
    </row>
    <row r="79" spans="1:27" ht="53" x14ac:dyDescent="0.2">
      <c r="A79" s="11" t="s">
        <v>221</v>
      </c>
      <c r="B79" s="12" t="s">
        <v>280</v>
      </c>
      <c r="C79" s="26" t="s">
        <v>59</v>
      </c>
      <c r="D79" s="12"/>
      <c r="E79" s="12" t="s">
        <v>292</v>
      </c>
      <c r="F79" s="11" t="s">
        <v>72</v>
      </c>
      <c r="G79" s="12"/>
      <c r="H79" s="12" t="s">
        <v>293</v>
      </c>
      <c r="I79" s="12" t="s">
        <v>74</v>
      </c>
      <c r="J79" s="74" t="s">
        <v>294</v>
      </c>
      <c r="K79" s="35">
        <v>27</v>
      </c>
      <c r="L79" s="12"/>
      <c r="M79" s="12"/>
      <c r="N79" s="36">
        <v>3.5</v>
      </c>
      <c r="O79" s="75" t="s">
        <v>284</v>
      </c>
      <c r="P79" s="26" t="s">
        <v>285</v>
      </c>
      <c r="Q79" s="31">
        <v>0.56000000000000005</v>
      </c>
      <c r="R79" s="26" t="s">
        <v>130</v>
      </c>
      <c r="S79" s="26" t="s">
        <v>109</v>
      </c>
      <c r="T79" s="12"/>
      <c r="U79" s="12" t="s">
        <v>286</v>
      </c>
      <c r="V79" s="12"/>
      <c r="W79" s="12"/>
      <c r="X79" s="12"/>
      <c r="Y79" s="12"/>
      <c r="Z79" s="12"/>
      <c r="AA79" s="12"/>
    </row>
    <row r="80" spans="1:27" ht="89" x14ac:dyDescent="0.2">
      <c r="A80" s="11" t="s">
        <v>221</v>
      </c>
      <c r="B80" s="12" t="s">
        <v>280</v>
      </c>
      <c r="C80" s="26" t="s">
        <v>59</v>
      </c>
      <c r="D80" s="12"/>
      <c r="E80" s="12" t="s">
        <v>88</v>
      </c>
      <c r="F80" s="11" t="s">
        <v>72</v>
      </c>
      <c r="G80" s="12"/>
      <c r="H80" s="12" t="s">
        <v>293</v>
      </c>
      <c r="I80" s="12" t="s">
        <v>74</v>
      </c>
      <c r="J80" s="74" t="s">
        <v>295</v>
      </c>
      <c r="K80" s="35">
        <v>27</v>
      </c>
      <c r="L80" s="12"/>
      <c r="M80" s="12"/>
      <c r="N80" s="36">
        <v>3.5</v>
      </c>
      <c r="O80" s="75" t="s">
        <v>284</v>
      </c>
      <c r="P80" s="26" t="s">
        <v>285</v>
      </c>
      <c r="Q80" s="31">
        <v>0.56000000000000005</v>
      </c>
      <c r="R80" s="26" t="s">
        <v>130</v>
      </c>
      <c r="S80" s="26" t="s">
        <v>109</v>
      </c>
      <c r="T80" s="12"/>
      <c r="U80" s="12" t="s">
        <v>286</v>
      </c>
      <c r="V80" s="12"/>
      <c r="W80" s="12"/>
      <c r="X80" s="12"/>
      <c r="Y80" s="12"/>
      <c r="Z80" s="12"/>
      <c r="AA80" s="12"/>
    </row>
    <row r="81" spans="1:27" ht="79" x14ac:dyDescent="0.2">
      <c r="A81" s="11" t="s">
        <v>221</v>
      </c>
      <c r="B81" s="12" t="s">
        <v>296</v>
      </c>
      <c r="C81" s="26" t="s">
        <v>59</v>
      </c>
      <c r="D81" s="29" t="s">
        <v>194</v>
      </c>
      <c r="E81" s="12" t="s">
        <v>287</v>
      </c>
      <c r="F81" s="11" t="s">
        <v>72</v>
      </c>
      <c r="G81" s="12"/>
      <c r="H81" s="12" t="s">
        <v>62</v>
      </c>
      <c r="I81" s="12" t="s">
        <v>74</v>
      </c>
      <c r="J81" s="17" t="s">
        <v>297</v>
      </c>
      <c r="K81" s="28">
        <v>30</v>
      </c>
      <c r="L81" s="28"/>
      <c r="M81" s="26"/>
      <c r="N81" s="26">
        <v>3.5</v>
      </c>
      <c r="O81" s="30" t="str">
        <f t="shared" ref="O81:O82" si="15">HYPERLINK("http://ualr.edu/scholarships/academic/","http://ualr.edu/scholarships/academic/")</f>
        <v>http://ualr.edu/scholarships/academic/</v>
      </c>
      <c r="P81" s="26" t="s">
        <v>298</v>
      </c>
      <c r="Q81" s="31">
        <v>0.59</v>
      </c>
      <c r="R81" s="26" t="s">
        <v>124</v>
      </c>
      <c r="S81" s="26" t="s">
        <v>299</v>
      </c>
      <c r="T81" s="12"/>
      <c r="U81" s="12">
        <v>3.21</v>
      </c>
      <c r="V81" s="12"/>
      <c r="W81" s="12"/>
      <c r="X81" s="12"/>
      <c r="Y81" s="12"/>
      <c r="Z81" s="12"/>
      <c r="AA81" s="12"/>
    </row>
    <row r="82" spans="1:27" ht="79" x14ac:dyDescent="0.2">
      <c r="A82" s="11" t="s">
        <v>221</v>
      </c>
      <c r="B82" s="12" t="s">
        <v>296</v>
      </c>
      <c r="C82" s="26" t="s">
        <v>59</v>
      </c>
      <c r="D82" s="29" t="s">
        <v>194</v>
      </c>
      <c r="E82" s="12" t="s">
        <v>300</v>
      </c>
      <c r="F82" s="11" t="s">
        <v>72</v>
      </c>
      <c r="G82" s="12"/>
      <c r="H82" s="12" t="s">
        <v>62</v>
      </c>
      <c r="I82" s="12" t="s">
        <v>74</v>
      </c>
      <c r="J82" s="17" t="s">
        <v>301</v>
      </c>
      <c r="K82" s="76">
        <v>28</v>
      </c>
      <c r="L82" s="76"/>
      <c r="M82" s="26"/>
      <c r="N82" s="26">
        <v>3.5</v>
      </c>
      <c r="O82" s="30" t="str">
        <f t="shared" si="15"/>
        <v>http://ualr.edu/scholarships/academic/</v>
      </c>
      <c r="P82" s="26" t="s">
        <v>298</v>
      </c>
      <c r="Q82" s="31">
        <v>0.59</v>
      </c>
      <c r="R82" s="26" t="s">
        <v>124</v>
      </c>
      <c r="S82" s="26" t="s">
        <v>299</v>
      </c>
      <c r="T82" s="12"/>
      <c r="U82" s="12">
        <v>3.21</v>
      </c>
      <c r="V82" s="12"/>
      <c r="W82" s="12"/>
      <c r="X82" s="12"/>
      <c r="Y82" s="12"/>
      <c r="Z82" s="12"/>
      <c r="AA82" s="12"/>
    </row>
    <row r="83" spans="1:27" ht="92" x14ac:dyDescent="0.2">
      <c r="A83" s="11" t="s">
        <v>221</v>
      </c>
      <c r="B83" s="12" t="s">
        <v>296</v>
      </c>
      <c r="C83" s="26" t="s">
        <v>59</v>
      </c>
      <c r="D83" s="26"/>
      <c r="E83" s="12" t="s">
        <v>302</v>
      </c>
      <c r="F83" s="11" t="s">
        <v>72</v>
      </c>
      <c r="G83" s="12"/>
      <c r="H83" s="12" t="s">
        <v>103</v>
      </c>
      <c r="I83" s="12">
        <v>25</v>
      </c>
      <c r="J83" s="12" t="s">
        <v>303</v>
      </c>
      <c r="K83" s="12"/>
      <c r="L83" s="12"/>
      <c r="M83" s="12"/>
      <c r="N83" s="12"/>
      <c r="O83" s="77" t="s">
        <v>304</v>
      </c>
      <c r="P83" s="26" t="s">
        <v>298</v>
      </c>
      <c r="Q83" s="31">
        <v>0.59</v>
      </c>
      <c r="R83" s="26" t="s">
        <v>124</v>
      </c>
      <c r="S83" s="26" t="s">
        <v>299</v>
      </c>
      <c r="T83" s="12"/>
      <c r="U83" s="12">
        <v>3.21</v>
      </c>
      <c r="V83" s="12"/>
      <c r="W83" s="12"/>
      <c r="X83" s="12"/>
      <c r="Y83" s="12"/>
      <c r="Z83" s="12"/>
      <c r="AA83" s="12"/>
    </row>
    <row r="84" spans="1:27" ht="196" x14ac:dyDescent="0.2">
      <c r="A84" s="12" t="s">
        <v>221</v>
      </c>
      <c r="B84" s="12" t="s">
        <v>305</v>
      </c>
      <c r="C84" s="12" t="s">
        <v>59</v>
      </c>
      <c r="D84" s="12"/>
      <c r="E84" s="12" t="s">
        <v>88</v>
      </c>
      <c r="F84" s="12" t="s">
        <v>61</v>
      </c>
      <c r="G84" s="12"/>
      <c r="H84" s="12" t="s">
        <v>62</v>
      </c>
      <c r="I84" s="12" t="s">
        <v>63</v>
      </c>
      <c r="J84" s="12" t="s">
        <v>306</v>
      </c>
      <c r="K84" s="12">
        <v>30</v>
      </c>
      <c r="L84" s="12"/>
      <c r="M84" s="12"/>
      <c r="N84" s="12">
        <v>3</v>
      </c>
      <c r="O84" s="59" t="str">
        <f t="shared" ref="O84:O88" si="16">HYPERLINK("http://www.uamont.edu/pages/admissions/institutional-scholarships/","http://www.uamont.edu/pages/admissions/institutional-scholarships/")</f>
        <v>http://www.uamont.edu/pages/admissions/institutional-scholarships/</v>
      </c>
      <c r="P84" s="12" t="s">
        <v>307</v>
      </c>
      <c r="Q84" s="12">
        <v>0.46</v>
      </c>
      <c r="R84" s="12" t="s">
        <v>308</v>
      </c>
      <c r="S84" s="12" t="s">
        <v>109</v>
      </c>
      <c r="T84" s="12"/>
      <c r="U84" s="12">
        <v>2.71</v>
      </c>
      <c r="V84" s="12"/>
      <c r="W84" s="12"/>
      <c r="X84" s="12"/>
      <c r="Y84" s="12"/>
      <c r="Z84" s="12"/>
      <c r="AA84" s="12"/>
    </row>
    <row r="85" spans="1:27" ht="105" x14ac:dyDescent="0.2">
      <c r="A85" s="11" t="s">
        <v>221</v>
      </c>
      <c r="B85" s="12" t="s">
        <v>305</v>
      </c>
      <c r="C85" s="26" t="s">
        <v>59</v>
      </c>
      <c r="D85" s="26"/>
      <c r="E85" s="12" t="s">
        <v>60</v>
      </c>
      <c r="F85" s="12" t="s">
        <v>92</v>
      </c>
      <c r="G85" s="12"/>
      <c r="H85" s="12" t="s">
        <v>93</v>
      </c>
      <c r="I85" s="12" t="s">
        <v>63</v>
      </c>
      <c r="J85" s="12" t="s">
        <v>309</v>
      </c>
      <c r="K85" s="12"/>
      <c r="L85" s="12"/>
      <c r="M85" s="12"/>
      <c r="N85" s="12"/>
      <c r="O85" s="37" t="str">
        <f t="shared" si="16"/>
        <v>http://www.uamont.edu/pages/admissions/institutional-scholarships/</v>
      </c>
      <c r="P85" s="26" t="s">
        <v>307</v>
      </c>
      <c r="Q85" s="62">
        <v>0.46</v>
      </c>
      <c r="R85" s="26" t="s">
        <v>308</v>
      </c>
      <c r="S85" s="26" t="s">
        <v>109</v>
      </c>
      <c r="T85" s="12"/>
      <c r="U85" s="12">
        <v>2.71</v>
      </c>
      <c r="V85" s="12"/>
      <c r="W85" s="12"/>
      <c r="X85" s="12"/>
      <c r="Y85" s="12"/>
      <c r="Z85" s="12"/>
      <c r="AA85" s="12"/>
    </row>
    <row r="86" spans="1:27" ht="155" x14ac:dyDescent="0.2">
      <c r="A86" s="11" t="s">
        <v>221</v>
      </c>
      <c r="B86" s="12" t="s">
        <v>305</v>
      </c>
      <c r="C86" s="26" t="s">
        <v>59</v>
      </c>
      <c r="D86" s="26"/>
      <c r="E86" s="12" t="s">
        <v>60</v>
      </c>
      <c r="F86" s="11" t="s">
        <v>61</v>
      </c>
      <c r="G86" s="12"/>
      <c r="H86" s="12" t="s">
        <v>62</v>
      </c>
      <c r="I86" s="12" t="s">
        <v>63</v>
      </c>
      <c r="J86" s="32" t="s">
        <v>310</v>
      </c>
      <c r="K86" s="35">
        <v>27</v>
      </c>
      <c r="L86" s="12"/>
      <c r="M86" s="12"/>
      <c r="N86" s="26">
        <v>3</v>
      </c>
      <c r="O86" s="59" t="str">
        <f t="shared" si="16"/>
        <v>http://www.uamont.edu/pages/admissions/institutional-scholarships/</v>
      </c>
      <c r="P86" s="26" t="s">
        <v>307</v>
      </c>
      <c r="Q86" s="62">
        <v>0.46</v>
      </c>
      <c r="R86" s="26" t="s">
        <v>308</v>
      </c>
      <c r="S86" s="26" t="s">
        <v>109</v>
      </c>
      <c r="T86" s="12"/>
      <c r="U86" s="12">
        <v>2.71</v>
      </c>
      <c r="V86" s="12"/>
      <c r="W86" s="12"/>
      <c r="X86" s="12"/>
      <c r="Y86" s="12"/>
      <c r="Z86" s="12"/>
      <c r="AA86" s="12"/>
    </row>
    <row r="87" spans="1:27" ht="155" x14ac:dyDescent="0.2">
      <c r="A87" s="11" t="s">
        <v>221</v>
      </c>
      <c r="B87" s="12" t="s">
        <v>305</v>
      </c>
      <c r="C87" s="26" t="s">
        <v>59</v>
      </c>
      <c r="D87" s="26"/>
      <c r="E87" s="12" t="s">
        <v>311</v>
      </c>
      <c r="F87" s="11" t="s">
        <v>61</v>
      </c>
      <c r="G87" s="12"/>
      <c r="H87" s="12" t="s">
        <v>62</v>
      </c>
      <c r="I87" s="12" t="s">
        <v>63</v>
      </c>
      <c r="J87" s="32" t="s">
        <v>312</v>
      </c>
      <c r="K87" s="35">
        <v>24</v>
      </c>
      <c r="L87" s="12"/>
      <c r="M87" s="12"/>
      <c r="N87" s="26">
        <v>3</v>
      </c>
      <c r="O87" s="59" t="str">
        <f t="shared" si="16"/>
        <v>http://www.uamont.edu/pages/admissions/institutional-scholarships/</v>
      </c>
      <c r="P87" s="26" t="s">
        <v>307</v>
      </c>
      <c r="Q87" s="62">
        <v>0.46</v>
      </c>
      <c r="R87" s="26" t="s">
        <v>308</v>
      </c>
      <c r="S87" s="26" t="s">
        <v>109</v>
      </c>
      <c r="T87" s="12"/>
      <c r="U87" s="12">
        <v>2.71</v>
      </c>
      <c r="V87" s="12"/>
      <c r="W87" s="12"/>
      <c r="X87" s="12"/>
      <c r="Y87" s="12"/>
      <c r="Z87" s="12"/>
      <c r="AA87" s="12"/>
    </row>
    <row r="88" spans="1:27" ht="155" x14ac:dyDescent="0.2">
      <c r="A88" s="11" t="s">
        <v>221</v>
      </c>
      <c r="B88" s="12" t="s">
        <v>305</v>
      </c>
      <c r="C88" s="26" t="s">
        <v>59</v>
      </c>
      <c r="D88" s="12"/>
      <c r="E88" s="12" t="s">
        <v>311</v>
      </c>
      <c r="F88" s="78" t="s">
        <v>313</v>
      </c>
      <c r="G88" s="12"/>
      <c r="H88" s="12" t="s">
        <v>314</v>
      </c>
      <c r="I88" s="12" t="s">
        <v>63</v>
      </c>
      <c r="J88" s="32" t="s">
        <v>315</v>
      </c>
      <c r="K88" s="35">
        <v>21</v>
      </c>
      <c r="L88" s="12"/>
      <c r="M88" s="12"/>
      <c r="N88" s="26">
        <v>3</v>
      </c>
      <c r="O88" s="59" t="str">
        <f t="shared" si="16"/>
        <v>http://www.uamont.edu/pages/admissions/institutional-scholarships/</v>
      </c>
      <c r="P88" s="26" t="s">
        <v>307</v>
      </c>
      <c r="Q88" s="62">
        <v>0.46</v>
      </c>
      <c r="R88" s="26" t="s">
        <v>308</v>
      </c>
      <c r="S88" s="26" t="s">
        <v>109</v>
      </c>
      <c r="T88" s="12"/>
      <c r="U88" s="12">
        <v>2.71</v>
      </c>
      <c r="V88" s="12"/>
      <c r="W88" s="12"/>
      <c r="X88" s="12"/>
      <c r="Y88" s="12"/>
      <c r="Z88" s="12"/>
      <c r="AA88" s="12"/>
    </row>
    <row r="89" spans="1:27" ht="92" x14ac:dyDescent="0.2">
      <c r="A89" s="11" t="s">
        <v>221</v>
      </c>
      <c r="B89" s="12" t="s">
        <v>316</v>
      </c>
      <c r="C89" s="12" t="s">
        <v>59</v>
      </c>
      <c r="D89" s="12"/>
      <c r="E89" s="12" t="s">
        <v>82</v>
      </c>
      <c r="F89" s="12" t="s">
        <v>61</v>
      </c>
      <c r="G89" s="12"/>
      <c r="H89" s="12" t="s">
        <v>62</v>
      </c>
      <c r="I89" s="12" t="s">
        <v>63</v>
      </c>
      <c r="J89" s="12" t="s">
        <v>317</v>
      </c>
      <c r="K89" s="36">
        <v>28</v>
      </c>
      <c r="L89" s="36">
        <v>1310</v>
      </c>
      <c r="M89" s="29" t="s">
        <v>76</v>
      </c>
      <c r="N89" s="36">
        <v>3.75</v>
      </c>
      <c r="O89" s="79" t="s">
        <v>318</v>
      </c>
      <c r="P89" s="12" t="s">
        <v>319</v>
      </c>
      <c r="Q89" s="57">
        <v>0.46</v>
      </c>
      <c r="R89" s="12" t="s">
        <v>320</v>
      </c>
      <c r="S89" s="12" t="s">
        <v>321</v>
      </c>
      <c r="T89" s="12"/>
      <c r="U89" s="12">
        <v>2.9</v>
      </c>
      <c r="V89" s="12"/>
      <c r="W89" s="12"/>
      <c r="X89" s="12"/>
      <c r="Y89" s="12"/>
      <c r="Z89" s="12"/>
      <c r="AA89" s="12"/>
    </row>
    <row r="90" spans="1:27" ht="92" x14ac:dyDescent="0.2">
      <c r="A90" s="11" t="s">
        <v>221</v>
      </c>
      <c r="B90" s="12" t="s">
        <v>316</v>
      </c>
      <c r="C90" s="12" t="s">
        <v>59</v>
      </c>
      <c r="D90" s="12"/>
      <c r="E90" s="12" t="s">
        <v>82</v>
      </c>
      <c r="F90" s="12" t="s">
        <v>313</v>
      </c>
      <c r="G90" s="12"/>
      <c r="H90" s="17" t="s">
        <v>322</v>
      </c>
      <c r="I90" s="12" t="s">
        <v>63</v>
      </c>
      <c r="J90" s="12" t="s">
        <v>323</v>
      </c>
      <c r="K90" s="36">
        <v>23</v>
      </c>
      <c r="L90" s="36">
        <v>1130</v>
      </c>
      <c r="M90" s="29" t="s">
        <v>76</v>
      </c>
      <c r="N90" s="80">
        <v>3.75</v>
      </c>
      <c r="O90" s="79" t="s">
        <v>318</v>
      </c>
      <c r="P90" s="12" t="s">
        <v>319</v>
      </c>
      <c r="Q90" s="57">
        <v>0.46</v>
      </c>
      <c r="R90" s="12" t="s">
        <v>320</v>
      </c>
      <c r="S90" s="12" t="s">
        <v>321</v>
      </c>
      <c r="T90" s="12"/>
      <c r="U90" s="12">
        <v>2.9</v>
      </c>
      <c r="V90" s="12"/>
      <c r="W90" s="12"/>
      <c r="X90" s="12"/>
      <c r="Y90" s="12"/>
      <c r="Z90" s="12"/>
      <c r="AA90" s="12"/>
    </row>
    <row r="91" spans="1:27" ht="174" customHeight="1" x14ac:dyDescent="0.2">
      <c r="A91" s="11" t="s">
        <v>221</v>
      </c>
      <c r="B91" s="12" t="s">
        <v>316</v>
      </c>
      <c r="C91" s="12" t="s">
        <v>59</v>
      </c>
      <c r="D91" s="12"/>
      <c r="E91" s="17" t="s">
        <v>324</v>
      </c>
      <c r="F91" s="12" t="s">
        <v>61</v>
      </c>
      <c r="G91" s="12"/>
      <c r="H91" s="12" t="s">
        <v>62</v>
      </c>
      <c r="I91" s="12" t="s">
        <v>63</v>
      </c>
      <c r="J91" s="14" t="s">
        <v>325</v>
      </c>
      <c r="K91" s="36">
        <v>21</v>
      </c>
      <c r="L91" s="80">
        <v>1060</v>
      </c>
      <c r="M91" s="17" t="s">
        <v>76</v>
      </c>
      <c r="N91" s="36">
        <v>3.25</v>
      </c>
      <c r="O91" s="37" t="str">
        <f t="shared" ref="O91:O94" si="17">HYPERLINK("https://www.uapb.edu/admissions/funding_your_education.aspx","https://www.uapb.edu/admissions/funding_your_education.aspx")</f>
        <v>https://www.uapb.edu/admissions/funding_your_education.aspx</v>
      </c>
      <c r="P91" s="12" t="s">
        <v>319</v>
      </c>
      <c r="Q91" s="57">
        <v>0.46</v>
      </c>
      <c r="R91" s="12" t="s">
        <v>320</v>
      </c>
      <c r="S91" s="12" t="s">
        <v>321</v>
      </c>
      <c r="T91" s="12"/>
      <c r="U91" s="12">
        <v>2.9</v>
      </c>
      <c r="V91" s="12"/>
      <c r="W91" s="12"/>
      <c r="X91" s="12"/>
      <c r="Y91" s="12"/>
      <c r="Z91" s="12"/>
      <c r="AA91" s="12"/>
    </row>
    <row r="92" spans="1:27" ht="174" customHeight="1" x14ac:dyDescent="0.2">
      <c r="A92" s="11" t="s">
        <v>221</v>
      </c>
      <c r="B92" s="12" t="s">
        <v>316</v>
      </c>
      <c r="C92" s="12" t="s">
        <v>59</v>
      </c>
      <c r="D92" s="12"/>
      <c r="E92" s="17" t="s">
        <v>324</v>
      </c>
      <c r="F92" s="12" t="s">
        <v>61</v>
      </c>
      <c r="G92" s="12"/>
      <c r="H92" s="17" t="s">
        <v>326</v>
      </c>
      <c r="I92" s="12" t="s">
        <v>63</v>
      </c>
      <c r="J92" s="14" t="s">
        <v>327</v>
      </c>
      <c r="K92" s="36">
        <v>19</v>
      </c>
      <c r="L92" s="80">
        <v>980</v>
      </c>
      <c r="M92" s="17" t="s">
        <v>76</v>
      </c>
      <c r="N92" s="80">
        <v>3.25</v>
      </c>
      <c r="O92" s="37" t="str">
        <f t="shared" si="17"/>
        <v>https://www.uapb.edu/admissions/funding_your_education.aspx</v>
      </c>
      <c r="P92" s="12" t="s">
        <v>319</v>
      </c>
      <c r="Q92" s="57">
        <v>0.46</v>
      </c>
      <c r="R92" s="12" t="s">
        <v>320</v>
      </c>
      <c r="S92" s="12" t="s">
        <v>321</v>
      </c>
      <c r="T92" s="12"/>
      <c r="U92" s="12">
        <v>2.9</v>
      </c>
      <c r="V92" s="12"/>
      <c r="W92" s="12"/>
      <c r="X92" s="12"/>
      <c r="Y92" s="12"/>
      <c r="Z92" s="12"/>
      <c r="AA92" s="12"/>
    </row>
    <row r="93" spans="1:27" ht="92" x14ac:dyDescent="0.2">
      <c r="A93" s="11" t="s">
        <v>221</v>
      </c>
      <c r="B93" s="12" t="s">
        <v>316</v>
      </c>
      <c r="C93" s="12" t="s">
        <v>59</v>
      </c>
      <c r="D93" s="12"/>
      <c r="E93" s="17" t="s">
        <v>88</v>
      </c>
      <c r="F93" s="12" t="s">
        <v>61</v>
      </c>
      <c r="G93" s="12"/>
      <c r="H93" s="17" t="s">
        <v>62</v>
      </c>
      <c r="I93" s="12" t="s">
        <v>63</v>
      </c>
      <c r="J93" s="17" t="s">
        <v>328</v>
      </c>
      <c r="K93" s="36">
        <v>23</v>
      </c>
      <c r="L93" s="36">
        <v>1130</v>
      </c>
      <c r="M93" s="29" t="s">
        <v>76</v>
      </c>
      <c r="N93" s="36">
        <v>3.5</v>
      </c>
      <c r="O93" s="37" t="str">
        <f t="shared" si="17"/>
        <v>https://www.uapb.edu/admissions/funding_your_education.aspx</v>
      </c>
      <c r="P93" s="12" t="s">
        <v>319</v>
      </c>
      <c r="Q93" s="57">
        <v>0.46</v>
      </c>
      <c r="R93" s="12" t="s">
        <v>320</v>
      </c>
      <c r="S93" s="12" t="s">
        <v>321</v>
      </c>
      <c r="T93" s="12"/>
      <c r="U93" s="12">
        <v>2.9</v>
      </c>
      <c r="V93" s="12"/>
      <c r="W93" s="12"/>
      <c r="X93" s="12"/>
      <c r="Y93" s="12"/>
      <c r="Z93" s="12"/>
      <c r="AA93" s="12"/>
    </row>
    <row r="94" spans="1:27" ht="92" x14ac:dyDescent="0.2">
      <c r="A94" s="11" t="s">
        <v>221</v>
      </c>
      <c r="B94" s="12" t="s">
        <v>316</v>
      </c>
      <c r="C94" s="12" t="s">
        <v>59</v>
      </c>
      <c r="D94" s="12"/>
      <c r="E94" s="17" t="s">
        <v>88</v>
      </c>
      <c r="F94" s="12" t="s">
        <v>61</v>
      </c>
      <c r="G94" s="12"/>
      <c r="H94" s="17" t="s">
        <v>326</v>
      </c>
      <c r="I94" s="12" t="s">
        <v>63</v>
      </c>
      <c r="J94" s="17" t="s">
        <v>329</v>
      </c>
      <c r="K94" s="36">
        <v>21</v>
      </c>
      <c r="L94" s="36">
        <v>1060</v>
      </c>
      <c r="M94" s="29" t="s">
        <v>76</v>
      </c>
      <c r="N94" s="36"/>
      <c r="O94" s="37" t="str">
        <f t="shared" si="17"/>
        <v>https://www.uapb.edu/admissions/funding_your_education.aspx</v>
      </c>
      <c r="P94" s="12" t="s">
        <v>319</v>
      </c>
      <c r="Q94" s="57">
        <v>0.46</v>
      </c>
      <c r="R94" s="12" t="s">
        <v>320</v>
      </c>
      <c r="S94" s="12" t="s">
        <v>321</v>
      </c>
      <c r="T94" s="12"/>
      <c r="U94" s="12">
        <v>2.9</v>
      </c>
      <c r="V94" s="12"/>
      <c r="W94" s="12"/>
      <c r="X94" s="12"/>
      <c r="Y94" s="12"/>
      <c r="Z94" s="12"/>
      <c r="AA94" s="12"/>
    </row>
    <row r="95" spans="1:27" ht="78" customHeight="1" x14ac:dyDescent="0.2">
      <c r="A95" s="11" t="s">
        <v>221</v>
      </c>
      <c r="B95" s="12" t="s">
        <v>330</v>
      </c>
      <c r="C95" s="26" t="s">
        <v>59</v>
      </c>
      <c r="D95" s="26" t="s">
        <v>194</v>
      </c>
      <c r="E95" s="12" t="s">
        <v>88</v>
      </c>
      <c r="F95" s="11" t="s">
        <v>72</v>
      </c>
      <c r="G95" s="12"/>
      <c r="H95" s="12" t="s">
        <v>62</v>
      </c>
      <c r="I95" s="12" t="s">
        <v>74</v>
      </c>
      <c r="J95" s="26" t="s">
        <v>331</v>
      </c>
      <c r="K95" s="28">
        <v>30</v>
      </c>
      <c r="L95" s="28">
        <v>1390</v>
      </c>
      <c r="M95" s="29" t="s">
        <v>76</v>
      </c>
      <c r="N95" s="12">
        <v>3.25</v>
      </c>
      <c r="O95" s="30" t="str">
        <f t="shared" ref="O95:O98" si="18">HYPERLINK("http://uca.edu/scholarships/prospective-students/","http://uca.edu/scholarships/prospective-students/")</f>
        <v>http://uca.edu/scholarships/prospective-students/</v>
      </c>
      <c r="P95" s="26" t="s">
        <v>332</v>
      </c>
      <c r="Q95" s="31">
        <v>0.92</v>
      </c>
      <c r="R95" s="26" t="s">
        <v>126</v>
      </c>
      <c r="S95" s="26" t="s">
        <v>333</v>
      </c>
      <c r="T95" s="12"/>
      <c r="U95" s="12">
        <v>3.36</v>
      </c>
      <c r="V95" s="12"/>
      <c r="W95" s="12"/>
      <c r="X95" s="12"/>
      <c r="Y95" s="12"/>
      <c r="Z95" s="12"/>
      <c r="AA95" s="12"/>
    </row>
    <row r="96" spans="1:27" ht="78" customHeight="1" x14ac:dyDescent="0.2">
      <c r="A96" s="11" t="s">
        <v>221</v>
      </c>
      <c r="B96" s="12" t="s">
        <v>330</v>
      </c>
      <c r="C96" s="26" t="s">
        <v>59</v>
      </c>
      <c r="D96" s="26" t="s">
        <v>334</v>
      </c>
      <c r="E96" s="12" t="s">
        <v>335</v>
      </c>
      <c r="F96" s="11" t="s">
        <v>72</v>
      </c>
      <c r="G96" s="12"/>
      <c r="H96" s="12" t="s">
        <v>62</v>
      </c>
      <c r="I96" s="12" t="s">
        <v>74</v>
      </c>
      <c r="J96" s="26" t="s">
        <v>336</v>
      </c>
      <c r="K96" s="28">
        <v>30</v>
      </c>
      <c r="L96" s="28">
        <v>1390</v>
      </c>
      <c r="M96" s="29" t="s">
        <v>76</v>
      </c>
      <c r="N96" s="12">
        <v>3.25</v>
      </c>
      <c r="O96" s="30" t="str">
        <f t="shared" si="18"/>
        <v>http://uca.edu/scholarships/prospective-students/</v>
      </c>
      <c r="P96" s="26" t="s">
        <v>332</v>
      </c>
      <c r="Q96" s="31">
        <v>0.92</v>
      </c>
      <c r="R96" s="26" t="s">
        <v>126</v>
      </c>
      <c r="S96" s="26" t="s">
        <v>337</v>
      </c>
      <c r="T96" s="12"/>
      <c r="U96" s="12">
        <v>3.36</v>
      </c>
      <c r="V96" s="12"/>
      <c r="W96" s="12"/>
      <c r="X96" s="12"/>
      <c r="Y96" s="12"/>
      <c r="Z96" s="12"/>
      <c r="AA96" s="12"/>
    </row>
    <row r="97" spans="1:27" ht="78" customHeight="1" x14ac:dyDescent="0.2">
      <c r="A97" s="11" t="s">
        <v>221</v>
      </c>
      <c r="B97" s="12" t="s">
        <v>330</v>
      </c>
      <c r="C97" s="26" t="s">
        <v>59</v>
      </c>
      <c r="D97" s="26"/>
      <c r="E97" s="12" t="s">
        <v>338</v>
      </c>
      <c r="F97" s="11" t="s">
        <v>72</v>
      </c>
      <c r="G97" s="12"/>
      <c r="H97" s="12" t="s">
        <v>62</v>
      </c>
      <c r="I97" s="12" t="s">
        <v>74</v>
      </c>
      <c r="J97" s="26" t="s">
        <v>339</v>
      </c>
      <c r="K97" s="28">
        <v>28</v>
      </c>
      <c r="L97" s="28">
        <v>1310</v>
      </c>
      <c r="M97" s="29" t="s">
        <v>76</v>
      </c>
      <c r="N97" s="12">
        <v>3.25</v>
      </c>
      <c r="O97" s="30" t="str">
        <f t="shared" si="18"/>
        <v>http://uca.edu/scholarships/prospective-students/</v>
      </c>
      <c r="P97" s="26" t="s">
        <v>332</v>
      </c>
      <c r="Q97" s="31">
        <v>0.92</v>
      </c>
      <c r="R97" s="26" t="s">
        <v>126</v>
      </c>
      <c r="S97" s="26" t="s">
        <v>340</v>
      </c>
      <c r="T97" s="12"/>
      <c r="U97" s="12">
        <v>3.36</v>
      </c>
      <c r="V97" s="12"/>
      <c r="W97" s="12"/>
      <c r="X97" s="12"/>
      <c r="Y97" s="12"/>
      <c r="Z97" s="12"/>
      <c r="AA97" s="12"/>
    </row>
    <row r="98" spans="1:27" ht="78" customHeight="1" x14ac:dyDescent="0.2">
      <c r="A98" s="11" t="s">
        <v>221</v>
      </c>
      <c r="B98" s="12" t="s">
        <v>330</v>
      </c>
      <c r="C98" s="26" t="s">
        <v>59</v>
      </c>
      <c r="D98" s="26"/>
      <c r="E98" s="12" t="s">
        <v>341</v>
      </c>
      <c r="F98" s="11" t="s">
        <v>72</v>
      </c>
      <c r="G98" s="12"/>
      <c r="H98" s="12" t="s">
        <v>62</v>
      </c>
      <c r="I98" s="12" t="s">
        <v>74</v>
      </c>
      <c r="J98" s="26" t="s">
        <v>342</v>
      </c>
      <c r="K98" s="28">
        <v>26</v>
      </c>
      <c r="L98" s="28">
        <v>1240</v>
      </c>
      <c r="M98" s="29" t="s">
        <v>76</v>
      </c>
      <c r="N98" s="12">
        <v>3.25</v>
      </c>
      <c r="O98" s="30" t="str">
        <f t="shared" si="18"/>
        <v>http://uca.edu/scholarships/prospective-students/</v>
      </c>
      <c r="P98" s="26" t="s">
        <v>332</v>
      </c>
      <c r="Q98" s="31">
        <v>0.92</v>
      </c>
      <c r="R98" s="26" t="s">
        <v>126</v>
      </c>
      <c r="S98" s="26" t="s">
        <v>343</v>
      </c>
      <c r="T98" s="12"/>
      <c r="U98" s="12">
        <v>3.36</v>
      </c>
      <c r="V98" s="12"/>
      <c r="W98" s="12"/>
      <c r="X98" s="12"/>
      <c r="Y98" s="12"/>
      <c r="Z98" s="12"/>
      <c r="AA98" s="12"/>
    </row>
    <row r="99" spans="1:27" ht="78" customHeight="1" x14ac:dyDescent="0.2">
      <c r="A99" s="11" t="s">
        <v>221</v>
      </c>
      <c r="B99" s="12" t="s">
        <v>330</v>
      </c>
      <c r="C99" s="26" t="s">
        <v>59</v>
      </c>
      <c r="D99" s="26"/>
      <c r="E99" s="12" t="s">
        <v>191</v>
      </c>
      <c r="F99" s="11" t="s">
        <v>72</v>
      </c>
      <c r="G99" s="12"/>
      <c r="H99" s="12" t="s">
        <v>103</v>
      </c>
      <c r="I99" s="12" t="s">
        <v>74</v>
      </c>
      <c r="J99" s="26" t="s">
        <v>344</v>
      </c>
      <c r="K99" s="28"/>
      <c r="L99" s="28"/>
      <c r="M99" s="26"/>
      <c r="N99" s="12"/>
      <c r="O99" s="59" t="str">
        <f>HYPERLINK("http://uca.edu/honors/scholarships/","http://uca.edu/honors/scholarships/")</f>
        <v>http://uca.edu/honors/scholarships/</v>
      </c>
      <c r="P99" s="26" t="s">
        <v>332</v>
      </c>
      <c r="Q99" s="31">
        <v>0.92</v>
      </c>
      <c r="R99" s="26" t="s">
        <v>126</v>
      </c>
      <c r="S99" s="26" t="s">
        <v>345</v>
      </c>
      <c r="T99" s="12"/>
      <c r="U99" s="12">
        <v>3.36</v>
      </c>
      <c r="V99" s="12"/>
      <c r="W99" s="12"/>
      <c r="X99" s="12"/>
      <c r="Y99" s="12"/>
      <c r="Z99" s="12"/>
      <c r="AA99" s="12"/>
    </row>
    <row r="100" spans="1:27" ht="221.25" customHeight="1" x14ac:dyDescent="0.2">
      <c r="A100" s="23" t="s">
        <v>221</v>
      </c>
      <c r="B100" s="14" t="s">
        <v>346</v>
      </c>
      <c r="C100" s="14" t="s">
        <v>101</v>
      </c>
      <c r="D100" s="12"/>
      <c r="E100" s="14" t="s">
        <v>111</v>
      </c>
      <c r="F100" s="14" t="s">
        <v>72</v>
      </c>
      <c r="G100" s="12"/>
      <c r="H100" s="12" t="s">
        <v>62</v>
      </c>
      <c r="I100" s="12" t="s">
        <v>347</v>
      </c>
      <c r="J100" s="14" t="s">
        <v>348</v>
      </c>
      <c r="K100" s="24">
        <v>30</v>
      </c>
      <c r="L100" s="12"/>
      <c r="M100" s="12"/>
      <c r="N100" s="24">
        <v>3.5</v>
      </c>
      <c r="O100" s="30" t="str">
        <f>HYPERLINK("http://www.wbcoll.edu/financial_aid_scholarships/first-time_freshmen_scholarships.aspx","http://www.wbcoll.edu/financial_aid_scholarships/first-time_freshmen_scholarships.aspx")</f>
        <v>http://www.wbcoll.edu/financial_aid_scholarships/first-time_freshmen_scholarships.aspx</v>
      </c>
      <c r="P100" s="33">
        <v>17320</v>
      </c>
      <c r="Q100" s="25">
        <v>0.64</v>
      </c>
      <c r="R100" s="14" t="s">
        <v>148</v>
      </c>
      <c r="S100" s="14" t="s">
        <v>148</v>
      </c>
      <c r="T100" s="12"/>
      <c r="U100" s="12">
        <v>3.2</v>
      </c>
      <c r="V100" s="12"/>
      <c r="W100" s="12"/>
      <c r="X100" s="12"/>
      <c r="Y100" s="12"/>
      <c r="Z100" s="12"/>
      <c r="AA100" s="12"/>
    </row>
    <row r="101" spans="1:27" ht="144" x14ac:dyDescent="0.2">
      <c r="A101" s="23" t="s">
        <v>349</v>
      </c>
      <c r="B101" s="14" t="s">
        <v>350</v>
      </c>
      <c r="C101" s="14" t="s">
        <v>59</v>
      </c>
      <c r="D101" s="14" t="s">
        <v>194</v>
      </c>
      <c r="E101" s="14" t="s">
        <v>243</v>
      </c>
      <c r="F101" s="14" t="s">
        <v>61</v>
      </c>
      <c r="G101" s="12"/>
      <c r="H101" s="12" t="s">
        <v>351</v>
      </c>
      <c r="I101" s="12" t="s">
        <v>63</v>
      </c>
      <c r="J101" s="14" t="s">
        <v>352</v>
      </c>
      <c r="K101" s="12"/>
      <c r="L101" s="12"/>
      <c r="M101" s="12"/>
      <c r="N101" s="24">
        <v>3.5</v>
      </c>
      <c r="O101" s="59" t="s">
        <v>353</v>
      </c>
      <c r="P101" s="14" t="s">
        <v>354</v>
      </c>
      <c r="Q101" s="25">
        <v>0.90500000000000003</v>
      </c>
      <c r="R101" s="14" t="s">
        <v>124</v>
      </c>
      <c r="S101" s="14" t="s">
        <v>355</v>
      </c>
      <c r="T101" s="12"/>
      <c r="U101" s="12">
        <v>3.52</v>
      </c>
      <c r="V101" s="12"/>
      <c r="W101" s="12"/>
      <c r="X101" s="12"/>
      <c r="Y101" s="12"/>
      <c r="Z101" s="12"/>
      <c r="AA101" s="12"/>
    </row>
    <row r="102" spans="1:27" ht="90" x14ac:dyDescent="0.2">
      <c r="A102" s="39" t="s">
        <v>349</v>
      </c>
      <c r="B102" s="40" t="s">
        <v>356</v>
      </c>
      <c r="C102" s="40" t="s">
        <v>59</v>
      </c>
      <c r="D102" s="40" t="s">
        <v>98</v>
      </c>
      <c r="E102" s="40" t="s">
        <v>88</v>
      </c>
      <c r="F102" s="40" t="s">
        <v>92</v>
      </c>
      <c r="G102" s="40"/>
      <c r="H102" s="40" t="s">
        <v>93</v>
      </c>
      <c r="I102" s="69" t="s">
        <v>63</v>
      </c>
      <c r="J102" s="40" t="s">
        <v>357</v>
      </c>
      <c r="K102" s="40"/>
      <c r="L102" s="40"/>
      <c r="M102" s="40"/>
      <c r="N102" s="40"/>
      <c r="O102" s="19" t="s">
        <v>358</v>
      </c>
      <c r="P102" s="40" t="s">
        <v>359</v>
      </c>
      <c r="Q102" s="42">
        <v>0.746</v>
      </c>
      <c r="R102" s="40" t="s">
        <v>182</v>
      </c>
      <c r="S102" s="40" t="s">
        <v>360</v>
      </c>
      <c r="T102" s="40"/>
      <c r="U102" s="40">
        <v>3.38</v>
      </c>
      <c r="V102" s="40"/>
      <c r="W102" s="40"/>
      <c r="X102" s="40"/>
      <c r="Y102" s="40"/>
      <c r="Z102" s="40"/>
      <c r="AA102" s="40"/>
    </row>
    <row r="103" spans="1:27" ht="176" x14ac:dyDescent="0.2">
      <c r="A103" s="23" t="s">
        <v>349</v>
      </c>
      <c r="B103" s="14" t="s">
        <v>356</v>
      </c>
      <c r="C103" s="14" t="s">
        <v>59</v>
      </c>
      <c r="D103" s="14" t="s">
        <v>194</v>
      </c>
      <c r="E103" s="14" t="s">
        <v>82</v>
      </c>
      <c r="F103" s="14" t="s">
        <v>92</v>
      </c>
      <c r="G103" s="12"/>
      <c r="H103" s="40" t="s">
        <v>93</v>
      </c>
      <c r="I103" s="69" t="s">
        <v>63</v>
      </c>
      <c r="J103" s="14" t="s">
        <v>361</v>
      </c>
      <c r="K103" s="12"/>
      <c r="L103" s="12"/>
      <c r="M103" s="12"/>
      <c r="N103" s="12"/>
      <c r="O103" s="19" t="s">
        <v>358</v>
      </c>
      <c r="P103" s="14" t="s">
        <v>359</v>
      </c>
      <c r="Q103" s="25">
        <v>0.746</v>
      </c>
      <c r="R103" s="14" t="s">
        <v>182</v>
      </c>
      <c r="S103" s="14" t="s">
        <v>360</v>
      </c>
      <c r="T103" s="12"/>
      <c r="U103" s="12">
        <v>3.38</v>
      </c>
      <c r="V103" s="12"/>
      <c r="W103" s="12"/>
      <c r="X103" s="12"/>
      <c r="Y103" s="12"/>
      <c r="Z103" s="12"/>
      <c r="AA103" s="12"/>
    </row>
    <row r="104" spans="1:27" ht="192" x14ac:dyDescent="0.2">
      <c r="A104" s="15" t="s">
        <v>349</v>
      </c>
      <c r="B104" s="16" t="s">
        <v>356</v>
      </c>
      <c r="C104" s="16" t="s">
        <v>59</v>
      </c>
      <c r="D104" s="17" t="s">
        <v>334</v>
      </c>
      <c r="E104" s="16" t="s">
        <v>243</v>
      </c>
      <c r="F104" s="16" t="s">
        <v>72</v>
      </c>
      <c r="G104" s="12"/>
      <c r="H104" s="17" t="s">
        <v>250</v>
      </c>
      <c r="I104" s="17" t="s">
        <v>74</v>
      </c>
      <c r="J104" s="16" t="s">
        <v>362</v>
      </c>
      <c r="K104" s="24"/>
      <c r="L104" s="24"/>
      <c r="M104" s="14"/>
      <c r="N104" s="24"/>
      <c r="O104" s="19" t="s">
        <v>358</v>
      </c>
      <c r="P104" s="14" t="s">
        <v>359</v>
      </c>
      <c r="Q104" s="25">
        <v>0.746</v>
      </c>
      <c r="R104" s="14" t="s">
        <v>182</v>
      </c>
      <c r="S104" s="14" t="s">
        <v>360</v>
      </c>
      <c r="T104" s="12"/>
      <c r="U104" s="12">
        <v>3.38</v>
      </c>
      <c r="V104" s="12"/>
      <c r="W104" s="12"/>
      <c r="X104" s="12"/>
      <c r="Y104" s="12"/>
      <c r="Z104" s="12"/>
      <c r="AA104" s="12"/>
    </row>
    <row r="105" spans="1:27" ht="192" x14ac:dyDescent="0.2">
      <c r="A105" s="15" t="s">
        <v>349</v>
      </c>
      <c r="B105" s="16" t="s">
        <v>356</v>
      </c>
      <c r="C105" s="16" t="s">
        <v>59</v>
      </c>
      <c r="D105" s="17" t="s">
        <v>194</v>
      </c>
      <c r="E105" s="16" t="s">
        <v>243</v>
      </c>
      <c r="F105" s="16" t="s">
        <v>72</v>
      </c>
      <c r="G105" s="12"/>
      <c r="H105" s="17" t="s">
        <v>250</v>
      </c>
      <c r="I105" s="17" t="s">
        <v>74</v>
      </c>
      <c r="J105" s="16" t="s">
        <v>363</v>
      </c>
      <c r="K105" s="24"/>
      <c r="L105" s="24"/>
      <c r="M105" s="14"/>
      <c r="N105" s="24"/>
      <c r="O105" s="19" t="s">
        <v>358</v>
      </c>
      <c r="P105" s="14" t="s">
        <v>359</v>
      </c>
      <c r="Q105" s="25">
        <v>0.746</v>
      </c>
      <c r="R105" s="14" t="s">
        <v>364</v>
      </c>
      <c r="S105" s="14" t="s">
        <v>360</v>
      </c>
      <c r="T105" s="12"/>
      <c r="U105" s="12">
        <v>3.38</v>
      </c>
      <c r="V105" s="12"/>
      <c r="W105" s="12"/>
      <c r="X105" s="12"/>
      <c r="Y105" s="12"/>
      <c r="Z105" s="12"/>
      <c r="AA105" s="12"/>
    </row>
    <row r="106" spans="1:27" ht="252.75" customHeight="1" x14ac:dyDescent="0.2">
      <c r="A106" s="23" t="s">
        <v>365</v>
      </c>
      <c r="B106" s="14" t="s">
        <v>366</v>
      </c>
      <c r="C106" s="14" t="s">
        <v>101</v>
      </c>
      <c r="D106" s="12"/>
      <c r="E106" s="14" t="s">
        <v>177</v>
      </c>
      <c r="F106" s="14" t="s">
        <v>72</v>
      </c>
      <c r="G106" s="12"/>
      <c r="H106" s="12" t="s">
        <v>367</v>
      </c>
      <c r="I106" s="12">
        <v>5</v>
      </c>
      <c r="J106" s="14" t="s">
        <v>368</v>
      </c>
      <c r="K106" s="24">
        <v>30</v>
      </c>
      <c r="L106" s="24">
        <v>1300</v>
      </c>
      <c r="M106" s="14" t="s">
        <v>197</v>
      </c>
      <c r="N106" s="24">
        <v>3.9</v>
      </c>
      <c r="O106" s="30" t="str">
        <f>HYPERLINK("http://www.apu.edu/onestop/finances/aid/academic/","http://www.apu.edu/onestop/finances/aid/academic/")</f>
        <v>http://www.apu.edu/onestop/finances/aid/academic/</v>
      </c>
      <c r="P106" s="33">
        <v>35540</v>
      </c>
      <c r="Q106" s="25">
        <v>0.81</v>
      </c>
      <c r="R106" s="14" t="s">
        <v>182</v>
      </c>
      <c r="S106" s="14" t="s">
        <v>369</v>
      </c>
      <c r="T106" s="12"/>
      <c r="U106" s="12">
        <v>3.68</v>
      </c>
      <c r="V106" s="12"/>
      <c r="W106" s="12"/>
      <c r="X106" s="12"/>
      <c r="Y106" s="12"/>
      <c r="Z106" s="12"/>
      <c r="AA106" s="12"/>
    </row>
    <row r="107" spans="1:27" ht="169" x14ac:dyDescent="0.2">
      <c r="A107" s="23" t="s">
        <v>365</v>
      </c>
      <c r="B107" s="14" t="s">
        <v>370</v>
      </c>
      <c r="C107" s="14" t="s">
        <v>101</v>
      </c>
      <c r="D107" s="12"/>
      <c r="E107" s="14" t="s">
        <v>371</v>
      </c>
      <c r="F107" s="14" t="s">
        <v>72</v>
      </c>
      <c r="G107" s="12"/>
      <c r="H107" s="12" t="s">
        <v>372</v>
      </c>
      <c r="I107" s="12" t="s">
        <v>74</v>
      </c>
      <c r="J107" s="56" t="s">
        <v>373</v>
      </c>
      <c r="K107" s="12"/>
      <c r="L107" s="12"/>
      <c r="M107" s="12"/>
      <c r="N107" s="12"/>
      <c r="O107" s="30" t="str">
        <f>HYPERLINK("http://www.callutheran.edu/financial-aid/scholarships-grants/undergraduate.html","http://www.callutheran.edu/financial-aid/scholarships-grants/undergraduate.html")</f>
        <v>http://www.callutheran.edu/financial-aid/scholarships-grants/undergraduate.html</v>
      </c>
      <c r="P107" s="33">
        <v>39793</v>
      </c>
      <c r="Q107" s="25">
        <v>0.62</v>
      </c>
      <c r="R107" s="14" t="s">
        <v>142</v>
      </c>
      <c r="S107" s="14" t="s">
        <v>374</v>
      </c>
      <c r="T107" s="12"/>
      <c r="U107" s="12">
        <v>3.7</v>
      </c>
      <c r="V107" s="12"/>
      <c r="W107" s="12"/>
      <c r="X107" s="12"/>
      <c r="Y107" s="12"/>
      <c r="Z107" s="12"/>
      <c r="AA107" s="12"/>
    </row>
    <row r="108" spans="1:27" ht="126.75" customHeight="1" x14ac:dyDescent="0.2">
      <c r="A108" s="11" t="s">
        <v>365</v>
      </c>
      <c r="B108" s="12" t="s">
        <v>375</v>
      </c>
      <c r="C108" s="12" t="s">
        <v>59</v>
      </c>
      <c r="D108" s="12"/>
      <c r="E108" s="12" t="s">
        <v>376</v>
      </c>
      <c r="F108" s="12" t="s">
        <v>72</v>
      </c>
      <c r="G108" s="12"/>
      <c r="H108" s="17" t="s">
        <v>239</v>
      </c>
      <c r="I108" s="12" t="s">
        <v>74</v>
      </c>
      <c r="J108" s="14" t="s">
        <v>377</v>
      </c>
      <c r="K108" s="12"/>
      <c r="L108" s="12"/>
      <c r="M108" s="12"/>
      <c r="N108" s="12"/>
      <c r="O108" s="59" t="str">
        <f>HYPERLINK("https://giving.calpoly.edu/scholarships-uw","https://giving.calpoly.edu/scholarships-uw")</f>
        <v>https://giving.calpoly.edu/scholarships-uw</v>
      </c>
      <c r="P108" s="12" t="s">
        <v>378</v>
      </c>
      <c r="Q108" s="57">
        <v>0.31</v>
      </c>
      <c r="R108" s="12" t="s">
        <v>379</v>
      </c>
      <c r="S108" s="12" t="s">
        <v>380</v>
      </c>
      <c r="T108" s="12"/>
      <c r="U108" s="12">
        <v>3.92</v>
      </c>
      <c r="V108" s="12"/>
      <c r="W108" s="12"/>
      <c r="X108" s="12"/>
      <c r="Y108" s="12"/>
      <c r="Z108" s="12"/>
      <c r="AA108" s="12"/>
    </row>
    <row r="109" spans="1:27" ht="111" customHeight="1" x14ac:dyDescent="0.2">
      <c r="A109" s="23" t="s">
        <v>365</v>
      </c>
      <c r="B109" s="14" t="s">
        <v>381</v>
      </c>
      <c r="C109" s="14" t="s">
        <v>59</v>
      </c>
      <c r="D109" s="14"/>
      <c r="E109" s="14" t="s">
        <v>111</v>
      </c>
      <c r="F109" s="14" t="s">
        <v>72</v>
      </c>
      <c r="G109" s="12"/>
      <c r="H109" s="12" t="s">
        <v>239</v>
      </c>
      <c r="I109" s="12" t="s">
        <v>74</v>
      </c>
      <c r="J109" s="14" t="s">
        <v>382</v>
      </c>
      <c r="K109" s="12"/>
      <c r="L109" s="12"/>
      <c r="M109" s="12"/>
      <c r="N109" s="12">
        <v>3.75</v>
      </c>
      <c r="O109" s="30" t="s">
        <v>383</v>
      </c>
      <c r="P109" s="14" t="s">
        <v>384</v>
      </c>
      <c r="Q109" s="25">
        <v>0.44</v>
      </c>
      <c r="R109" s="14" t="s">
        <v>385</v>
      </c>
      <c r="S109" s="14" t="s">
        <v>386</v>
      </c>
      <c r="T109" s="12"/>
      <c r="U109" s="12">
        <v>3.53</v>
      </c>
      <c r="V109" s="12"/>
      <c r="W109" s="12"/>
      <c r="X109" s="12"/>
      <c r="Y109" s="12"/>
      <c r="Z109" s="12"/>
      <c r="AA109" s="12"/>
    </row>
    <row r="110" spans="1:27" ht="238" x14ac:dyDescent="0.2">
      <c r="A110" s="23" t="s">
        <v>365</v>
      </c>
      <c r="B110" s="14" t="s">
        <v>387</v>
      </c>
      <c r="C110" s="14" t="s">
        <v>59</v>
      </c>
      <c r="D110" s="14" t="s">
        <v>194</v>
      </c>
      <c r="E110" s="14" t="s">
        <v>302</v>
      </c>
      <c r="F110" s="14" t="s">
        <v>313</v>
      </c>
      <c r="G110" s="12"/>
      <c r="H110" s="17" t="s">
        <v>388</v>
      </c>
      <c r="I110" s="17" t="s">
        <v>74</v>
      </c>
      <c r="J110" s="81" t="s">
        <v>389</v>
      </c>
      <c r="K110" s="12"/>
      <c r="L110" s="12"/>
      <c r="M110" s="12"/>
      <c r="N110" s="12"/>
      <c r="O110" s="30" t="s">
        <v>390</v>
      </c>
      <c r="P110" s="14" t="s">
        <v>391</v>
      </c>
      <c r="Q110" s="25">
        <v>0.34</v>
      </c>
      <c r="R110" s="14" t="s">
        <v>130</v>
      </c>
      <c r="S110" s="14" t="s">
        <v>392</v>
      </c>
      <c r="T110" s="12"/>
      <c r="U110" s="12">
        <v>3.54</v>
      </c>
      <c r="V110" s="12"/>
      <c r="W110" s="12"/>
      <c r="X110" s="12"/>
      <c r="Y110" s="12"/>
      <c r="Z110" s="12"/>
      <c r="AA110" s="12"/>
    </row>
    <row r="111" spans="1:27" ht="193" x14ac:dyDescent="0.2">
      <c r="A111" s="39" t="s">
        <v>365</v>
      </c>
      <c r="B111" s="40" t="s">
        <v>387</v>
      </c>
      <c r="C111" s="40" t="s">
        <v>59</v>
      </c>
      <c r="D111" s="40" t="s">
        <v>194</v>
      </c>
      <c r="E111" s="40" t="s">
        <v>302</v>
      </c>
      <c r="F111" s="40" t="s">
        <v>92</v>
      </c>
      <c r="G111" s="40"/>
      <c r="H111" s="40" t="s">
        <v>393</v>
      </c>
      <c r="I111" s="40" t="s">
        <v>74</v>
      </c>
      <c r="J111" s="56" t="s">
        <v>389</v>
      </c>
      <c r="K111" s="40"/>
      <c r="L111" s="40"/>
      <c r="M111" s="40"/>
      <c r="N111" s="40"/>
      <c r="O111" s="30" t="s">
        <v>390</v>
      </c>
      <c r="P111" s="40" t="s">
        <v>394</v>
      </c>
      <c r="Q111" s="42">
        <v>0.34</v>
      </c>
      <c r="R111" s="40" t="s">
        <v>130</v>
      </c>
      <c r="S111" s="40" t="s">
        <v>392</v>
      </c>
      <c r="T111" s="40"/>
      <c r="U111" s="40">
        <v>3.54</v>
      </c>
      <c r="V111" s="40"/>
      <c r="W111" s="40"/>
      <c r="X111" s="40"/>
      <c r="Y111" s="40"/>
      <c r="Z111" s="40"/>
      <c r="AA111" s="40"/>
    </row>
    <row r="112" spans="1:27" ht="253" x14ac:dyDescent="0.2">
      <c r="A112" s="23" t="s">
        <v>365</v>
      </c>
      <c r="B112" s="14" t="s">
        <v>395</v>
      </c>
      <c r="C112" s="14" t="s">
        <v>101</v>
      </c>
      <c r="D112" s="12"/>
      <c r="E112" s="14" t="s">
        <v>88</v>
      </c>
      <c r="F112" s="14" t="s">
        <v>72</v>
      </c>
      <c r="G112" s="12"/>
      <c r="H112" s="12" t="s">
        <v>396</v>
      </c>
      <c r="I112" s="12">
        <v>5</v>
      </c>
      <c r="J112" s="56" t="s">
        <v>397</v>
      </c>
      <c r="K112" s="12"/>
      <c r="L112" s="12"/>
      <c r="M112" s="12"/>
      <c r="N112" s="12"/>
      <c r="O112" s="30" t="str">
        <f>HYPERLINK("http://www.cmc.edu/admission/scholarships","http://www.cmc.edu/admission/scholarships")</f>
        <v>http://www.cmc.edu/admission/scholarships</v>
      </c>
      <c r="P112" s="33">
        <v>50945</v>
      </c>
      <c r="Q112" s="25">
        <v>0.11</v>
      </c>
      <c r="R112" s="34" t="s">
        <v>398</v>
      </c>
      <c r="S112" s="34" t="s">
        <v>399</v>
      </c>
      <c r="T112" s="12"/>
      <c r="U112" s="12" t="s">
        <v>81</v>
      </c>
      <c r="V112" s="12"/>
      <c r="W112" s="12"/>
      <c r="X112" s="12"/>
      <c r="Y112" s="12"/>
      <c r="Z112" s="12"/>
      <c r="AA112" s="12"/>
    </row>
    <row r="113" spans="1:27" ht="78" customHeight="1" x14ac:dyDescent="0.2">
      <c r="A113" s="11" t="s">
        <v>365</v>
      </c>
      <c r="B113" s="12" t="s">
        <v>400</v>
      </c>
      <c r="C113" s="12" t="s">
        <v>101</v>
      </c>
      <c r="D113" s="12"/>
      <c r="E113" s="12" t="s">
        <v>60</v>
      </c>
      <c r="F113" s="12" t="s">
        <v>72</v>
      </c>
      <c r="G113" s="12" t="s">
        <v>186</v>
      </c>
      <c r="H113" s="12" t="s">
        <v>62</v>
      </c>
      <c r="I113" s="12" t="s">
        <v>74</v>
      </c>
      <c r="J113" s="14" t="s">
        <v>401</v>
      </c>
      <c r="K113" s="36">
        <v>29</v>
      </c>
      <c r="L113" s="36">
        <v>1360</v>
      </c>
      <c r="M113" s="29" t="s">
        <v>76</v>
      </c>
      <c r="N113" s="36">
        <v>3.9</v>
      </c>
      <c r="O113" s="37" t="str">
        <f>HYPERLINK("http://www.cui.edu/studentlife/Financial-Aid/Undergraduate/Index/id/18825","http://www.cui.edu/studentlife/Financial-Aid/Undergraduate/Index/id/18825")</f>
        <v>http://www.cui.edu/studentlife/Financial-Aid/Undergraduate/Index/id/18825</v>
      </c>
      <c r="P113" s="65">
        <v>32780</v>
      </c>
      <c r="Q113" s="57">
        <v>0.59</v>
      </c>
      <c r="R113" s="12" t="s">
        <v>124</v>
      </c>
      <c r="S113" s="12" t="s">
        <v>402</v>
      </c>
      <c r="T113" s="12"/>
      <c r="U113" s="12" t="s">
        <v>403</v>
      </c>
      <c r="V113" s="12"/>
      <c r="W113" s="12"/>
      <c r="X113" s="12"/>
      <c r="Y113" s="12"/>
      <c r="Z113" s="12"/>
      <c r="AA113" s="12"/>
    </row>
    <row r="114" spans="1:27" ht="111" customHeight="1" x14ac:dyDescent="0.2">
      <c r="A114" s="23" t="s">
        <v>365</v>
      </c>
      <c r="B114" s="14" t="s">
        <v>404</v>
      </c>
      <c r="C114" s="82" t="s">
        <v>101</v>
      </c>
      <c r="D114" s="82"/>
      <c r="E114" s="82" t="s">
        <v>177</v>
      </c>
      <c r="F114" s="82" t="s">
        <v>72</v>
      </c>
      <c r="G114" s="82"/>
      <c r="H114" s="83" t="s">
        <v>239</v>
      </c>
      <c r="I114" s="82" t="s">
        <v>74</v>
      </c>
      <c r="J114" s="82" t="s">
        <v>405</v>
      </c>
      <c r="K114" s="24"/>
      <c r="L114" s="24"/>
      <c r="M114" s="14"/>
      <c r="N114" s="24"/>
      <c r="O114" s="84" t="str">
        <f>HYPERLINK("http://www.fresno.edu/admissions/undergraduate/tuition-financial-aid","http://www.fresno.edu/admissions/undergraduate/tuition-financial-aid")</f>
        <v>http://www.fresno.edu/admissions/undergraduate/tuition-financial-aid</v>
      </c>
      <c r="P114" s="85">
        <v>29120</v>
      </c>
      <c r="Q114" s="25">
        <v>0.78</v>
      </c>
      <c r="R114" s="82" t="s">
        <v>113</v>
      </c>
      <c r="S114" s="86" t="s">
        <v>406</v>
      </c>
      <c r="T114" s="87"/>
      <c r="U114" s="87">
        <v>3.3</v>
      </c>
      <c r="V114" s="87"/>
      <c r="W114" s="87"/>
      <c r="X114" s="87"/>
      <c r="Y114" s="87"/>
      <c r="Z114" s="87"/>
      <c r="AA114" s="87"/>
    </row>
    <row r="115" spans="1:27" ht="208" x14ac:dyDescent="0.2">
      <c r="A115" s="23" t="s">
        <v>365</v>
      </c>
      <c r="B115" s="14" t="s">
        <v>407</v>
      </c>
      <c r="C115" s="14" t="s">
        <v>101</v>
      </c>
      <c r="D115" s="12"/>
      <c r="E115" s="14" t="s">
        <v>60</v>
      </c>
      <c r="F115" s="14" t="s">
        <v>72</v>
      </c>
      <c r="G115" s="12"/>
      <c r="H115" s="12" t="s">
        <v>396</v>
      </c>
      <c r="I115" s="12">
        <v>8</v>
      </c>
      <c r="J115" s="14" t="s">
        <v>408</v>
      </c>
      <c r="K115" s="12"/>
      <c r="L115" s="12"/>
      <c r="M115" s="12"/>
      <c r="N115" s="12"/>
      <c r="O115" s="30" t="str">
        <f>HYPERLINK("https://www.hmc.edu/admission/afford/scholarships-and-grants/merit-based-scholarships/presidents-scholars-program/","https://www.hmc.edu/admission/afford/scholarships-and-grants/merit-based-scholarships/presidents-scholars-program/")</f>
        <v>https://www.hmc.edu/admission/afford/scholarships-and-grants/merit-based-scholarships/presidents-scholars-program/</v>
      </c>
      <c r="P115" s="33">
        <v>52666</v>
      </c>
      <c r="Q115" s="25">
        <v>0.13</v>
      </c>
      <c r="R115" s="14" t="s">
        <v>409</v>
      </c>
      <c r="S115" s="14" t="s">
        <v>410</v>
      </c>
      <c r="T115" s="12"/>
      <c r="U115" s="12" t="s">
        <v>81</v>
      </c>
      <c r="V115" s="12"/>
      <c r="W115" s="12"/>
      <c r="X115" s="12"/>
      <c r="Y115" s="12"/>
      <c r="Z115" s="12"/>
      <c r="AA115" s="12"/>
    </row>
    <row r="116" spans="1:27" ht="142.5" customHeight="1" x14ac:dyDescent="0.2">
      <c r="A116" s="23" t="s">
        <v>365</v>
      </c>
      <c r="B116" s="14" t="s">
        <v>411</v>
      </c>
      <c r="C116" s="14" t="s">
        <v>101</v>
      </c>
      <c r="D116" s="12"/>
      <c r="E116" s="14" t="s">
        <v>243</v>
      </c>
      <c r="F116" s="14" t="s">
        <v>72</v>
      </c>
      <c r="G116" s="2"/>
      <c r="H116" s="12" t="s">
        <v>412</v>
      </c>
      <c r="I116" s="12" t="s">
        <v>74</v>
      </c>
      <c r="J116" s="14" t="s">
        <v>413</v>
      </c>
      <c r="K116" s="12"/>
      <c r="L116" s="12"/>
      <c r="M116" s="12"/>
      <c r="N116" s="12">
        <v>3.7</v>
      </c>
      <c r="O116" s="30" t="s">
        <v>414</v>
      </c>
      <c r="P116" s="33">
        <v>37074</v>
      </c>
      <c r="Q116" s="25">
        <v>0.44</v>
      </c>
      <c r="R116" s="14" t="s">
        <v>252</v>
      </c>
      <c r="S116" s="14" t="s">
        <v>415</v>
      </c>
      <c r="T116" s="12"/>
      <c r="U116" s="12">
        <v>3.16</v>
      </c>
      <c r="V116" s="12"/>
      <c r="W116" s="12"/>
      <c r="X116" s="12" t="s">
        <v>416</v>
      </c>
      <c r="Y116" s="12"/>
      <c r="Z116" s="12"/>
      <c r="AA116" s="12"/>
    </row>
    <row r="117" spans="1:27" ht="135" x14ac:dyDescent="0.2">
      <c r="A117" s="39" t="s">
        <v>365</v>
      </c>
      <c r="B117" s="40" t="s">
        <v>417</v>
      </c>
      <c r="C117" s="40" t="s">
        <v>101</v>
      </c>
      <c r="D117" s="40"/>
      <c r="E117" s="40" t="s">
        <v>243</v>
      </c>
      <c r="F117" s="40" t="s">
        <v>92</v>
      </c>
      <c r="G117" s="40"/>
      <c r="H117" s="40" t="s">
        <v>93</v>
      </c>
      <c r="I117" s="40" t="s">
        <v>74</v>
      </c>
      <c r="J117" s="40" t="s">
        <v>418</v>
      </c>
      <c r="K117" s="40"/>
      <c r="L117" s="40"/>
      <c r="M117" s="40"/>
      <c r="N117" s="40"/>
      <c r="O117" s="30" t="s">
        <v>419</v>
      </c>
      <c r="P117" s="41">
        <v>31590</v>
      </c>
      <c r="Q117" s="42">
        <v>0.45</v>
      </c>
      <c r="R117" s="40" t="s">
        <v>420</v>
      </c>
      <c r="S117" s="40" t="s">
        <v>421</v>
      </c>
      <c r="T117" s="40"/>
      <c r="U117" s="40">
        <v>3.39</v>
      </c>
      <c r="V117" s="40"/>
      <c r="W117" s="40"/>
      <c r="X117" s="40"/>
      <c r="Y117" s="40"/>
      <c r="Z117" s="40"/>
      <c r="AA117" s="40"/>
    </row>
    <row r="118" spans="1:27" ht="95.25" customHeight="1" x14ac:dyDescent="0.2">
      <c r="A118" s="23" t="s">
        <v>365</v>
      </c>
      <c r="B118" s="14" t="s">
        <v>422</v>
      </c>
      <c r="C118" s="14" t="s">
        <v>101</v>
      </c>
      <c r="D118" s="12"/>
      <c r="E118" s="14" t="s">
        <v>111</v>
      </c>
      <c r="F118" s="14" t="s">
        <v>72</v>
      </c>
      <c r="G118" s="12"/>
      <c r="H118" s="12" t="s">
        <v>423</v>
      </c>
      <c r="I118" s="12">
        <v>10</v>
      </c>
      <c r="J118" s="14" t="s">
        <v>424</v>
      </c>
      <c r="K118" s="12"/>
      <c r="L118" s="12"/>
      <c r="M118" s="12"/>
      <c r="N118" s="12"/>
      <c r="O118" s="30" t="s">
        <v>425</v>
      </c>
      <c r="P118" s="33">
        <v>44230</v>
      </c>
      <c r="Q118" s="25">
        <v>0.50700000000000001</v>
      </c>
      <c r="R118" s="14" t="s">
        <v>426</v>
      </c>
      <c r="S118" s="14" t="s">
        <v>427</v>
      </c>
      <c r="T118" s="12"/>
      <c r="U118" s="12">
        <v>3.75</v>
      </c>
      <c r="V118" s="12"/>
      <c r="W118" s="12"/>
      <c r="X118" s="12"/>
      <c r="Y118" s="12"/>
      <c r="Z118" s="12"/>
      <c r="AA118" s="12"/>
    </row>
    <row r="119" spans="1:27" ht="95.25" customHeight="1" x14ac:dyDescent="0.2">
      <c r="A119" s="23" t="s">
        <v>365</v>
      </c>
      <c r="B119" s="14" t="s">
        <v>422</v>
      </c>
      <c r="C119" s="14" t="s">
        <v>101</v>
      </c>
      <c r="D119" s="12"/>
      <c r="E119" s="14" t="s">
        <v>243</v>
      </c>
      <c r="F119" s="14" t="s">
        <v>72</v>
      </c>
      <c r="G119" s="12" t="s">
        <v>186</v>
      </c>
      <c r="H119" s="12" t="s">
        <v>239</v>
      </c>
      <c r="I119" s="12" t="s">
        <v>74</v>
      </c>
      <c r="J119" s="14" t="s">
        <v>428</v>
      </c>
      <c r="K119" s="12"/>
      <c r="L119" s="12"/>
      <c r="M119" s="12"/>
      <c r="N119" s="12"/>
      <c r="O119" s="59" t="str">
        <f>HYPERLINK("http://financialaid.lmu.edu/prospectivestudents/scholarships/lmuacademicscholarshipsforfreshmen/","http://financialaid.lmu.edu/prospectivestudents/scholarships/lmuacademicscholarshipsforfreshmen/")</f>
        <v>http://financialaid.lmu.edu/prospectivestudents/scholarships/lmuacademicscholarshipsforfreshmen/</v>
      </c>
      <c r="P119" s="33">
        <v>44230</v>
      </c>
      <c r="Q119" s="25">
        <v>0.50700000000000001</v>
      </c>
      <c r="R119" s="14" t="s">
        <v>426</v>
      </c>
      <c r="S119" s="14" t="s">
        <v>429</v>
      </c>
      <c r="T119" s="12"/>
      <c r="U119" s="12">
        <v>3.75</v>
      </c>
      <c r="V119" s="12"/>
      <c r="W119" s="12"/>
      <c r="X119" s="12"/>
      <c r="Y119" s="12"/>
      <c r="Z119" s="12"/>
      <c r="AA119" s="12"/>
    </row>
    <row r="120" spans="1:27" ht="125" x14ac:dyDescent="0.2">
      <c r="A120" s="15" t="s">
        <v>365</v>
      </c>
      <c r="B120" s="16" t="s">
        <v>430</v>
      </c>
      <c r="C120" s="16" t="s">
        <v>101</v>
      </c>
      <c r="D120" s="12"/>
      <c r="E120" s="16" t="s">
        <v>60</v>
      </c>
      <c r="F120" s="16" t="s">
        <v>313</v>
      </c>
      <c r="G120" s="12"/>
      <c r="H120" s="17" t="s">
        <v>431</v>
      </c>
      <c r="I120" s="17" t="s">
        <v>63</v>
      </c>
      <c r="J120" s="17" t="s">
        <v>432</v>
      </c>
      <c r="K120" s="17">
        <v>28</v>
      </c>
      <c r="L120" s="17">
        <v>1360</v>
      </c>
      <c r="M120" s="17" t="s">
        <v>76</v>
      </c>
      <c r="N120" s="17">
        <v>3.9</v>
      </c>
      <c r="O120" s="19" t="s">
        <v>433</v>
      </c>
      <c r="P120" s="88">
        <v>39950</v>
      </c>
      <c r="Q120" s="89">
        <v>0.41</v>
      </c>
      <c r="R120" s="90" t="s">
        <v>148</v>
      </c>
      <c r="S120" s="90" t="s">
        <v>148</v>
      </c>
      <c r="T120" s="12"/>
      <c r="U120" s="17">
        <v>3.2</v>
      </c>
      <c r="V120" s="12"/>
      <c r="W120" s="12"/>
      <c r="X120" s="12"/>
      <c r="Y120" s="12"/>
      <c r="Z120" s="12"/>
      <c r="AA120" s="12"/>
    </row>
    <row r="121" spans="1:27" ht="261" x14ac:dyDescent="0.2">
      <c r="A121" s="23" t="s">
        <v>365</v>
      </c>
      <c r="B121" s="14" t="s">
        <v>434</v>
      </c>
      <c r="C121" s="14" t="s">
        <v>101</v>
      </c>
      <c r="D121" s="12" t="s">
        <v>435</v>
      </c>
      <c r="E121" s="14" t="s">
        <v>111</v>
      </c>
      <c r="F121" s="14" t="s">
        <v>72</v>
      </c>
      <c r="G121" s="12"/>
      <c r="H121" s="12" t="s">
        <v>195</v>
      </c>
      <c r="I121" s="12">
        <v>3</v>
      </c>
      <c r="J121" s="12" t="s">
        <v>436</v>
      </c>
      <c r="K121" s="12"/>
      <c r="L121" s="12"/>
      <c r="M121" s="12"/>
      <c r="N121" s="12"/>
      <c r="O121" s="30" t="s">
        <v>437</v>
      </c>
      <c r="P121" s="33">
        <v>50492</v>
      </c>
      <c r="Q121" s="58">
        <v>0.45</v>
      </c>
      <c r="R121" s="34" t="s">
        <v>438</v>
      </c>
      <c r="S121" s="34" t="s">
        <v>439</v>
      </c>
      <c r="T121" s="12"/>
      <c r="U121" s="12">
        <v>3.68</v>
      </c>
      <c r="V121" s="12"/>
      <c r="W121" s="12"/>
      <c r="X121" s="12"/>
      <c r="Y121" s="12"/>
      <c r="Z121" s="12"/>
      <c r="AA121" s="12"/>
    </row>
    <row r="122" spans="1:27" ht="248" x14ac:dyDescent="0.2">
      <c r="A122" s="23" t="s">
        <v>365</v>
      </c>
      <c r="B122" s="14" t="s">
        <v>440</v>
      </c>
      <c r="C122" s="14" t="s">
        <v>101</v>
      </c>
      <c r="D122" s="12"/>
      <c r="E122" s="14" t="s">
        <v>177</v>
      </c>
      <c r="F122" s="16" t="s">
        <v>61</v>
      </c>
      <c r="G122" s="12"/>
      <c r="H122" s="17" t="s">
        <v>62</v>
      </c>
      <c r="I122" s="17" t="s">
        <v>74</v>
      </c>
      <c r="J122" s="17" t="s">
        <v>441</v>
      </c>
      <c r="K122" s="18">
        <v>34</v>
      </c>
      <c r="L122" s="18">
        <v>1500</v>
      </c>
      <c r="M122" s="16" t="s">
        <v>76</v>
      </c>
      <c r="N122" s="18">
        <v>3.9</v>
      </c>
      <c r="O122" s="30" t="str">
        <f t="shared" ref="O122:O123" si="19">HYPERLINK("http://www.puc.edu/admissions/finance#four","http://www.puc.edu/admissions/finance#four")</f>
        <v>http://www.puc.edu/admissions/finance#four</v>
      </c>
      <c r="P122" s="33">
        <v>28629</v>
      </c>
      <c r="Q122" s="25">
        <v>0.45</v>
      </c>
      <c r="R122" s="52" t="s">
        <v>442</v>
      </c>
      <c r="S122" s="34" t="s">
        <v>443</v>
      </c>
      <c r="T122" s="12"/>
      <c r="U122" s="12" t="s">
        <v>81</v>
      </c>
      <c r="V122" s="12"/>
      <c r="W122" s="12"/>
      <c r="X122" s="12"/>
      <c r="Y122" s="12"/>
      <c r="Z122" s="12"/>
      <c r="AA122" s="12"/>
    </row>
    <row r="123" spans="1:27" ht="181" x14ac:dyDescent="0.2">
      <c r="A123" s="23" t="s">
        <v>365</v>
      </c>
      <c r="B123" s="14" t="s">
        <v>440</v>
      </c>
      <c r="C123" s="14" t="s">
        <v>101</v>
      </c>
      <c r="D123" s="12"/>
      <c r="E123" s="14" t="s">
        <v>60</v>
      </c>
      <c r="F123" s="14" t="s">
        <v>92</v>
      </c>
      <c r="G123" s="12"/>
      <c r="H123" s="12" t="s">
        <v>93</v>
      </c>
      <c r="I123" s="12" t="s">
        <v>74</v>
      </c>
      <c r="J123" s="56" t="s">
        <v>444</v>
      </c>
      <c r="K123" s="12"/>
      <c r="L123" s="12"/>
      <c r="M123" s="12"/>
      <c r="N123" s="12"/>
      <c r="O123" s="30" t="str">
        <f t="shared" si="19"/>
        <v>http://www.puc.edu/admissions/finance#four</v>
      </c>
      <c r="P123" s="33">
        <v>28629</v>
      </c>
      <c r="Q123" s="25">
        <v>0.45</v>
      </c>
      <c r="R123" s="52" t="s">
        <v>442</v>
      </c>
      <c r="S123" s="34" t="s">
        <v>443</v>
      </c>
      <c r="T123" s="12"/>
      <c r="U123" s="12" t="s">
        <v>81</v>
      </c>
      <c r="V123" s="12"/>
      <c r="W123" s="12"/>
      <c r="X123" s="12"/>
      <c r="Y123" s="12"/>
      <c r="Z123" s="12"/>
      <c r="AA123" s="12"/>
    </row>
    <row r="124" spans="1:27" ht="78" customHeight="1" x14ac:dyDescent="0.2">
      <c r="A124" s="11" t="s">
        <v>365</v>
      </c>
      <c r="B124" s="12" t="s">
        <v>445</v>
      </c>
      <c r="C124" s="12" t="s">
        <v>101</v>
      </c>
      <c r="D124" s="12"/>
      <c r="E124" s="12" t="s">
        <v>243</v>
      </c>
      <c r="F124" s="12" t="s">
        <v>72</v>
      </c>
      <c r="G124" s="12"/>
      <c r="H124" s="12" t="s">
        <v>446</v>
      </c>
      <c r="I124" s="12" t="s">
        <v>74</v>
      </c>
      <c r="J124" s="14" t="s">
        <v>447</v>
      </c>
      <c r="K124" s="12">
        <v>32</v>
      </c>
      <c r="L124" s="12">
        <v>1450</v>
      </c>
      <c r="M124" s="12"/>
      <c r="N124" s="12">
        <v>4</v>
      </c>
      <c r="O124" s="37" t="str">
        <f>HYPERLINK("http://undergraduate.pointloma.edu/scholarships-aid","http://undergraduate.pointloma.edu/scholarships-aid")</f>
        <v>http://undergraduate.pointloma.edu/scholarships-aid</v>
      </c>
      <c r="P124" s="65">
        <v>33500</v>
      </c>
      <c r="Q124" s="57">
        <v>0.71</v>
      </c>
      <c r="R124" s="12" t="s">
        <v>266</v>
      </c>
      <c r="S124" s="12" t="s">
        <v>448</v>
      </c>
      <c r="T124" s="12"/>
      <c r="U124" s="12" t="s">
        <v>449</v>
      </c>
      <c r="V124" s="12"/>
      <c r="W124" s="12"/>
      <c r="X124" s="12"/>
      <c r="Y124" s="12"/>
      <c r="Z124" s="12"/>
      <c r="AA124" s="12"/>
    </row>
    <row r="125" spans="1:27" ht="111" customHeight="1" x14ac:dyDescent="0.2">
      <c r="A125" s="23" t="s">
        <v>365</v>
      </c>
      <c r="B125" s="14" t="s">
        <v>450</v>
      </c>
      <c r="C125" s="14" t="s">
        <v>101</v>
      </c>
      <c r="D125" s="12"/>
      <c r="E125" s="14" t="s">
        <v>243</v>
      </c>
      <c r="F125" s="14" t="s">
        <v>145</v>
      </c>
      <c r="G125" s="12"/>
      <c r="H125" s="12" t="s">
        <v>157</v>
      </c>
      <c r="I125" s="12" t="s">
        <v>74</v>
      </c>
      <c r="J125" s="14" t="s">
        <v>451</v>
      </c>
      <c r="K125" s="12"/>
      <c r="L125" s="12"/>
      <c r="M125" s="12"/>
      <c r="N125" s="12"/>
      <c r="O125" s="59" t="str">
        <f>HYPERLINK("https://www.scu.edu/financialaid/types-of-aid/scholarships-and-grants/","https://www.scu.edu/financialaid/types-of-aid/scholarships-and-grants/")</f>
        <v>https://www.scu.edu/financialaid/types-of-aid/scholarships-and-grants/</v>
      </c>
      <c r="P125" s="33">
        <v>47112</v>
      </c>
      <c r="Q125" s="25">
        <v>0.49</v>
      </c>
      <c r="R125" s="14" t="s">
        <v>452</v>
      </c>
      <c r="S125" s="14" t="s">
        <v>453</v>
      </c>
      <c r="T125" s="12"/>
      <c r="U125" s="12">
        <v>3.67</v>
      </c>
      <c r="V125" s="12"/>
      <c r="W125" s="12"/>
      <c r="X125" s="12"/>
      <c r="Y125" s="12"/>
      <c r="Z125" s="12"/>
      <c r="AA125" s="12"/>
    </row>
    <row r="126" spans="1:27" ht="111" customHeight="1" x14ac:dyDescent="0.2">
      <c r="A126" s="23" t="s">
        <v>365</v>
      </c>
      <c r="B126" s="14" t="s">
        <v>450</v>
      </c>
      <c r="C126" s="14" t="s">
        <v>101</v>
      </c>
      <c r="D126" s="12"/>
      <c r="E126" s="14" t="s">
        <v>82</v>
      </c>
      <c r="F126" s="14" t="s">
        <v>72</v>
      </c>
      <c r="G126" s="12"/>
      <c r="H126" s="12" t="s">
        <v>454</v>
      </c>
      <c r="I126" s="12" t="s">
        <v>74</v>
      </c>
      <c r="J126" s="14" t="s">
        <v>455</v>
      </c>
      <c r="K126" s="12"/>
      <c r="L126" s="12"/>
      <c r="M126" s="12"/>
      <c r="N126" s="12"/>
      <c r="O126" s="63" t="s">
        <v>456</v>
      </c>
      <c r="P126" s="33">
        <v>47112</v>
      </c>
      <c r="Q126" s="25">
        <v>0.49</v>
      </c>
      <c r="R126" s="14" t="s">
        <v>452</v>
      </c>
      <c r="S126" s="14" t="s">
        <v>457</v>
      </c>
      <c r="T126" s="12"/>
      <c r="U126" s="12">
        <v>3.67</v>
      </c>
      <c r="V126" s="12"/>
      <c r="W126" s="12"/>
      <c r="X126" s="12"/>
      <c r="Y126" s="12"/>
      <c r="Z126" s="12"/>
      <c r="AA126" s="12"/>
    </row>
    <row r="127" spans="1:27" ht="126.75" customHeight="1" x14ac:dyDescent="0.2">
      <c r="A127" s="23" t="s">
        <v>365</v>
      </c>
      <c r="B127" s="14" t="s">
        <v>450</v>
      </c>
      <c r="C127" s="14" t="s">
        <v>101</v>
      </c>
      <c r="D127" s="12"/>
      <c r="E127" s="14" t="s">
        <v>60</v>
      </c>
      <c r="F127" s="14" t="s">
        <v>72</v>
      </c>
      <c r="G127" s="12"/>
      <c r="H127" s="12" t="s">
        <v>454</v>
      </c>
      <c r="I127" s="12" t="s">
        <v>74</v>
      </c>
      <c r="J127" s="14" t="s">
        <v>458</v>
      </c>
      <c r="K127" s="12"/>
      <c r="L127" s="12"/>
      <c r="M127" s="12"/>
      <c r="N127" s="12"/>
      <c r="O127" s="63" t="s">
        <v>456</v>
      </c>
      <c r="P127" s="33">
        <v>47112</v>
      </c>
      <c r="Q127" s="25">
        <v>0.49</v>
      </c>
      <c r="R127" s="14" t="s">
        <v>452</v>
      </c>
      <c r="S127" s="14" t="s">
        <v>459</v>
      </c>
      <c r="T127" s="12"/>
      <c r="U127" s="12">
        <v>3.67</v>
      </c>
      <c r="V127" s="12"/>
      <c r="W127" s="12"/>
      <c r="X127" s="12"/>
      <c r="Y127" s="12"/>
      <c r="Z127" s="12"/>
      <c r="AA127" s="12"/>
    </row>
    <row r="128" spans="1:27" ht="142.5" customHeight="1" x14ac:dyDescent="0.2">
      <c r="A128" s="23" t="s">
        <v>365</v>
      </c>
      <c r="B128" s="14" t="s">
        <v>460</v>
      </c>
      <c r="C128" s="14" t="s">
        <v>101</v>
      </c>
      <c r="D128" s="12"/>
      <c r="E128" s="14" t="s">
        <v>238</v>
      </c>
      <c r="F128" s="14" t="s">
        <v>461</v>
      </c>
      <c r="G128" s="12"/>
      <c r="H128" s="12" t="s">
        <v>462</v>
      </c>
      <c r="I128" s="12" t="s">
        <v>74</v>
      </c>
      <c r="J128" s="14" t="s">
        <v>463</v>
      </c>
      <c r="K128" s="12"/>
      <c r="L128" s="12"/>
      <c r="M128" s="12"/>
      <c r="N128" s="12"/>
      <c r="O128" s="30" t="str">
        <f>HYPERLINK("http://simpsonu.edu/Pages/About/Financial/Financial-Options.htm#UG_accor_panel5","http://simpsonu.edu/Pages/About/Financial/Financial-Options.htm#UG_accor_panel5")</f>
        <v>http://simpsonu.edu/Pages/About/Financial/Financial-Options.htm#UG_accor_panel5</v>
      </c>
      <c r="P128" s="33">
        <v>25950</v>
      </c>
      <c r="Q128" s="25">
        <v>0.52</v>
      </c>
      <c r="R128" s="34" t="s">
        <v>259</v>
      </c>
      <c r="S128" s="34" t="s">
        <v>464</v>
      </c>
      <c r="T128" s="12"/>
      <c r="U128" s="12">
        <v>3.43</v>
      </c>
      <c r="V128" s="12"/>
      <c r="W128" s="12"/>
      <c r="X128" s="12"/>
      <c r="Y128" s="12"/>
      <c r="Z128" s="12"/>
      <c r="AA128" s="12"/>
    </row>
    <row r="129" spans="1:27" ht="294.75" customHeight="1" x14ac:dyDescent="0.2">
      <c r="A129" s="11" t="s">
        <v>365</v>
      </c>
      <c r="B129" s="12" t="s">
        <v>465</v>
      </c>
      <c r="C129" s="12" t="s">
        <v>101</v>
      </c>
      <c r="D129" s="12"/>
      <c r="E129" s="12" t="s">
        <v>82</v>
      </c>
      <c r="F129" s="12" t="s">
        <v>72</v>
      </c>
      <c r="G129" s="12" t="s">
        <v>186</v>
      </c>
      <c r="H129" s="12" t="s">
        <v>239</v>
      </c>
      <c r="I129" s="12" t="s">
        <v>74</v>
      </c>
      <c r="J129" s="12" t="s">
        <v>466</v>
      </c>
      <c r="K129" s="12"/>
      <c r="L129" s="12"/>
      <c r="M129" s="12"/>
      <c r="N129" s="12"/>
      <c r="O129" s="37" t="str">
        <f t="shared" ref="O129:O130" si="20">HYPERLINK("http://www.soka.edu/admission_aid/Financial_Aid/soka-scholarships.aspx","http://www.soka.edu/admission_aid/Financial_Aid/soka-scholarships.aspx")</f>
        <v>http://www.soka.edu/admission_aid/Financial_Aid/soka-scholarships.aspx</v>
      </c>
      <c r="P129" s="65">
        <v>30016</v>
      </c>
      <c r="Q129" s="57">
        <v>0.46</v>
      </c>
      <c r="R129" s="34" t="s">
        <v>96</v>
      </c>
      <c r="S129" s="34" t="s">
        <v>467</v>
      </c>
      <c r="T129" s="12"/>
      <c r="U129" s="12" t="s">
        <v>468</v>
      </c>
      <c r="V129" s="12"/>
      <c r="W129" s="12"/>
      <c r="X129" s="12"/>
      <c r="Y129" s="12"/>
      <c r="Z129" s="12"/>
      <c r="AA129" s="12"/>
    </row>
    <row r="130" spans="1:27" ht="256.5" customHeight="1" x14ac:dyDescent="0.2">
      <c r="A130" s="11" t="s">
        <v>365</v>
      </c>
      <c r="B130" s="12" t="s">
        <v>465</v>
      </c>
      <c r="C130" s="12" t="s">
        <v>101</v>
      </c>
      <c r="D130" s="12" t="s">
        <v>469</v>
      </c>
      <c r="E130" s="12" t="s">
        <v>111</v>
      </c>
      <c r="F130" s="12" t="s">
        <v>72</v>
      </c>
      <c r="G130" s="12" t="s">
        <v>186</v>
      </c>
      <c r="H130" s="12" t="s">
        <v>470</v>
      </c>
      <c r="I130" s="12">
        <v>1</v>
      </c>
      <c r="J130" s="12" t="s">
        <v>471</v>
      </c>
      <c r="K130" s="12"/>
      <c r="L130" s="12"/>
      <c r="M130" s="12"/>
      <c r="N130" s="12"/>
      <c r="O130" s="37" t="str">
        <f t="shared" si="20"/>
        <v>http://www.soka.edu/admission_aid/Financial_Aid/soka-scholarships.aspx</v>
      </c>
      <c r="P130" s="65">
        <v>30016</v>
      </c>
      <c r="Q130" s="57">
        <v>0.46</v>
      </c>
      <c r="R130" s="34" t="s">
        <v>96</v>
      </c>
      <c r="S130" s="34" t="s">
        <v>467</v>
      </c>
      <c r="T130" s="12"/>
      <c r="U130" s="12" t="s">
        <v>468</v>
      </c>
      <c r="V130" s="12"/>
      <c r="W130" s="12"/>
      <c r="X130" s="12"/>
      <c r="Y130" s="12"/>
      <c r="Z130" s="12"/>
      <c r="AA130" s="12"/>
    </row>
    <row r="131" spans="1:27" ht="269.25" customHeight="1" x14ac:dyDescent="0.2">
      <c r="A131" s="11" t="s">
        <v>365</v>
      </c>
      <c r="B131" s="12" t="s">
        <v>472</v>
      </c>
      <c r="C131" s="12" t="s">
        <v>59</v>
      </c>
      <c r="D131" s="12"/>
      <c r="E131" s="12" t="s">
        <v>111</v>
      </c>
      <c r="F131" s="12" t="s">
        <v>72</v>
      </c>
      <c r="G131" s="12"/>
      <c r="H131" s="12" t="s">
        <v>454</v>
      </c>
      <c r="I131" s="12" t="s">
        <v>473</v>
      </c>
      <c r="J131" s="81" t="s">
        <v>474</v>
      </c>
      <c r="K131" s="12"/>
      <c r="L131" s="12"/>
      <c r="M131" s="12"/>
      <c r="N131" s="12"/>
      <c r="O131" s="37" t="str">
        <f>HYPERLINK("http://www.financialaid.ucla.edu/Prospective-Student/Scholarships","http://www.financialaid.ucla.edu/Prospective-Student/Scholarships")</f>
        <v>http://www.financialaid.ucla.edu/Prospective-Student/Scholarships</v>
      </c>
      <c r="P131" s="12" t="s">
        <v>475</v>
      </c>
      <c r="Q131" s="57">
        <v>0.17</v>
      </c>
      <c r="R131" s="12" t="s">
        <v>476</v>
      </c>
      <c r="S131" s="12" t="s">
        <v>477</v>
      </c>
      <c r="T131" s="12"/>
      <c r="U131" s="12" t="s">
        <v>478</v>
      </c>
      <c r="V131" s="12"/>
      <c r="W131" s="12"/>
      <c r="X131" s="12"/>
      <c r="Y131" s="12"/>
      <c r="Z131" s="12"/>
      <c r="AA131" s="12"/>
    </row>
    <row r="132" spans="1:27" ht="111" customHeight="1" x14ac:dyDescent="0.2">
      <c r="A132" s="23" t="s">
        <v>365</v>
      </c>
      <c r="B132" s="14" t="s">
        <v>479</v>
      </c>
      <c r="C132" s="14" t="s">
        <v>59</v>
      </c>
      <c r="D132" s="12"/>
      <c r="E132" s="14" t="s">
        <v>136</v>
      </c>
      <c r="F132" s="14" t="s">
        <v>145</v>
      </c>
      <c r="G132" s="12"/>
      <c r="H132" s="12" t="s">
        <v>157</v>
      </c>
      <c r="I132" s="12" t="s">
        <v>74</v>
      </c>
      <c r="J132" s="14" t="s">
        <v>480</v>
      </c>
      <c r="K132" s="12"/>
      <c r="L132" s="12"/>
      <c r="M132" s="12"/>
      <c r="N132" s="12"/>
      <c r="O132" s="30" t="str">
        <f>HYPERLINK("http://financialaid.ucdavis.edu/scholarships/other.html","http://financialaid.ucdavis.edu/scholarships/other.html")</f>
        <v>http://financialaid.ucdavis.edu/scholarships/other.html</v>
      </c>
      <c r="P132" s="14" t="s">
        <v>481</v>
      </c>
      <c r="Q132" s="25">
        <v>0.38</v>
      </c>
      <c r="R132" s="14" t="s">
        <v>96</v>
      </c>
      <c r="S132" s="14" t="s">
        <v>482</v>
      </c>
      <c r="T132" s="12"/>
      <c r="U132" s="12">
        <v>4</v>
      </c>
      <c r="V132" s="12"/>
      <c r="W132" s="12"/>
      <c r="X132" s="12"/>
      <c r="Y132" s="12"/>
      <c r="Z132" s="12"/>
      <c r="AA132" s="12"/>
    </row>
    <row r="133" spans="1:27" ht="78" customHeight="1" x14ac:dyDescent="0.2">
      <c r="A133" s="11" t="s">
        <v>365</v>
      </c>
      <c r="B133" s="12" t="s">
        <v>483</v>
      </c>
      <c r="C133" s="12" t="s">
        <v>59</v>
      </c>
      <c r="D133" s="12"/>
      <c r="E133" s="12" t="s">
        <v>136</v>
      </c>
      <c r="F133" s="12" t="s">
        <v>145</v>
      </c>
      <c r="G133" s="12"/>
      <c r="H133" s="12" t="s">
        <v>157</v>
      </c>
      <c r="I133" s="12" t="s">
        <v>74</v>
      </c>
      <c r="J133" s="14" t="s">
        <v>484</v>
      </c>
      <c r="K133" s="12"/>
      <c r="L133" s="12"/>
      <c r="M133" s="12"/>
      <c r="N133" s="12"/>
      <c r="O133" s="37" t="str">
        <f>HYPERLINK("http://www.milsci.ucsb.edu/Scholarships","http://www.milsci.ucsb.edu/Scholarships")</f>
        <v>http://www.milsci.ucsb.edu/Scholarships</v>
      </c>
      <c r="P133" s="12" t="s">
        <v>485</v>
      </c>
      <c r="Q133" s="57">
        <v>0.33</v>
      </c>
      <c r="R133" s="12" t="s">
        <v>96</v>
      </c>
      <c r="S133" s="12" t="s">
        <v>486</v>
      </c>
      <c r="T133" s="12"/>
      <c r="U133" s="12" t="s">
        <v>487</v>
      </c>
      <c r="V133" s="12"/>
      <c r="W133" s="12"/>
      <c r="X133" s="12"/>
      <c r="Y133" s="12"/>
      <c r="Z133" s="12"/>
      <c r="AA133" s="12"/>
    </row>
    <row r="134" spans="1:27" ht="111" customHeight="1" x14ac:dyDescent="0.2">
      <c r="A134" s="23" t="s">
        <v>365</v>
      </c>
      <c r="B134" s="14" t="s">
        <v>488</v>
      </c>
      <c r="C134" s="14" t="s">
        <v>101</v>
      </c>
      <c r="D134" s="12"/>
      <c r="E134" s="14" t="s">
        <v>88</v>
      </c>
      <c r="F134" s="14" t="s">
        <v>145</v>
      </c>
      <c r="G134" s="12"/>
      <c r="H134" s="12" t="s">
        <v>157</v>
      </c>
      <c r="I134" s="12" t="s">
        <v>74</v>
      </c>
      <c r="J134" s="14" t="s">
        <v>489</v>
      </c>
      <c r="K134" s="12"/>
      <c r="L134" s="12"/>
      <c r="M134" s="12"/>
      <c r="N134" s="12"/>
      <c r="O134" s="30" t="str">
        <f>HYPERLINK("http://www.sandiego.edu/soles/academics/army-rotc/scholarships.php","http://www.sandiego.edu/soles/academics/army-rotc/scholarships.php")</f>
        <v>http://www.sandiego.edu/soles/academics/army-rotc/scholarships.php</v>
      </c>
      <c r="P134" s="33">
        <v>46140</v>
      </c>
      <c r="Q134" s="25">
        <v>0.52</v>
      </c>
      <c r="R134" s="14" t="s">
        <v>490</v>
      </c>
      <c r="S134" s="14" t="s">
        <v>491</v>
      </c>
      <c r="T134" s="12"/>
      <c r="U134" s="12">
        <v>3.84</v>
      </c>
      <c r="V134" s="12"/>
      <c r="W134" s="12"/>
      <c r="X134" s="12"/>
      <c r="Y134" s="12"/>
      <c r="Z134" s="12"/>
      <c r="AA134" s="12"/>
    </row>
    <row r="135" spans="1:27" ht="158.25" customHeight="1" x14ac:dyDescent="0.2">
      <c r="A135" s="23" t="s">
        <v>365</v>
      </c>
      <c r="B135" s="14" t="s">
        <v>488</v>
      </c>
      <c r="C135" s="14" t="s">
        <v>101</v>
      </c>
      <c r="D135" s="12"/>
      <c r="E135" s="14" t="s">
        <v>111</v>
      </c>
      <c r="F135" s="14" t="s">
        <v>145</v>
      </c>
      <c r="G135" s="12"/>
      <c r="H135" s="12" t="s">
        <v>157</v>
      </c>
      <c r="I135" s="12" t="s">
        <v>74</v>
      </c>
      <c r="J135" s="14" t="s">
        <v>492</v>
      </c>
      <c r="K135" s="12"/>
      <c r="L135" s="12"/>
      <c r="M135" s="12"/>
      <c r="N135" s="12"/>
      <c r="O135" s="30" t="str">
        <f>HYPERLINK("https://www.sandiego.edu/financialaid/documents/navy_rotc_scholarships.pdf","https://www.sandiego.edu/financialaid/documents/navy_rotc_scholarships.pdf")</f>
        <v>https://www.sandiego.edu/financialaid/documents/navy_rotc_scholarships.pdf</v>
      </c>
      <c r="P135" s="33">
        <v>46140</v>
      </c>
      <c r="Q135" s="25">
        <v>0.52</v>
      </c>
      <c r="R135" s="14" t="s">
        <v>490</v>
      </c>
      <c r="S135" s="14" t="s">
        <v>491</v>
      </c>
      <c r="T135" s="12"/>
      <c r="U135" s="12">
        <v>3.84</v>
      </c>
      <c r="V135" s="12"/>
      <c r="W135" s="12"/>
      <c r="X135" s="12"/>
      <c r="Y135" s="12"/>
      <c r="Z135" s="12"/>
      <c r="AA135" s="12"/>
    </row>
    <row r="136" spans="1:27" ht="129" customHeight="1" x14ac:dyDescent="0.2">
      <c r="A136" s="11" t="s">
        <v>365</v>
      </c>
      <c r="B136" s="12" t="s">
        <v>493</v>
      </c>
      <c r="C136" s="26" t="s">
        <v>101</v>
      </c>
      <c r="D136" s="12" t="s">
        <v>494</v>
      </c>
      <c r="E136" s="12" t="s">
        <v>88</v>
      </c>
      <c r="F136" s="11" t="s">
        <v>72</v>
      </c>
      <c r="G136" s="12"/>
      <c r="H136" s="12" t="s">
        <v>495</v>
      </c>
      <c r="I136" s="12">
        <v>10</v>
      </c>
      <c r="J136" s="26" t="s">
        <v>496</v>
      </c>
      <c r="K136" s="12"/>
      <c r="L136" s="12"/>
      <c r="M136" s="12"/>
      <c r="N136" s="12"/>
      <c r="O136" s="59" t="str">
        <f>HYPERLINK("http://admission.usc.edu/docs/Scholarships.pdf","http://admission.usc.edu/docs/Scholarships.pdf")</f>
        <v>http://admission.usc.edu/docs/Scholarships.pdf</v>
      </c>
      <c r="P136" s="38">
        <v>52283</v>
      </c>
      <c r="Q136" s="31">
        <v>0.18</v>
      </c>
      <c r="R136" s="26" t="s">
        <v>497</v>
      </c>
      <c r="S136" s="26" t="s">
        <v>498</v>
      </c>
      <c r="T136" s="12"/>
      <c r="U136" s="12">
        <v>3.73</v>
      </c>
      <c r="V136" s="12"/>
      <c r="W136" s="12"/>
      <c r="X136" s="12"/>
      <c r="Y136" s="12"/>
      <c r="Z136" s="12"/>
      <c r="AA136" s="12"/>
    </row>
    <row r="137" spans="1:27" ht="154.5" customHeight="1" x14ac:dyDescent="0.2">
      <c r="A137" s="11" t="s">
        <v>365</v>
      </c>
      <c r="B137" s="12" t="s">
        <v>493</v>
      </c>
      <c r="C137" s="26" t="s">
        <v>101</v>
      </c>
      <c r="D137" s="12"/>
      <c r="E137" s="12" t="s">
        <v>88</v>
      </c>
      <c r="F137" s="11" t="s">
        <v>72</v>
      </c>
      <c r="G137" s="12"/>
      <c r="H137" s="12" t="s">
        <v>454</v>
      </c>
      <c r="I137" s="12">
        <v>5</v>
      </c>
      <c r="J137" s="26" t="s">
        <v>499</v>
      </c>
      <c r="K137" s="12"/>
      <c r="L137" s="12"/>
      <c r="M137" s="12"/>
      <c r="N137" s="12"/>
      <c r="O137" s="63" t="s">
        <v>500</v>
      </c>
      <c r="P137" s="38">
        <v>52283</v>
      </c>
      <c r="Q137" s="31">
        <v>0.18</v>
      </c>
      <c r="R137" s="26" t="s">
        <v>497</v>
      </c>
      <c r="S137" s="26" t="s">
        <v>501</v>
      </c>
      <c r="T137" s="12"/>
      <c r="U137" s="12">
        <v>3.73</v>
      </c>
      <c r="V137" s="12"/>
      <c r="W137" s="12"/>
      <c r="X137" s="12"/>
      <c r="Y137" s="12"/>
      <c r="Z137" s="12"/>
      <c r="AA137" s="12"/>
    </row>
    <row r="138" spans="1:27" ht="78" customHeight="1" x14ac:dyDescent="0.2">
      <c r="A138" s="11" t="s">
        <v>365</v>
      </c>
      <c r="B138" s="12" t="s">
        <v>493</v>
      </c>
      <c r="C138" s="26" t="s">
        <v>101</v>
      </c>
      <c r="D138" s="12"/>
      <c r="E138" s="12" t="s">
        <v>177</v>
      </c>
      <c r="F138" s="11" t="s">
        <v>72</v>
      </c>
      <c r="G138" s="12"/>
      <c r="H138" s="12" t="s">
        <v>454</v>
      </c>
      <c r="I138" s="12">
        <v>100</v>
      </c>
      <c r="J138" s="26" t="s">
        <v>502</v>
      </c>
      <c r="K138" s="12"/>
      <c r="L138" s="12"/>
      <c r="M138" s="12"/>
      <c r="N138" s="12"/>
      <c r="O138" s="63" t="s">
        <v>500</v>
      </c>
      <c r="P138" s="38">
        <v>52283</v>
      </c>
      <c r="Q138" s="31">
        <v>0.18</v>
      </c>
      <c r="R138" s="26" t="s">
        <v>497</v>
      </c>
      <c r="S138" s="26" t="s">
        <v>503</v>
      </c>
      <c r="T138" s="12"/>
      <c r="U138" s="12">
        <v>3.73</v>
      </c>
      <c r="V138" s="12"/>
      <c r="W138" s="12"/>
      <c r="X138" s="12"/>
      <c r="Y138" s="12"/>
      <c r="Z138" s="12"/>
      <c r="AA138" s="12"/>
    </row>
    <row r="139" spans="1:27" ht="174" customHeight="1" x14ac:dyDescent="0.2">
      <c r="A139" s="23" t="s">
        <v>365</v>
      </c>
      <c r="B139" s="14" t="s">
        <v>504</v>
      </c>
      <c r="C139" s="14" t="s">
        <v>101</v>
      </c>
      <c r="D139" s="12"/>
      <c r="E139" s="14" t="s">
        <v>243</v>
      </c>
      <c r="F139" s="14" t="s">
        <v>92</v>
      </c>
      <c r="G139" s="12"/>
      <c r="H139" s="12" t="s">
        <v>93</v>
      </c>
      <c r="I139" s="12" t="s">
        <v>63</v>
      </c>
      <c r="J139" s="14" t="s">
        <v>505</v>
      </c>
      <c r="K139" s="12"/>
      <c r="L139" s="12"/>
      <c r="M139" s="12"/>
      <c r="N139" s="12"/>
      <c r="O139" s="30" t="s">
        <v>506</v>
      </c>
      <c r="P139" s="33">
        <v>30980</v>
      </c>
      <c r="Q139" s="25">
        <v>0.57999999999999996</v>
      </c>
      <c r="R139" s="14" t="s">
        <v>507</v>
      </c>
      <c r="S139" s="14" t="s">
        <v>508</v>
      </c>
      <c r="T139" s="12"/>
      <c r="U139" s="12">
        <v>3.21</v>
      </c>
      <c r="V139" s="12"/>
      <c r="W139" s="12"/>
      <c r="X139" s="12"/>
      <c r="Y139" s="12"/>
      <c r="Z139" s="12"/>
      <c r="AA139" s="12"/>
    </row>
    <row r="140" spans="1:27" ht="189.75" customHeight="1" x14ac:dyDescent="0.2">
      <c r="A140" s="11" t="s">
        <v>365</v>
      </c>
      <c r="B140" s="12" t="s">
        <v>509</v>
      </c>
      <c r="C140" s="12" t="s">
        <v>101</v>
      </c>
      <c r="D140" s="12"/>
      <c r="E140" s="12" t="s">
        <v>510</v>
      </c>
      <c r="F140" s="12" t="s">
        <v>72</v>
      </c>
      <c r="G140" s="12"/>
      <c r="H140" s="12" t="s">
        <v>511</v>
      </c>
      <c r="I140" s="12">
        <v>30</v>
      </c>
      <c r="J140" s="14" t="s">
        <v>512</v>
      </c>
      <c r="K140" s="12"/>
      <c r="L140" s="12"/>
      <c r="M140" s="12"/>
      <c r="N140" s="12"/>
      <c r="O140" s="37" t="str">
        <f>HYPERLINK("http://www.westmont.edu/admissions/financial-aid.html","http://www.westmont.edu/admissions/financial-aid.html")</f>
        <v>http://www.westmont.edu/admissions/financial-aid.html</v>
      </c>
      <c r="P140" s="65">
        <v>41360</v>
      </c>
      <c r="Q140" s="57">
        <v>0.79400000000000004</v>
      </c>
      <c r="R140" s="34" t="s">
        <v>105</v>
      </c>
      <c r="S140" s="34" t="s">
        <v>513</v>
      </c>
      <c r="T140" s="12"/>
      <c r="U140" s="12" t="s">
        <v>514</v>
      </c>
      <c r="V140" s="12"/>
      <c r="W140" s="12"/>
      <c r="X140" s="12"/>
      <c r="Y140" s="12"/>
      <c r="Z140" s="12"/>
      <c r="AA140" s="12"/>
    </row>
    <row r="141" spans="1:27" ht="269.25" customHeight="1" x14ac:dyDescent="0.2">
      <c r="A141" s="11" t="s">
        <v>515</v>
      </c>
      <c r="B141" s="12" t="s">
        <v>516</v>
      </c>
      <c r="C141" s="26" t="s">
        <v>101</v>
      </c>
      <c r="D141" s="12"/>
      <c r="E141" s="12" t="s">
        <v>60</v>
      </c>
      <c r="F141" s="12" t="s">
        <v>72</v>
      </c>
      <c r="G141" s="12"/>
      <c r="H141" s="12" t="s">
        <v>517</v>
      </c>
      <c r="I141" s="12">
        <v>3</v>
      </c>
      <c r="J141" s="26" t="s">
        <v>518</v>
      </c>
      <c r="K141" s="12"/>
      <c r="L141" s="12"/>
      <c r="M141" s="12"/>
      <c r="N141" s="12"/>
      <c r="O141" s="30" t="str">
        <f>HYPERLINK("http://www.ccu.edu/finaid/ccuscholarships/","http://www.ccu.edu/finaid/ccuscholarships/")</f>
        <v>http://www.ccu.edu/finaid/ccuscholarships/</v>
      </c>
      <c r="P141" s="38">
        <v>29360</v>
      </c>
      <c r="Q141" s="91">
        <v>0.81</v>
      </c>
      <c r="R141" s="12" t="s">
        <v>148</v>
      </c>
      <c r="S141" s="26" t="s">
        <v>148</v>
      </c>
      <c r="T141" s="12"/>
      <c r="U141" s="12">
        <v>3.61</v>
      </c>
      <c r="V141" s="12"/>
      <c r="W141" s="12"/>
      <c r="X141" s="12"/>
      <c r="Y141" s="12"/>
      <c r="Z141" s="12"/>
      <c r="AA141" s="12"/>
    </row>
    <row r="142" spans="1:27" ht="170" x14ac:dyDescent="0.2">
      <c r="A142" s="11" t="s">
        <v>515</v>
      </c>
      <c r="B142" s="12" t="s">
        <v>519</v>
      </c>
      <c r="C142" s="26" t="s">
        <v>101</v>
      </c>
      <c r="D142" s="17" t="s">
        <v>520</v>
      </c>
      <c r="E142" s="12" t="s">
        <v>111</v>
      </c>
      <c r="F142" s="12" t="s">
        <v>72</v>
      </c>
      <c r="G142" s="12"/>
      <c r="H142" s="12" t="s">
        <v>521</v>
      </c>
      <c r="I142" s="12">
        <v>2</v>
      </c>
      <c r="J142" s="26" t="s">
        <v>522</v>
      </c>
      <c r="K142" s="12"/>
      <c r="L142" s="12"/>
      <c r="M142" s="12"/>
      <c r="N142" s="12"/>
      <c r="O142" s="30" t="str">
        <f>HYPERLINK("http://www.coloradocollege.edu/admission/financialaid/scholarships/index.dot","http://www.coloradocollege.edu/admission/financialaid/scholarships/index.dot")</f>
        <v>http://www.coloradocollege.edu/admission/financialaid/scholarships/index.dot</v>
      </c>
      <c r="P142" s="38">
        <v>50892</v>
      </c>
      <c r="Q142" s="31">
        <v>0.17</v>
      </c>
      <c r="R142" s="26" t="s">
        <v>523</v>
      </c>
      <c r="S142" s="26" t="s">
        <v>524</v>
      </c>
      <c r="T142" s="12"/>
      <c r="U142" s="12" t="s">
        <v>81</v>
      </c>
      <c r="V142" s="12"/>
      <c r="W142" s="12"/>
      <c r="X142" s="12"/>
      <c r="Y142" s="12"/>
      <c r="Z142" s="12"/>
      <c r="AA142" s="12"/>
    </row>
    <row r="143" spans="1:27" ht="104.25" customHeight="1" x14ac:dyDescent="0.2">
      <c r="A143" s="11" t="s">
        <v>515</v>
      </c>
      <c r="B143" s="12" t="s">
        <v>519</v>
      </c>
      <c r="C143" s="26" t="s">
        <v>101</v>
      </c>
      <c r="D143" s="12"/>
      <c r="E143" s="12" t="s">
        <v>60</v>
      </c>
      <c r="F143" s="12" t="s">
        <v>72</v>
      </c>
      <c r="G143" s="12"/>
      <c r="H143" s="12" t="s">
        <v>525</v>
      </c>
      <c r="I143" s="12">
        <v>4</v>
      </c>
      <c r="J143" s="26" t="s">
        <v>526</v>
      </c>
      <c r="K143" s="12"/>
      <c r="L143" s="12"/>
      <c r="M143" s="12"/>
      <c r="N143" s="12"/>
      <c r="O143" s="30" t="str">
        <f t="shared" ref="O143:O144" si="21">HYPERLINK("http://www.coloradocollege.edu/admission/financialaid/scholarships/barnes.dot","http://www.coloradocollege.edu/admission/financialaid/scholarships/barnes.dot")</f>
        <v>http://www.coloradocollege.edu/admission/financialaid/scholarships/barnes.dot</v>
      </c>
      <c r="P143" s="38">
        <v>50892</v>
      </c>
      <c r="Q143" s="31">
        <v>0.17</v>
      </c>
      <c r="R143" s="26" t="s">
        <v>523</v>
      </c>
      <c r="S143" s="26" t="s">
        <v>524</v>
      </c>
      <c r="T143" s="12"/>
      <c r="U143" s="12" t="s">
        <v>81</v>
      </c>
      <c r="V143" s="12"/>
      <c r="W143" s="12"/>
      <c r="X143" s="12"/>
      <c r="Y143" s="12"/>
      <c r="Z143" s="12"/>
      <c r="AA143" s="12"/>
    </row>
    <row r="144" spans="1:27" ht="180" customHeight="1" x14ac:dyDescent="0.2">
      <c r="A144" s="11" t="s">
        <v>515</v>
      </c>
      <c r="B144" s="12" t="s">
        <v>519</v>
      </c>
      <c r="C144" s="26" t="s">
        <v>101</v>
      </c>
      <c r="D144" s="12" t="s">
        <v>520</v>
      </c>
      <c r="E144" s="12" t="s">
        <v>82</v>
      </c>
      <c r="F144" s="12" t="s">
        <v>72</v>
      </c>
      <c r="G144" s="12"/>
      <c r="H144" s="12" t="s">
        <v>527</v>
      </c>
      <c r="I144" s="12" t="s">
        <v>74</v>
      </c>
      <c r="J144" s="26" t="s">
        <v>528</v>
      </c>
      <c r="K144" s="12"/>
      <c r="L144" s="12"/>
      <c r="M144" s="12"/>
      <c r="N144" s="12"/>
      <c r="O144" s="30" t="str">
        <f t="shared" si="21"/>
        <v>http://www.coloradocollege.edu/admission/financialaid/scholarships/barnes.dot</v>
      </c>
      <c r="P144" s="38">
        <v>50892</v>
      </c>
      <c r="Q144" s="31">
        <v>0.17</v>
      </c>
      <c r="R144" s="26" t="s">
        <v>523</v>
      </c>
      <c r="S144" s="26" t="s">
        <v>524</v>
      </c>
      <c r="T144" s="12"/>
      <c r="U144" s="12" t="s">
        <v>81</v>
      </c>
      <c r="V144" s="12"/>
      <c r="W144" s="12"/>
      <c r="X144" s="12"/>
      <c r="Y144" s="12"/>
      <c r="Z144" s="12"/>
      <c r="AA144" s="12"/>
    </row>
    <row r="145" spans="1:27" ht="205.5" customHeight="1" x14ac:dyDescent="0.2">
      <c r="A145" s="23" t="s">
        <v>515</v>
      </c>
      <c r="B145" s="14" t="s">
        <v>529</v>
      </c>
      <c r="C145" s="14" t="s">
        <v>59</v>
      </c>
      <c r="D145" s="14" t="s">
        <v>194</v>
      </c>
      <c r="E145" s="14" t="s">
        <v>60</v>
      </c>
      <c r="F145" s="14" t="s">
        <v>72</v>
      </c>
      <c r="G145" s="12"/>
      <c r="H145" s="12" t="s">
        <v>530</v>
      </c>
      <c r="I145" s="12" t="s">
        <v>74</v>
      </c>
      <c r="J145" s="81" t="s">
        <v>531</v>
      </c>
      <c r="K145" s="24">
        <v>29</v>
      </c>
      <c r="L145" s="18">
        <v>1340</v>
      </c>
      <c r="M145" s="16" t="s">
        <v>76</v>
      </c>
      <c r="N145" s="24">
        <v>3.75</v>
      </c>
      <c r="O145" s="30" t="s">
        <v>532</v>
      </c>
      <c r="P145" s="14" t="s">
        <v>533</v>
      </c>
      <c r="Q145" s="25">
        <v>0.83</v>
      </c>
      <c r="R145" s="52" t="s">
        <v>534</v>
      </c>
      <c r="S145" s="34" t="s">
        <v>535</v>
      </c>
      <c r="T145" s="12"/>
      <c r="U145" s="12">
        <v>3.1</v>
      </c>
      <c r="V145" s="12"/>
      <c r="W145" s="12"/>
      <c r="X145" s="12"/>
      <c r="Y145" s="12"/>
      <c r="Z145" s="12"/>
      <c r="AA145" s="12"/>
    </row>
    <row r="146" spans="1:27" ht="180" customHeight="1" x14ac:dyDescent="0.2">
      <c r="A146" s="23" t="s">
        <v>515</v>
      </c>
      <c r="B146" s="14" t="s">
        <v>536</v>
      </c>
      <c r="C146" s="14" t="s">
        <v>59</v>
      </c>
      <c r="D146" s="14"/>
      <c r="E146" s="14" t="s">
        <v>136</v>
      </c>
      <c r="F146" s="14" t="s">
        <v>145</v>
      </c>
      <c r="G146" s="12"/>
      <c r="H146" s="12" t="s">
        <v>157</v>
      </c>
      <c r="I146" s="12" t="s">
        <v>74</v>
      </c>
      <c r="J146" s="81" t="s">
        <v>537</v>
      </c>
      <c r="K146" s="12"/>
      <c r="L146" s="12"/>
      <c r="M146" s="12"/>
      <c r="N146" s="12"/>
      <c r="O146" s="30" t="str">
        <f>HYPERLINK("http://sfs.colostate.edu/scholarships-affiliated-with-csu","http://sfs.colostate.edu/scholarships-affiliated-with-csu")</f>
        <v>http://sfs.colostate.edu/scholarships-affiliated-with-csu</v>
      </c>
      <c r="P146" s="14" t="s">
        <v>538</v>
      </c>
      <c r="Q146" s="25">
        <v>0.81</v>
      </c>
      <c r="R146" s="14" t="s">
        <v>224</v>
      </c>
      <c r="S146" s="14" t="s">
        <v>539</v>
      </c>
      <c r="T146" s="12"/>
      <c r="U146" s="12">
        <v>3.59</v>
      </c>
      <c r="V146" s="12"/>
      <c r="W146" s="12"/>
      <c r="X146" s="12"/>
      <c r="Y146" s="12"/>
      <c r="Z146" s="12"/>
      <c r="AA146" s="12"/>
    </row>
    <row r="147" spans="1:27" ht="159" customHeight="1" x14ac:dyDescent="0.2">
      <c r="A147" s="23" t="s">
        <v>515</v>
      </c>
      <c r="B147" s="14" t="s">
        <v>536</v>
      </c>
      <c r="C147" s="14" t="s">
        <v>59</v>
      </c>
      <c r="D147" s="14" t="s">
        <v>98</v>
      </c>
      <c r="E147" s="14" t="s">
        <v>111</v>
      </c>
      <c r="F147" s="14" t="s">
        <v>72</v>
      </c>
      <c r="G147" s="12"/>
      <c r="H147" s="12" t="s">
        <v>540</v>
      </c>
      <c r="I147" s="12" t="s">
        <v>74</v>
      </c>
      <c r="J147" s="81" t="s">
        <v>541</v>
      </c>
      <c r="K147" s="24">
        <v>30</v>
      </c>
      <c r="L147" s="24">
        <v>1300</v>
      </c>
      <c r="M147" s="14" t="s">
        <v>197</v>
      </c>
      <c r="N147" s="12"/>
      <c r="O147" s="30" t="str">
        <f>HYPERLINK("http://sfs.colostate.edu/scholarships-for-incoming-colorado-resident-freshman","http://sfs.colostate.edu/scholarships-for-incoming-colorado-resident-freshman")</f>
        <v>http://sfs.colostate.edu/scholarships-for-incoming-colorado-resident-freshman</v>
      </c>
      <c r="P147" s="14" t="s">
        <v>538</v>
      </c>
      <c r="Q147" s="25">
        <v>0.81</v>
      </c>
      <c r="R147" s="14" t="s">
        <v>224</v>
      </c>
      <c r="S147" s="14" t="s">
        <v>539</v>
      </c>
      <c r="T147" s="12"/>
      <c r="U147" s="12">
        <v>3.59</v>
      </c>
      <c r="V147" s="12"/>
      <c r="W147" s="12"/>
      <c r="X147" s="12"/>
      <c r="Y147" s="12"/>
      <c r="Z147" s="12"/>
      <c r="AA147" s="12"/>
    </row>
    <row r="148" spans="1:27" ht="303.75" customHeight="1" x14ac:dyDescent="0.2">
      <c r="A148" s="23" t="s">
        <v>515</v>
      </c>
      <c r="B148" s="14" t="s">
        <v>536</v>
      </c>
      <c r="C148" s="14" t="s">
        <v>59</v>
      </c>
      <c r="D148" s="14" t="s">
        <v>98</v>
      </c>
      <c r="E148" s="14" t="s">
        <v>542</v>
      </c>
      <c r="F148" s="14" t="s">
        <v>72</v>
      </c>
      <c r="G148" s="12"/>
      <c r="H148" s="12" t="s">
        <v>543</v>
      </c>
      <c r="I148" s="12" t="s">
        <v>74</v>
      </c>
      <c r="J148" s="81" t="s">
        <v>544</v>
      </c>
      <c r="K148" s="24">
        <v>27</v>
      </c>
      <c r="L148" s="24">
        <v>1230</v>
      </c>
      <c r="M148" s="14" t="s">
        <v>197</v>
      </c>
      <c r="N148" s="12">
        <v>3.8</v>
      </c>
      <c r="O148" s="63" t="s">
        <v>545</v>
      </c>
      <c r="P148" s="14" t="s">
        <v>538</v>
      </c>
      <c r="Q148" s="25">
        <v>0.81</v>
      </c>
      <c r="R148" s="14" t="s">
        <v>224</v>
      </c>
      <c r="S148" s="14" t="s">
        <v>539</v>
      </c>
      <c r="T148" s="12"/>
      <c r="U148" s="12">
        <v>3.59</v>
      </c>
      <c r="V148" s="12"/>
      <c r="W148" s="12"/>
      <c r="X148" s="12"/>
      <c r="Y148" s="12"/>
      <c r="Z148" s="12"/>
      <c r="AA148" s="12"/>
    </row>
    <row r="149" spans="1:27" ht="111" customHeight="1" x14ac:dyDescent="0.2">
      <c r="A149" s="23" t="s">
        <v>515</v>
      </c>
      <c r="B149" s="14" t="s">
        <v>536</v>
      </c>
      <c r="C149" s="14" t="s">
        <v>59</v>
      </c>
      <c r="D149" s="14"/>
      <c r="E149" s="14" t="s">
        <v>88</v>
      </c>
      <c r="F149" s="14" t="s">
        <v>145</v>
      </c>
      <c r="G149" s="12"/>
      <c r="H149" s="12" t="s">
        <v>157</v>
      </c>
      <c r="I149" s="12" t="s">
        <v>74</v>
      </c>
      <c r="J149" s="14" t="s">
        <v>546</v>
      </c>
      <c r="K149" s="12"/>
      <c r="L149" s="12"/>
      <c r="M149" s="12"/>
      <c r="N149" s="24">
        <v>2.5</v>
      </c>
      <c r="O149" s="30" t="str">
        <f>HYPERLINK("http://sfs.colostate.edu/scholarships-affiliated-with-csu","http://sfs.colostate.edu/scholarships-affiliated-with-csu")</f>
        <v>http://sfs.colostate.edu/scholarships-affiliated-with-csu</v>
      </c>
      <c r="P149" s="14" t="s">
        <v>538</v>
      </c>
      <c r="Q149" s="25">
        <v>0.81</v>
      </c>
      <c r="R149" s="14" t="s">
        <v>224</v>
      </c>
      <c r="S149" s="14" t="s">
        <v>539</v>
      </c>
      <c r="T149" s="12"/>
      <c r="U149" s="12">
        <v>3.59</v>
      </c>
      <c r="V149" s="12"/>
      <c r="W149" s="12"/>
      <c r="X149" s="12"/>
      <c r="Y149" s="12"/>
      <c r="Z149" s="12"/>
      <c r="AA149" s="12"/>
    </row>
    <row r="150" spans="1:27" ht="78" customHeight="1" x14ac:dyDescent="0.2">
      <c r="A150" s="11" t="s">
        <v>515</v>
      </c>
      <c r="B150" s="12" t="s">
        <v>547</v>
      </c>
      <c r="C150" s="26" t="s">
        <v>59</v>
      </c>
      <c r="D150" s="26"/>
      <c r="E150" s="12" t="s">
        <v>300</v>
      </c>
      <c r="F150" s="12" t="s">
        <v>61</v>
      </c>
      <c r="G150" s="12"/>
      <c r="H150" s="12" t="s">
        <v>530</v>
      </c>
      <c r="I150" s="12" t="s">
        <v>63</v>
      </c>
      <c r="J150" s="61" t="s">
        <v>548</v>
      </c>
      <c r="K150" s="24">
        <v>30</v>
      </c>
      <c r="L150" s="18">
        <v>1400</v>
      </c>
      <c r="M150" s="29" t="s">
        <v>76</v>
      </c>
      <c r="N150" s="92">
        <v>4</v>
      </c>
      <c r="O150" s="30" t="str">
        <f>HYPERLINK("http://www.csupueblo.edu/FinancialAid/Scholarships/Pages/default.aspx","http://www.csupueblo.edu/FinancialAid/Scholarships/Pages/default.aspx")</f>
        <v>http://www.csupueblo.edu/FinancialAid/Scholarships/Pages/default.aspx</v>
      </c>
      <c r="P150" s="26" t="s">
        <v>549</v>
      </c>
      <c r="Q150" s="31">
        <v>0.96</v>
      </c>
      <c r="R150" s="26" t="s">
        <v>550</v>
      </c>
      <c r="S150" s="26" t="s">
        <v>551</v>
      </c>
      <c r="T150" s="12"/>
      <c r="U150" s="12">
        <v>3.23</v>
      </c>
      <c r="V150" s="12"/>
      <c r="W150" s="12"/>
      <c r="X150" s="12"/>
      <c r="Y150" s="12"/>
      <c r="Z150" s="12"/>
      <c r="AA150" s="12"/>
    </row>
    <row r="151" spans="1:27" ht="158.25" customHeight="1" x14ac:dyDescent="0.2">
      <c r="A151" s="23" t="s">
        <v>515</v>
      </c>
      <c r="B151" s="14" t="s">
        <v>552</v>
      </c>
      <c r="C151" s="14" t="s">
        <v>101</v>
      </c>
      <c r="D151" s="12"/>
      <c r="E151" s="14" t="s">
        <v>60</v>
      </c>
      <c r="F151" s="14" t="s">
        <v>72</v>
      </c>
      <c r="G151" s="12"/>
      <c r="H151" s="12" t="s">
        <v>553</v>
      </c>
      <c r="I151" s="12">
        <v>4</v>
      </c>
      <c r="J151" s="14" t="s">
        <v>554</v>
      </c>
      <c r="K151" s="12"/>
      <c r="L151" s="12"/>
      <c r="M151" s="12"/>
      <c r="N151" s="12"/>
      <c r="O151" s="30" t="s">
        <v>555</v>
      </c>
      <c r="P151" s="33">
        <v>34450</v>
      </c>
      <c r="Q151" s="58">
        <v>0.66</v>
      </c>
      <c r="R151" s="14" t="s">
        <v>182</v>
      </c>
      <c r="S151" s="14" t="s">
        <v>556</v>
      </c>
      <c r="T151" s="12"/>
      <c r="U151" s="12">
        <v>3.52</v>
      </c>
      <c r="V151" s="12"/>
      <c r="W151" s="12"/>
      <c r="X151" s="12"/>
      <c r="Y151" s="12"/>
      <c r="Z151" s="12"/>
      <c r="AA151" s="12"/>
    </row>
    <row r="152" spans="1:27" ht="205.5" customHeight="1" x14ac:dyDescent="0.2">
      <c r="A152" s="23" t="s">
        <v>515</v>
      </c>
      <c r="B152" s="14" t="s">
        <v>552</v>
      </c>
      <c r="C152" s="14" t="s">
        <v>101</v>
      </c>
      <c r="D152" s="12"/>
      <c r="E152" s="14" t="s">
        <v>60</v>
      </c>
      <c r="F152" s="14" t="s">
        <v>72</v>
      </c>
      <c r="G152" s="12"/>
      <c r="H152" s="12" t="s">
        <v>557</v>
      </c>
      <c r="I152" s="12" t="s">
        <v>74</v>
      </c>
      <c r="J152" s="14" t="s">
        <v>558</v>
      </c>
      <c r="K152" s="12"/>
      <c r="L152" s="12"/>
      <c r="M152" s="12"/>
      <c r="N152" s="12"/>
      <c r="O152" s="30" t="s">
        <v>559</v>
      </c>
      <c r="P152" s="33">
        <v>34450</v>
      </c>
      <c r="Q152" s="58">
        <v>0.66</v>
      </c>
      <c r="R152" s="14" t="s">
        <v>182</v>
      </c>
      <c r="S152" s="14" t="s">
        <v>556</v>
      </c>
      <c r="T152" s="12"/>
      <c r="U152" s="12">
        <v>3.52</v>
      </c>
      <c r="V152" s="12"/>
      <c r="W152" s="12"/>
      <c r="X152" s="12"/>
      <c r="Y152" s="12"/>
      <c r="Z152" s="12"/>
      <c r="AA152" s="12"/>
    </row>
    <row r="153" spans="1:27" ht="224" x14ac:dyDescent="0.2">
      <c r="A153" s="11" t="s">
        <v>515</v>
      </c>
      <c r="B153" s="12" t="s">
        <v>560</v>
      </c>
      <c r="C153" s="26" t="s">
        <v>59</v>
      </c>
      <c r="D153" s="26" t="s">
        <v>194</v>
      </c>
      <c r="E153" s="12" t="s">
        <v>88</v>
      </c>
      <c r="F153" s="12" t="s">
        <v>72</v>
      </c>
      <c r="G153" s="12"/>
      <c r="H153" s="12" t="s">
        <v>561</v>
      </c>
      <c r="I153" s="12" t="s">
        <v>74</v>
      </c>
      <c r="J153" s="27" t="s">
        <v>562</v>
      </c>
      <c r="K153" s="12"/>
      <c r="L153" s="12"/>
      <c r="M153" s="12"/>
      <c r="N153" s="26">
        <v>3.5</v>
      </c>
      <c r="O153" s="30" t="s">
        <v>563</v>
      </c>
      <c r="P153" s="26" t="s">
        <v>564</v>
      </c>
      <c r="Q153" s="31">
        <v>0.91</v>
      </c>
      <c r="R153" s="26" t="s">
        <v>565</v>
      </c>
      <c r="S153" s="26" t="s">
        <v>566</v>
      </c>
      <c r="T153" s="12"/>
      <c r="U153" s="12">
        <v>3.37</v>
      </c>
      <c r="V153" s="12"/>
      <c r="W153" s="12"/>
      <c r="X153" s="12"/>
      <c r="Y153" s="12"/>
      <c r="Z153" s="12"/>
      <c r="AA153" s="12"/>
    </row>
    <row r="154" spans="1:27" ht="65.25" customHeight="1" x14ac:dyDescent="0.2">
      <c r="A154" s="11" t="s">
        <v>515</v>
      </c>
      <c r="B154" s="12" t="s">
        <v>567</v>
      </c>
      <c r="C154" s="26" t="s">
        <v>59</v>
      </c>
      <c r="D154" s="26" t="s">
        <v>194</v>
      </c>
      <c r="E154" s="12" t="s">
        <v>568</v>
      </c>
      <c r="F154" s="12" t="s">
        <v>61</v>
      </c>
      <c r="G154" s="12"/>
      <c r="H154" s="12" t="s">
        <v>62</v>
      </c>
      <c r="I154" s="12" t="s">
        <v>63</v>
      </c>
      <c r="J154" s="61" t="s">
        <v>569</v>
      </c>
      <c r="K154" s="24">
        <v>29</v>
      </c>
      <c r="L154" s="18">
        <v>1350</v>
      </c>
      <c r="M154" s="29" t="s">
        <v>76</v>
      </c>
      <c r="N154" s="26">
        <v>3.8</v>
      </c>
      <c r="O154" s="30" t="str">
        <f>HYPERLINK("http://www.unco.edu/admissions/scholarships/","http://www.unco.edu/admissions/scholarships/")</f>
        <v>http://www.unco.edu/admissions/scholarships/</v>
      </c>
      <c r="P154" s="26" t="s">
        <v>570</v>
      </c>
      <c r="Q154" s="31">
        <v>0.89</v>
      </c>
      <c r="R154" s="26" t="s">
        <v>130</v>
      </c>
      <c r="S154" s="26" t="s">
        <v>571</v>
      </c>
      <c r="T154" s="12"/>
      <c r="U154" s="12">
        <v>3.23</v>
      </c>
      <c r="V154" s="12"/>
      <c r="W154" s="12"/>
      <c r="X154" s="12"/>
      <c r="Y154" s="12"/>
      <c r="Z154" s="12"/>
      <c r="AA154" s="12"/>
    </row>
    <row r="155" spans="1:27" ht="284.25" customHeight="1" x14ac:dyDescent="0.2">
      <c r="A155" s="23" t="s">
        <v>572</v>
      </c>
      <c r="B155" s="14" t="s">
        <v>573</v>
      </c>
      <c r="C155" s="14" t="s">
        <v>59</v>
      </c>
      <c r="D155" s="12"/>
      <c r="E155" s="14" t="s">
        <v>88</v>
      </c>
      <c r="F155" s="14" t="s">
        <v>72</v>
      </c>
      <c r="G155" s="12"/>
      <c r="H155" s="12" t="s">
        <v>239</v>
      </c>
      <c r="I155" s="12" t="s">
        <v>74</v>
      </c>
      <c r="J155" s="14" t="s">
        <v>574</v>
      </c>
      <c r="K155" s="12"/>
      <c r="L155" s="12"/>
      <c r="M155" s="12"/>
      <c r="N155" s="12"/>
      <c r="O155" s="59" t="str">
        <f>HYPERLINK("http://www1.easternct.edu/finaid/types-of-aid/","http://www1.easternct.edu/finaid/types-of-aid/")</f>
        <v>http://www1.easternct.edu/finaid/types-of-aid/</v>
      </c>
      <c r="P155" s="14" t="s">
        <v>575</v>
      </c>
      <c r="Q155" s="93">
        <v>0.64</v>
      </c>
      <c r="R155" s="94" t="s">
        <v>148</v>
      </c>
      <c r="S155" s="26" t="s">
        <v>576</v>
      </c>
      <c r="T155" s="12"/>
      <c r="U155" s="12">
        <v>3.08</v>
      </c>
      <c r="V155" s="12"/>
      <c r="W155" s="12"/>
      <c r="X155" s="12"/>
      <c r="Y155" s="12"/>
      <c r="Z155" s="12"/>
      <c r="AA155" s="12"/>
    </row>
    <row r="156" spans="1:27" ht="256.5" customHeight="1" x14ac:dyDescent="0.2">
      <c r="A156" s="12" t="s">
        <v>572</v>
      </c>
      <c r="B156" s="12" t="s">
        <v>577</v>
      </c>
      <c r="C156" s="12" t="s">
        <v>101</v>
      </c>
      <c r="D156" s="12" t="s">
        <v>578</v>
      </c>
      <c r="E156" s="12" t="s">
        <v>82</v>
      </c>
      <c r="F156" s="12" t="s">
        <v>72</v>
      </c>
      <c r="G156" s="12"/>
      <c r="H156" s="12" t="s">
        <v>579</v>
      </c>
      <c r="I156" s="12" t="s">
        <v>74</v>
      </c>
      <c r="J156" s="12" t="s">
        <v>580</v>
      </c>
      <c r="K156" s="12"/>
      <c r="L156" s="12"/>
      <c r="M156" s="12"/>
      <c r="N156" s="12"/>
      <c r="O156" s="30" t="str">
        <f>HYPERLINK("http://illinois-scholars.org/about-the-scholarship","http://illinois-scholars.org/about-the-scholarship")</f>
        <v>http://illinois-scholars.org/about-the-scholarship</v>
      </c>
      <c r="P156" s="95">
        <v>50776</v>
      </c>
      <c r="Q156" s="91">
        <v>0.33</v>
      </c>
      <c r="R156" s="12" t="s">
        <v>379</v>
      </c>
      <c r="S156" s="12" t="s">
        <v>581</v>
      </c>
      <c r="T156" s="12"/>
      <c r="U156" s="12" t="s">
        <v>81</v>
      </c>
      <c r="V156" s="12"/>
      <c r="W156" s="12"/>
      <c r="X156" s="12"/>
      <c r="Y156" s="12"/>
      <c r="Z156" s="12"/>
      <c r="AA156" s="12"/>
    </row>
    <row r="157" spans="1:27" ht="174" customHeight="1" x14ac:dyDescent="0.2">
      <c r="A157" s="23" t="s">
        <v>572</v>
      </c>
      <c r="B157" s="14" t="s">
        <v>582</v>
      </c>
      <c r="C157" s="14" t="s">
        <v>59</v>
      </c>
      <c r="D157" s="14" t="s">
        <v>98</v>
      </c>
      <c r="E157" s="14" t="s">
        <v>583</v>
      </c>
      <c r="F157" s="14" t="s">
        <v>72</v>
      </c>
      <c r="G157" s="12"/>
      <c r="H157" s="12" t="s">
        <v>239</v>
      </c>
      <c r="I157" s="12" t="s">
        <v>74</v>
      </c>
      <c r="J157" s="14" t="s">
        <v>584</v>
      </c>
      <c r="K157" s="12"/>
      <c r="L157" s="12"/>
      <c r="M157" s="12"/>
      <c r="N157" s="12"/>
      <c r="O157" s="59" t="str">
        <f t="shared" ref="O157:O158" si="22">HYPERLINK("http://admissions.uconn.edu/cost-aid/scholarship","http://admissions.uconn.edu/cost-aid/scholarship")</f>
        <v>http://admissions.uconn.edu/cost-aid/scholarship</v>
      </c>
      <c r="P157" s="14" t="s">
        <v>585</v>
      </c>
      <c r="Q157" s="58">
        <v>0.5</v>
      </c>
      <c r="R157" s="14" t="s">
        <v>490</v>
      </c>
      <c r="S157" s="14" t="s">
        <v>586</v>
      </c>
      <c r="T157" s="12"/>
      <c r="U157" s="12" t="s">
        <v>81</v>
      </c>
      <c r="V157" s="12"/>
      <c r="W157" s="12"/>
      <c r="X157" s="12"/>
      <c r="Y157" s="12"/>
      <c r="Z157" s="12"/>
      <c r="AA157" s="12"/>
    </row>
    <row r="158" spans="1:27" ht="195.75" customHeight="1" x14ac:dyDescent="0.2">
      <c r="A158" s="39" t="s">
        <v>572</v>
      </c>
      <c r="B158" s="40" t="s">
        <v>582</v>
      </c>
      <c r="C158" s="40" t="s">
        <v>59</v>
      </c>
      <c r="D158" s="40" t="s">
        <v>98</v>
      </c>
      <c r="E158" s="40" t="s">
        <v>111</v>
      </c>
      <c r="F158" s="40" t="s">
        <v>92</v>
      </c>
      <c r="G158" s="40"/>
      <c r="H158" s="40" t="s">
        <v>93</v>
      </c>
      <c r="I158" s="40" t="s">
        <v>74</v>
      </c>
      <c r="J158" s="40" t="s">
        <v>587</v>
      </c>
      <c r="K158" s="40"/>
      <c r="L158" s="40"/>
      <c r="M158" s="40"/>
      <c r="N158" s="40"/>
      <c r="O158" s="59" t="str">
        <f t="shared" si="22"/>
        <v>http://admissions.uconn.edu/cost-aid/scholarship</v>
      </c>
      <c r="P158" s="40" t="s">
        <v>585</v>
      </c>
      <c r="Q158" s="60">
        <v>0.5</v>
      </c>
      <c r="R158" s="40" t="s">
        <v>490</v>
      </c>
      <c r="S158" s="40" t="s">
        <v>586</v>
      </c>
      <c r="T158" s="40"/>
      <c r="U158" s="40" t="s">
        <v>81</v>
      </c>
      <c r="V158" s="40"/>
      <c r="W158" s="40"/>
      <c r="X158" s="40"/>
      <c r="Y158" s="40"/>
      <c r="Z158" s="40"/>
      <c r="AA158" s="40"/>
    </row>
    <row r="159" spans="1:27" ht="237" customHeight="1" x14ac:dyDescent="0.2">
      <c r="A159" s="23" t="s">
        <v>572</v>
      </c>
      <c r="B159" s="14" t="s">
        <v>588</v>
      </c>
      <c r="C159" s="14" t="s">
        <v>101</v>
      </c>
      <c r="D159" s="12"/>
      <c r="E159" s="14" t="s">
        <v>589</v>
      </c>
      <c r="F159" s="14" t="s">
        <v>72</v>
      </c>
      <c r="G159" s="12"/>
      <c r="H159" s="12" t="s">
        <v>239</v>
      </c>
      <c r="I159" s="12" t="s">
        <v>74</v>
      </c>
      <c r="J159" s="14" t="s">
        <v>590</v>
      </c>
      <c r="K159" s="12"/>
      <c r="L159" s="12"/>
      <c r="M159" s="12"/>
      <c r="N159" s="12"/>
      <c r="O159" s="30" t="str">
        <f t="shared" ref="O159:O160" si="23">HYPERLINK("http://admission.hartford.edu/finaid/grants_scholarships.html","http://admission.hartford.edu/finaid/grants_scholarships.html")</f>
        <v>http://admission.hartford.edu/finaid/grants_scholarships.html</v>
      </c>
      <c r="P159" s="33">
        <v>37790</v>
      </c>
      <c r="Q159" s="93">
        <v>0.64</v>
      </c>
      <c r="R159" s="94" t="s">
        <v>124</v>
      </c>
      <c r="S159" s="26" t="s">
        <v>591</v>
      </c>
      <c r="T159" s="12"/>
      <c r="U159" s="12" t="s">
        <v>81</v>
      </c>
      <c r="V159" s="12"/>
      <c r="W159" s="12"/>
      <c r="X159" s="12"/>
      <c r="Y159" s="12"/>
      <c r="Z159" s="12"/>
      <c r="AA159" s="12"/>
    </row>
    <row r="160" spans="1:27" ht="174" customHeight="1" x14ac:dyDescent="0.2">
      <c r="A160" s="23" t="s">
        <v>572</v>
      </c>
      <c r="B160" s="14" t="s">
        <v>588</v>
      </c>
      <c r="C160" s="14" t="s">
        <v>101</v>
      </c>
      <c r="D160" s="12"/>
      <c r="E160" s="14" t="s">
        <v>238</v>
      </c>
      <c r="F160" s="14" t="s">
        <v>461</v>
      </c>
      <c r="G160" s="12"/>
      <c r="H160" s="12" t="s">
        <v>592</v>
      </c>
      <c r="I160" s="12" t="s">
        <v>74</v>
      </c>
      <c r="J160" s="14" t="s">
        <v>593</v>
      </c>
      <c r="K160" s="12"/>
      <c r="L160" s="12"/>
      <c r="M160" s="12"/>
      <c r="N160" s="12"/>
      <c r="O160" s="30" t="str">
        <f t="shared" si="23"/>
        <v>http://admission.hartford.edu/finaid/grants_scholarships.html</v>
      </c>
      <c r="P160" s="33">
        <v>37790</v>
      </c>
      <c r="Q160" s="93">
        <v>0.64</v>
      </c>
      <c r="R160" s="94" t="s">
        <v>124</v>
      </c>
      <c r="S160" s="26" t="s">
        <v>591</v>
      </c>
      <c r="T160" s="12"/>
      <c r="U160" s="12" t="s">
        <v>81</v>
      </c>
      <c r="V160" s="12"/>
      <c r="W160" s="12"/>
      <c r="X160" s="12"/>
      <c r="Y160" s="12"/>
      <c r="Z160" s="12"/>
      <c r="AA160" s="12"/>
    </row>
    <row r="161" spans="1:27" ht="189.75" customHeight="1" x14ac:dyDescent="0.2">
      <c r="A161" s="23" t="s">
        <v>572</v>
      </c>
      <c r="B161" s="14" t="s">
        <v>588</v>
      </c>
      <c r="C161" s="14" t="s">
        <v>101</v>
      </c>
      <c r="D161" s="12" t="s">
        <v>494</v>
      </c>
      <c r="E161" s="14" t="s">
        <v>594</v>
      </c>
      <c r="F161" s="14" t="s">
        <v>461</v>
      </c>
      <c r="G161" s="14" t="s">
        <v>186</v>
      </c>
      <c r="H161" s="14" t="s">
        <v>592</v>
      </c>
      <c r="I161" s="14" t="s">
        <v>74</v>
      </c>
      <c r="J161" s="14" t="s">
        <v>595</v>
      </c>
      <c r="K161" s="12"/>
      <c r="L161" s="12"/>
      <c r="M161" s="12"/>
      <c r="N161" s="12"/>
      <c r="O161" s="30" t="str">
        <f>HYPERLINK("http://www.hartford.edu/admission/international-admission/tuition_fees_and_scholarship/scholarships_and_financial_planning.aspx","http://www.hartford.edu/admission/international-admission/tuition_fees_and_scholarship/scholarships_and_financial_planning.aspx")</f>
        <v>http://www.hartford.edu/admission/international-admission/tuition_fees_and_scholarship/scholarships_and_financial_planning.aspx</v>
      </c>
      <c r="P161" s="33">
        <v>37790</v>
      </c>
      <c r="Q161" s="93">
        <v>0.64</v>
      </c>
      <c r="R161" s="94" t="s">
        <v>124</v>
      </c>
      <c r="S161" s="26" t="s">
        <v>591</v>
      </c>
      <c r="T161" s="12"/>
      <c r="U161" s="12" t="s">
        <v>81</v>
      </c>
      <c r="V161" s="12"/>
      <c r="W161" s="12"/>
      <c r="X161" s="12"/>
      <c r="Y161" s="12"/>
      <c r="Z161" s="12"/>
      <c r="AA161" s="12"/>
    </row>
    <row r="162" spans="1:27" ht="189.75" customHeight="1" x14ac:dyDescent="0.2">
      <c r="A162" s="23" t="s">
        <v>572</v>
      </c>
      <c r="B162" s="14" t="s">
        <v>588</v>
      </c>
      <c r="C162" s="14" t="s">
        <v>101</v>
      </c>
      <c r="D162" s="12" t="s">
        <v>71</v>
      </c>
      <c r="E162" s="14" t="s">
        <v>243</v>
      </c>
      <c r="F162" s="14" t="s">
        <v>461</v>
      </c>
      <c r="G162" s="14"/>
      <c r="H162" s="14" t="s">
        <v>596</v>
      </c>
      <c r="I162" s="14" t="s">
        <v>74</v>
      </c>
      <c r="J162" s="14" t="s">
        <v>597</v>
      </c>
      <c r="K162" s="12"/>
      <c r="L162" s="12"/>
      <c r="M162" s="12"/>
      <c r="N162" s="12"/>
      <c r="O162" s="30" t="s">
        <v>598</v>
      </c>
      <c r="P162" s="33">
        <v>37790</v>
      </c>
      <c r="Q162" s="93">
        <v>0.64</v>
      </c>
      <c r="R162" s="94" t="s">
        <v>124</v>
      </c>
      <c r="S162" s="26" t="s">
        <v>591</v>
      </c>
      <c r="T162" s="12"/>
      <c r="U162" s="12" t="s">
        <v>81</v>
      </c>
      <c r="V162" s="12"/>
      <c r="W162" s="12"/>
      <c r="X162" s="12"/>
      <c r="Y162" s="12"/>
      <c r="Z162" s="12"/>
      <c r="AA162" s="12"/>
    </row>
    <row r="163" spans="1:27" ht="284.25" customHeight="1" x14ac:dyDescent="0.2">
      <c r="A163" s="23" t="s">
        <v>572</v>
      </c>
      <c r="B163" s="14" t="s">
        <v>588</v>
      </c>
      <c r="C163" s="14" t="s">
        <v>101</v>
      </c>
      <c r="D163" s="12" t="s">
        <v>494</v>
      </c>
      <c r="E163" s="14" t="s">
        <v>594</v>
      </c>
      <c r="F163" s="14" t="s">
        <v>461</v>
      </c>
      <c r="G163" s="14" t="s">
        <v>186</v>
      </c>
      <c r="H163" s="14" t="s">
        <v>596</v>
      </c>
      <c r="I163" s="14" t="s">
        <v>74</v>
      </c>
      <c r="J163" s="14" t="s">
        <v>599</v>
      </c>
      <c r="K163" s="12"/>
      <c r="L163" s="12"/>
      <c r="M163" s="12"/>
      <c r="N163" s="12"/>
      <c r="O163" s="30" t="str">
        <f>HYPERLINK("http://www.hartford.edu/admission/international-admission/tuition_fees_and_scholarship/scholarships_and_financial_planning.aspx","http://www.hartford.edu/admission/international-admission/tuition_fees_and_scholarship/scholarships_and_financial_planning.aspx")</f>
        <v>http://www.hartford.edu/admission/international-admission/tuition_fees_and_scholarship/scholarships_and_financial_planning.aspx</v>
      </c>
      <c r="P163" s="33">
        <v>37790</v>
      </c>
      <c r="Q163" s="93">
        <v>0.64</v>
      </c>
      <c r="R163" s="94" t="s">
        <v>124</v>
      </c>
      <c r="S163" s="26" t="s">
        <v>591</v>
      </c>
      <c r="T163" s="12"/>
      <c r="U163" s="12" t="s">
        <v>81</v>
      </c>
      <c r="V163" s="12"/>
      <c r="W163" s="12"/>
      <c r="X163" s="12"/>
      <c r="Y163" s="12"/>
      <c r="Z163" s="12"/>
      <c r="AA163" s="12"/>
    </row>
    <row r="164" spans="1:27" ht="141.75" customHeight="1" x14ac:dyDescent="0.2">
      <c r="A164" s="12" t="s">
        <v>572</v>
      </c>
      <c r="B164" s="12" t="s">
        <v>600</v>
      </c>
      <c r="C164" s="12" t="s">
        <v>101</v>
      </c>
      <c r="D164" s="12"/>
      <c r="E164" s="12" t="s">
        <v>60</v>
      </c>
      <c r="F164" s="12" t="s">
        <v>461</v>
      </c>
      <c r="G164" s="12" t="s">
        <v>186</v>
      </c>
      <c r="H164" s="12" t="s">
        <v>601</v>
      </c>
      <c r="I164" s="12">
        <v>1</v>
      </c>
      <c r="J164" s="12" t="s">
        <v>602</v>
      </c>
      <c r="K164" s="12"/>
      <c r="L164" s="12"/>
      <c r="M164" s="12"/>
      <c r="N164" s="12"/>
      <c r="O164" s="30" t="str">
        <f>HYPERLINK("http://www.wesleyan.edu/admission/apply/hamiltonprize.html","http://www.wesleyan.edu/admission/apply/hamiltonprize.html")</f>
        <v>http://www.wesleyan.edu/admission/apply/hamiltonprize.html</v>
      </c>
      <c r="P164" s="96">
        <v>50912</v>
      </c>
      <c r="Q164" s="91">
        <v>0.22</v>
      </c>
      <c r="R164" s="12" t="s">
        <v>398</v>
      </c>
      <c r="S164" s="12" t="s">
        <v>603</v>
      </c>
      <c r="T164" s="12"/>
      <c r="U164" s="12" t="s">
        <v>81</v>
      </c>
      <c r="V164" s="12"/>
      <c r="W164" s="12"/>
      <c r="X164" s="12"/>
      <c r="Y164" s="12"/>
      <c r="Z164" s="12"/>
      <c r="AA164" s="12"/>
    </row>
    <row r="165" spans="1:27" ht="174" customHeight="1" x14ac:dyDescent="0.2">
      <c r="A165" s="23" t="s">
        <v>604</v>
      </c>
      <c r="B165" s="14" t="s">
        <v>605</v>
      </c>
      <c r="C165" s="14" t="s">
        <v>101</v>
      </c>
      <c r="D165" s="12"/>
      <c r="E165" s="14" t="s">
        <v>583</v>
      </c>
      <c r="F165" s="14" t="s">
        <v>72</v>
      </c>
      <c r="G165" s="12"/>
      <c r="H165" s="12" t="s">
        <v>606</v>
      </c>
      <c r="I165" s="12" t="s">
        <v>74</v>
      </c>
      <c r="J165" s="14" t="s">
        <v>607</v>
      </c>
      <c r="K165" s="24"/>
      <c r="L165" s="24"/>
      <c r="M165" s="14"/>
      <c r="N165" s="24"/>
      <c r="O165" s="30" t="str">
        <f>HYPERLINK("http://www.american.edu/financialaid/fdsprogram.cfm","http://www.american.edu/financialaid/fdsprogram.cfm")</f>
        <v>http://www.american.edu/financialaid/fdsprogram.cfm</v>
      </c>
      <c r="P165" s="33">
        <v>44853</v>
      </c>
      <c r="Q165" s="25">
        <v>0.35</v>
      </c>
      <c r="R165" s="14" t="s">
        <v>490</v>
      </c>
      <c r="S165" s="14" t="s">
        <v>608</v>
      </c>
      <c r="T165" s="12"/>
      <c r="U165" s="12">
        <v>3.66</v>
      </c>
      <c r="V165" s="12"/>
      <c r="W165" s="12"/>
      <c r="X165" s="12"/>
      <c r="Y165" s="12"/>
      <c r="Z165" s="12"/>
      <c r="AA165" s="12"/>
    </row>
    <row r="166" spans="1:27" ht="300" customHeight="1" x14ac:dyDescent="0.2">
      <c r="A166" s="23" t="s">
        <v>604</v>
      </c>
      <c r="B166" s="14" t="s">
        <v>609</v>
      </c>
      <c r="C166" s="14" t="s">
        <v>101</v>
      </c>
      <c r="D166" s="12" t="s">
        <v>71</v>
      </c>
      <c r="E166" s="14" t="s">
        <v>60</v>
      </c>
      <c r="F166" s="14" t="s">
        <v>72</v>
      </c>
      <c r="G166" s="12"/>
      <c r="H166" s="12" t="s">
        <v>423</v>
      </c>
      <c r="I166" s="12" t="s">
        <v>74</v>
      </c>
      <c r="J166" s="14" t="s">
        <v>610</v>
      </c>
      <c r="K166" s="24"/>
      <c r="L166" s="24"/>
      <c r="M166" s="14"/>
      <c r="N166" s="24">
        <v>3.8</v>
      </c>
      <c r="O166" s="30" t="str">
        <f>HYPERLINK("http://www.cua.edu/admissions/undergraduate/u-s-students/scholarships/index.html","http://www.cua.edu/admissions/undergraduate/u-s-students/scholarships/index.html")</f>
        <v>http://www.cua.edu/admissions/undergraduate/u-s-students/scholarships/index.html</v>
      </c>
      <c r="P166" s="65">
        <v>42536</v>
      </c>
      <c r="Q166" s="57" t="s">
        <v>81</v>
      </c>
      <c r="R166" s="12" t="s">
        <v>224</v>
      </c>
      <c r="S166" s="12" t="s">
        <v>611</v>
      </c>
      <c r="T166" s="12"/>
      <c r="U166" s="12">
        <v>3.38</v>
      </c>
      <c r="V166" s="12"/>
      <c r="W166" s="12"/>
      <c r="X166" s="12"/>
      <c r="Y166" s="12"/>
      <c r="Z166" s="12"/>
      <c r="AA166" s="12"/>
    </row>
    <row r="167" spans="1:27" ht="252.75" customHeight="1" x14ac:dyDescent="0.2">
      <c r="A167" s="23" t="s">
        <v>604</v>
      </c>
      <c r="B167" s="14" t="s">
        <v>612</v>
      </c>
      <c r="C167" s="14" t="s">
        <v>101</v>
      </c>
      <c r="D167" s="12" t="s">
        <v>613</v>
      </c>
      <c r="E167" s="14" t="s">
        <v>583</v>
      </c>
      <c r="F167" s="14" t="s">
        <v>72</v>
      </c>
      <c r="G167" s="12"/>
      <c r="H167" s="12" t="s">
        <v>614</v>
      </c>
      <c r="I167" s="12" t="s">
        <v>74</v>
      </c>
      <c r="J167" s="14" t="s">
        <v>615</v>
      </c>
      <c r="K167" s="12"/>
      <c r="L167" s="12"/>
      <c r="M167" s="12"/>
      <c r="N167" s="12"/>
      <c r="O167" s="30" t="str">
        <f>HYPERLINK("http://undergraduate.admissions.gwu.edu/scholarships","http://undergraduate.admissions.gwu.edu/scholarships")</f>
        <v>http://undergraduate.admissions.gwu.edu/scholarships</v>
      </c>
      <c r="P167" s="33">
        <v>51950</v>
      </c>
      <c r="Q167" s="25">
        <v>0.46</v>
      </c>
      <c r="R167" s="14" t="s">
        <v>616</v>
      </c>
      <c r="S167" s="14" t="s">
        <v>617</v>
      </c>
      <c r="T167" s="12"/>
      <c r="U167" s="12" t="s">
        <v>81</v>
      </c>
      <c r="V167" s="12"/>
      <c r="W167" s="12"/>
      <c r="X167" s="12"/>
      <c r="Y167" s="12"/>
      <c r="Z167" s="12"/>
      <c r="AA167" s="12"/>
    </row>
    <row r="168" spans="1:27" ht="315.75" customHeight="1" x14ac:dyDescent="0.2">
      <c r="A168" s="23" t="s">
        <v>604</v>
      </c>
      <c r="B168" s="14" t="s">
        <v>612</v>
      </c>
      <c r="C168" s="14" t="s">
        <v>101</v>
      </c>
      <c r="D168" s="12" t="s">
        <v>494</v>
      </c>
      <c r="E168" s="14" t="s">
        <v>243</v>
      </c>
      <c r="F168" s="14" t="s">
        <v>72</v>
      </c>
      <c r="G168" s="14" t="s">
        <v>186</v>
      </c>
      <c r="H168" s="14" t="s">
        <v>239</v>
      </c>
      <c r="I168" s="14" t="s">
        <v>74</v>
      </c>
      <c r="J168" s="14" t="s">
        <v>618</v>
      </c>
      <c r="K168" s="12"/>
      <c r="L168" s="12"/>
      <c r="M168" s="12"/>
      <c r="N168" s="12"/>
      <c r="O168" s="30" t="str">
        <f>HYPERLINK("https://undergraduate.admissions.gwu.edu/scholarships","https://undergraduate.admissions.gwu.edu/scholarships")</f>
        <v>https://undergraduate.admissions.gwu.edu/scholarships</v>
      </c>
      <c r="P168" s="33">
        <v>51950</v>
      </c>
      <c r="Q168" s="25">
        <v>0.46</v>
      </c>
      <c r="R168" s="14" t="s">
        <v>616</v>
      </c>
      <c r="S168" s="14" t="s">
        <v>617</v>
      </c>
      <c r="T168" s="12"/>
      <c r="U168" s="12" t="s">
        <v>81</v>
      </c>
      <c r="V168" s="12"/>
      <c r="W168" s="12"/>
      <c r="X168" s="12"/>
      <c r="Y168" s="12"/>
      <c r="Z168" s="12"/>
      <c r="AA168" s="12"/>
    </row>
    <row r="169" spans="1:27" ht="192.75" customHeight="1" x14ac:dyDescent="0.2">
      <c r="A169" s="23" t="s">
        <v>604</v>
      </c>
      <c r="B169" s="14" t="s">
        <v>619</v>
      </c>
      <c r="C169" s="14" t="s">
        <v>101</v>
      </c>
      <c r="D169" s="12"/>
      <c r="E169" s="14" t="s">
        <v>243</v>
      </c>
      <c r="F169" s="14" t="s">
        <v>72</v>
      </c>
      <c r="G169" s="12"/>
      <c r="H169" s="12" t="s">
        <v>239</v>
      </c>
      <c r="I169" s="12" t="s">
        <v>74</v>
      </c>
      <c r="J169" s="12" t="s">
        <v>620</v>
      </c>
      <c r="K169" s="24"/>
      <c r="L169" s="24"/>
      <c r="M169" s="14"/>
      <c r="N169" s="24">
        <v>3.25</v>
      </c>
      <c r="O169" s="30" t="str">
        <f t="shared" ref="O169:O170" si="24">HYPERLINK("http://www.howard.edu/financialaid/grants_scholarships.htm#Freshman","http://www.howard.edu/financialaid/grants_scholarships.htm#Freshman")</f>
        <v>http://www.howard.edu/financialaid/grants_scholarships.htm#Freshman</v>
      </c>
      <c r="P169" s="33">
        <v>24908</v>
      </c>
      <c r="Q169" s="25">
        <v>0.49</v>
      </c>
      <c r="R169" s="14" t="s">
        <v>182</v>
      </c>
      <c r="S169" s="14" t="s">
        <v>621</v>
      </c>
      <c r="T169" s="12"/>
      <c r="U169" s="12">
        <v>3.33</v>
      </c>
      <c r="V169" s="12"/>
      <c r="W169" s="12"/>
      <c r="X169" s="12"/>
      <c r="Y169" s="12"/>
      <c r="Z169" s="12"/>
      <c r="AA169" s="12"/>
    </row>
    <row r="170" spans="1:27" ht="111" customHeight="1" x14ac:dyDescent="0.2">
      <c r="A170" s="23" t="s">
        <v>604</v>
      </c>
      <c r="B170" s="14" t="s">
        <v>619</v>
      </c>
      <c r="C170" s="14" t="s">
        <v>101</v>
      </c>
      <c r="D170" s="12"/>
      <c r="E170" s="14" t="s">
        <v>111</v>
      </c>
      <c r="F170" s="14" t="s">
        <v>145</v>
      </c>
      <c r="G170" s="12"/>
      <c r="H170" s="12" t="s">
        <v>157</v>
      </c>
      <c r="I170" s="12" t="s">
        <v>74</v>
      </c>
      <c r="J170" s="14" t="s">
        <v>622</v>
      </c>
      <c r="K170" s="12"/>
      <c r="L170" s="12"/>
      <c r="M170" s="12"/>
      <c r="N170" s="12"/>
      <c r="O170" s="30" t="str">
        <f t="shared" si="24"/>
        <v>http://www.howard.edu/financialaid/grants_scholarships.htm#Freshman</v>
      </c>
      <c r="P170" s="33">
        <v>24908</v>
      </c>
      <c r="Q170" s="25">
        <v>0.49</v>
      </c>
      <c r="R170" s="14" t="s">
        <v>182</v>
      </c>
      <c r="S170" s="14" t="s">
        <v>621</v>
      </c>
      <c r="T170" s="12"/>
      <c r="U170" s="12">
        <v>3.33</v>
      </c>
      <c r="V170" s="12"/>
      <c r="W170" s="12"/>
      <c r="X170" s="12"/>
      <c r="Y170" s="12"/>
      <c r="Z170" s="12"/>
      <c r="AA170" s="12"/>
    </row>
    <row r="171" spans="1:27" ht="237" customHeight="1" x14ac:dyDescent="0.2">
      <c r="A171" s="23" t="s">
        <v>604</v>
      </c>
      <c r="B171" s="14" t="s">
        <v>609</v>
      </c>
      <c r="C171" s="14" t="s">
        <v>101</v>
      </c>
      <c r="D171" s="12" t="s">
        <v>623</v>
      </c>
      <c r="E171" s="14" t="s">
        <v>177</v>
      </c>
      <c r="F171" s="14" t="s">
        <v>72</v>
      </c>
      <c r="G171" s="12"/>
      <c r="H171" s="12" t="s">
        <v>624</v>
      </c>
      <c r="I171" s="12" t="s">
        <v>74</v>
      </c>
      <c r="J171" s="14" t="s">
        <v>625</v>
      </c>
      <c r="K171" s="12"/>
      <c r="L171" s="12"/>
      <c r="M171" s="12"/>
      <c r="N171" s="12"/>
      <c r="O171" s="30" t="str">
        <f>HYPERLINK("http://admissions.cua.edu/undergrad/finaid/scholarships_oconnell.html","http://admissions.cua.edu/undergrad/finaid/scholarships_oconnell.html")</f>
        <v>http://admissions.cua.edu/undergrad/finaid/scholarships_oconnell.html</v>
      </c>
      <c r="P171" s="33">
        <v>42536</v>
      </c>
      <c r="Q171" s="25">
        <v>0.74</v>
      </c>
      <c r="R171" s="14" t="s">
        <v>224</v>
      </c>
      <c r="S171" s="14" t="s">
        <v>611</v>
      </c>
      <c r="T171" s="12"/>
      <c r="U171" s="12">
        <v>3.38</v>
      </c>
      <c r="V171" s="12"/>
      <c r="W171" s="12"/>
      <c r="X171" s="12"/>
      <c r="Y171" s="12"/>
      <c r="Z171" s="12"/>
      <c r="AA171" s="12"/>
    </row>
    <row r="172" spans="1:27" ht="126.75" customHeight="1" x14ac:dyDescent="0.2">
      <c r="A172" s="23" t="s">
        <v>626</v>
      </c>
      <c r="B172" s="14" t="s">
        <v>627</v>
      </c>
      <c r="C172" s="14" t="s">
        <v>59</v>
      </c>
      <c r="D172" s="14" t="s">
        <v>334</v>
      </c>
      <c r="E172" s="14" t="s">
        <v>177</v>
      </c>
      <c r="F172" s="14" t="s">
        <v>72</v>
      </c>
      <c r="G172" s="12"/>
      <c r="H172" s="12" t="s">
        <v>239</v>
      </c>
      <c r="I172" s="12" t="s">
        <v>74</v>
      </c>
      <c r="J172" s="14" t="s">
        <v>628</v>
      </c>
      <c r="K172" s="12"/>
      <c r="L172" s="12"/>
      <c r="M172" s="12"/>
      <c r="N172" s="12"/>
      <c r="O172" s="30" t="s">
        <v>629</v>
      </c>
      <c r="P172" s="14" t="s">
        <v>630</v>
      </c>
      <c r="Q172" s="97">
        <v>0.44</v>
      </c>
      <c r="R172" s="94" t="s">
        <v>631</v>
      </c>
      <c r="S172" s="26" t="s">
        <v>632</v>
      </c>
      <c r="T172" s="12"/>
      <c r="U172" s="12">
        <v>3.11</v>
      </c>
      <c r="V172" s="12"/>
      <c r="W172" s="12"/>
      <c r="X172" s="12"/>
      <c r="Y172" s="12"/>
      <c r="Z172" s="12"/>
      <c r="AA172" s="12"/>
    </row>
    <row r="173" spans="1:27" ht="224" x14ac:dyDescent="0.2">
      <c r="A173" s="11" t="s">
        <v>626</v>
      </c>
      <c r="B173" s="12" t="s">
        <v>633</v>
      </c>
      <c r="C173" s="26" t="s">
        <v>59</v>
      </c>
      <c r="D173" s="26"/>
      <c r="E173" s="12" t="s">
        <v>634</v>
      </c>
      <c r="F173" s="12" t="s">
        <v>72</v>
      </c>
      <c r="G173" s="12"/>
      <c r="H173" s="12" t="s">
        <v>239</v>
      </c>
      <c r="I173" s="12" t="s">
        <v>74</v>
      </c>
      <c r="J173" s="14" t="s">
        <v>635</v>
      </c>
      <c r="K173" s="12"/>
      <c r="L173" s="12"/>
      <c r="M173" s="12"/>
      <c r="N173" s="12"/>
      <c r="O173" s="30" t="s">
        <v>636</v>
      </c>
      <c r="P173" s="26" t="s">
        <v>637</v>
      </c>
      <c r="Q173" s="31">
        <v>0.63</v>
      </c>
      <c r="R173" s="26" t="s">
        <v>638</v>
      </c>
      <c r="S173" s="26" t="s">
        <v>639</v>
      </c>
      <c r="T173" s="12"/>
      <c r="U173" s="12">
        <v>3.7</v>
      </c>
      <c r="V173" s="12"/>
      <c r="W173" s="12"/>
      <c r="X173" s="12"/>
      <c r="Y173" s="12"/>
      <c r="Z173" s="12"/>
      <c r="AA173" s="12"/>
    </row>
    <row r="174" spans="1:27" ht="192" x14ac:dyDescent="0.2">
      <c r="A174" s="11" t="s">
        <v>640</v>
      </c>
      <c r="B174" s="12" t="s">
        <v>641</v>
      </c>
      <c r="C174" s="26" t="s">
        <v>101</v>
      </c>
      <c r="D174" s="12"/>
      <c r="E174" s="11" t="s">
        <v>82</v>
      </c>
      <c r="F174" s="11" t="s">
        <v>72</v>
      </c>
      <c r="G174" s="12"/>
      <c r="H174" s="12" t="s">
        <v>553</v>
      </c>
      <c r="I174" s="12" t="s">
        <v>74</v>
      </c>
      <c r="J174" s="14" t="s">
        <v>642</v>
      </c>
      <c r="K174" s="12"/>
      <c r="L174" s="12"/>
      <c r="M174" s="12"/>
      <c r="N174" s="12">
        <v>3.5</v>
      </c>
      <c r="O174" s="30" t="str">
        <f>HYPERLINK("http://www.barry.edu/stamps/","http://www.barry.edu/stamps/")</f>
        <v>http://www.barry.edu/stamps/</v>
      </c>
      <c r="P174" s="38">
        <v>28800</v>
      </c>
      <c r="Q174" s="31">
        <v>0.55000000000000004</v>
      </c>
      <c r="R174" s="26" t="s">
        <v>631</v>
      </c>
      <c r="S174" s="26" t="s">
        <v>643</v>
      </c>
      <c r="T174" s="12"/>
      <c r="U174" s="12" t="s">
        <v>81</v>
      </c>
      <c r="V174" s="12"/>
      <c r="W174" s="12"/>
      <c r="X174" s="12"/>
      <c r="Y174" s="12"/>
      <c r="Z174" s="12"/>
      <c r="AA174" s="12"/>
    </row>
    <row r="175" spans="1:27" ht="189.75" customHeight="1" x14ac:dyDescent="0.2">
      <c r="A175" s="11" t="s">
        <v>640</v>
      </c>
      <c r="B175" s="12" t="s">
        <v>644</v>
      </c>
      <c r="C175" s="12" t="s">
        <v>101</v>
      </c>
      <c r="D175" s="12"/>
      <c r="E175" s="12" t="s">
        <v>645</v>
      </c>
      <c r="F175" s="12" t="s">
        <v>72</v>
      </c>
      <c r="G175" s="12"/>
      <c r="H175" s="12" t="s">
        <v>62</v>
      </c>
      <c r="I175" s="12" t="s">
        <v>74</v>
      </c>
      <c r="J175" s="14" t="s">
        <v>646</v>
      </c>
      <c r="K175" s="36">
        <v>23</v>
      </c>
      <c r="L175" s="36">
        <v>1560</v>
      </c>
      <c r="M175" s="17" t="s">
        <v>647</v>
      </c>
      <c r="N175" s="36">
        <v>3.5</v>
      </c>
      <c r="O175" s="37" t="str">
        <f>HYPERLINK("http://www.cookman.edu/financial_aid/Aid/Scholarships/Excelsior.html","http://www.cookman.edu/financial_aid/Aid/Scholarships/Excelsior.html")</f>
        <v>http://www.cookman.edu/financial_aid/Aid/Scholarships/Excelsior.html</v>
      </c>
      <c r="P175" s="65">
        <v>14410</v>
      </c>
      <c r="Q175" s="57">
        <v>0.54</v>
      </c>
      <c r="R175" s="12" t="s">
        <v>648</v>
      </c>
      <c r="S175" s="12" t="s">
        <v>649</v>
      </c>
      <c r="T175" s="12"/>
      <c r="U175" s="12" t="s">
        <v>650</v>
      </c>
      <c r="V175" s="12"/>
      <c r="W175" s="12"/>
      <c r="X175" s="12"/>
      <c r="Y175" s="12"/>
      <c r="Z175" s="12"/>
      <c r="AA175" s="12"/>
    </row>
    <row r="176" spans="1:27" ht="205.5" customHeight="1" x14ac:dyDescent="0.2">
      <c r="A176" s="11" t="s">
        <v>640</v>
      </c>
      <c r="B176" s="12" t="s">
        <v>644</v>
      </c>
      <c r="C176" s="12" t="s">
        <v>101</v>
      </c>
      <c r="D176" s="12"/>
      <c r="E176" s="12" t="s">
        <v>82</v>
      </c>
      <c r="F176" s="12" t="s">
        <v>72</v>
      </c>
      <c r="G176" s="12"/>
      <c r="H176" s="12" t="s">
        <v>62</v>
      </c>
      <c r="I176" s="12" t="s">
        <v>74</v>
      </c>
      <c r="J176" s="14" t="s">
        <v>651</v>
      </c>
      <c r="K176" s="36">
        <v>26</v>
      </c>
      <c r="L176" s="36">
        <v>1820</v>
      </c>
      <c r="M176" s="17" t="s">
        <v>647</v>
      </c>
      <c r="N176" s="36">
        <v>3.75</v>
      </c>
      <c r="O176" s="37" t="str">
        <f>HYPERLINK("http://www.cookman.edu/financial_aid/Aid/Scholarships/Presidential.html","http://www.cookman.edu/financial_aid/Aid/Scholarships/Presidential.html")</f>
        <v>http://www.cookman.edu/financial_aid/Aid/Scholarships/Presidential.html</v>
      </c>
      <c r="P176" s="65">
        <v>14410</v>
      </c>
      <c r="Q176" s="57">
        <v>0.54</v>
      </c>
      <c r="R176" s="12" t="s">
        <v>648</v>
      </c>
      <c r="S176" s="12" t="s">
        <v>652</v>
      </c>
      <c r="T176" s="12"/>
      <c r="U176" s="12" t="s">
        <v>650</v>
      </c>
      <c r="V176" s="12"/>
      <c r="W176" s="12"/>
      <c r="X176" s="12"/>
      <c r="Y176" s="12"/>
      <c r="Z176" s="12"/>
      <c r="AA176" s="12"/>
    </row>
    <row r="177" spans="1:27" ht="144" x14ac:dyDescent="0.2">
      <c r="A177" s="11" t="s">
        <v>640</v>
      </c>
      <c r="B177" s="12" t="s">
        <v>653</v>
      </c>
      <c r="C177" s="26" t="s">
        <v>59</v>
      </c>
      <c r="D177" s="26"/>
      <c r="E177" s="12" t="s">
        <v>88</v>
      </c>
      <c r="F177" s="11" t="s">
        <v>61</v>
      </c>
      <c r="G177" s="12"/>
      <c r="H177" s="12" t="s">
        <v>239</v>
      </c>
      <c r="I177" s="12" t="s">
        <v>74</v>
      </c>
      <c r="J177" s="16" t="s">
        <v>654</v>
      </c>
      <c r="K177" s="28">
        <v>29</v>
      </c>
      <c r="L177" s="98">
        <v>1290</v>
      </c>
      <c r="M177" s="29" t="s">
        <v>76</v>
      </c>
      <c r="N177" s="26">
        <v>3.5</v>
      </c>
      <c r="O177" s="30" t="str">
        <f t="shared" ref="O177:O178" si="25">HYPERLINK("http://www.famu.edu/index.cfm?Scholarships&amp;DistinguishedScholarsAwardScholarship","http://www.famu.edu/index.cfm?Scholarships&amp;DistinguishedScholarsAwardScholarship")</f>
        <v>http://www.famu.edu/index.cfm?Scholarships&amp;DistinguishedScholarsAwardScholarship</v>
      </c>
      <c r="P177" s="26" t="s">
        <v>655</v>
      </c>
      <c r="Q177" s="31">
        <v>0.51</v>
      </c>
      <c r="R177" s="26" t="s">
        <v>550</v>
      </c>
      <c r="S177" s="26" t="s">
        <v>656</v>
      </c>
      <c r="T177" s="12"/>
      <c r="U177" s="12">
        <v>3.36</v>
      </c>
      <c r="V177" s="12"/>
      <c r="W177" s="12"/>
      <c r="X177" s="12"/>
      <c r="Y177" s="12"/>
      <c r="Z177" s="12"/>
      <c r="AA177" s="12"/>
    </row>
    <row r="178" spans="1:27" ht="165" x14ac:dyDescent="0.2">
      <c r="A178" s="39" t="s">
        <v>640</v>
      </c>
      <c r="B178" s="40" t="s">
        <v>653</v>
      </c>
      <c r="C178" s="53" t="s">
        <v>59</v>
      </c>
      <c r="D178" s="53"/>
      <c r="E178" s="40" t="s">
        <v>88</v>
      </c>
      <c r="F178" s="40" t="s">
        <v>92</v>
      </c>
      <c r="G178" s="40"/>
      <c r="H178" s="40" t="s">
        <v>93</v>
      </c>
      <c r="I178" s="40" t="s">
        <v>74</v>
      </c>
      <c r="J178" s="53" t="s">
        <v>657</v>
      </c>
      <c r="K178" s="40">
        <v>29</v>
      </c>
      <c r="L178" s="69">
        <v>1290</v>
      </c>
      <c r="M178" s="69" t="s">
        <v>76</v>
      </c>
      <c r="N178" s="40">
        <v>3.5</v>
      </c>
      <c r="O178" s="30" t="str">
        <f t="shared" si="25"/>
        <v>http://www.famu.edu/index.cfm?Scholarships&amp;DistinguishedScholarsAwardScholarship</v>
      </c>
      <c r="P178" s="53" t="s">
        <v>658</v>
      </c>
      <c r="Q178" s="99">
        <v>0.51</v>
      </c>
      <c r="R178" s="53" t="s">
        <v>550</v>
      </c>
      <c r="S178" s="53" t="s">
        <v>656</v>
      </c>
      <c r="T178" s="40"/>
      <c r="U178" s="40">
        <v>3.36</v>
      </c>
      <c r="V178" s="40"/>
      <c r="W178" s="40"/>
      <c r="X178" s="40"/>
      <c r="Y178" s="40"/>
      <c r="Z178" s="40"/>
      <c r="AA178" s="40"/>
    </row>
    <row r="179" spans="1:27" ht="78" customHeight="1" x14ac:dyDescent="0.2">
      <c r="A179" s="11" t="s">
        <v>640</v>
      </c>
      <c r="B179" s="12" t="s">
        <v>659</v>
      </c>
      <c r="C179" s="26" t="s">
        <v>59</v>
      </c>
      <c r="D179" s="12"/>
      <c r="E179" s="12" t="s">
        <v>660</v>
      </c>
      <c r="F179" s="12" t="s">
        <v>92</v>
      </c>
      <c r="G179" s="12"/>
      <c r="H179" s="12" t="s">
        <v>93</v>
      </c>
      <c r="I179" s="12" t="s">
        <v>63</v>
      </c>
      <c r="J179" s="53" t="s">
        <v>661</v>
      </c>
      <c r="K179" s="12"/>
      <c r="L179" s="12"/>
      <c r="M179" s="12"/>
      <c r="N179" s="12"/>
      <c r="O179" s="30" t="str">
        <f>HYPERLINK("http://www.fau.edu/admissions/scholarships-fr.php","http://www.fau.edu/admissions/scholarships-fr.php")</f>
        <v>http://www.fau.edu/admissions/scholarships-fr.php</v>
      </c>
      <c r="P179" s="26" t="s">
        <v>662</v>
      </c>
      <c r="Q179" s="31">
        <v>0.66</v>
      </c>
      <c r="R179" s="26" t="s">
        <v>120</v>
      </c>
      <c r="S179" s="26" t="s">
        <v>663</v>
      </c>
      <c r="T179" s="12"/>
      <c r="U179" s="12" t="s">
        <v>81</v>
      </c>
      <c r="V179" s="12"/>
      <c r="W179" s="12"/>
      <c r="X179" s="12"/>
      <c r="Y179" s="12"/>
      <c r="Z179" s="12"/>
      <c r="AA179" s="12"/>
    </row>
    <row r="180" spans="1:27" ht="105.75" customHeight="1" x14ac:dyDescent="0.2">
      <c r="A180" s="39" t="s">
        <v>640</v>
      </c>
      <c r="B180" s="40" t="s">
        <v>664</v>
      </c>
      <c r="C180" s="40" t="s">
        <v>101</v>
      </c>
      <c r="D180" s="40"/>
      <c r="E180" s="40" t="s">
        <v>60</v>
      </c>
      <c r="F180" s="40" t="s">
        <v>92</v>
      </c>
      <c r="G180" s="40"/>
      <c r="H180" s="40" t="s">
        <v>93</v>
      </c>
      <c r="I180" s="40" t="s">
        <v>63</v>
      </c>
      <c r="J180" s="40" t="s">
        <v>665</v>
      </c>
      <c r="K180" s="40"/>
      <c r="L180" s="40"/>
      <c r="M180" s="40"/>
      <c r="N180" s="40"/>
      <c r="O180" s="30" t="str">
        <f>HYPERLINK("https://www.floridacollege.edu/financial-aid/scholarships-grants-campus-employment/","https://www.floridacollege.edu/financial-aid/scholarships-grants-campus-employment/")</f>
        <v>https://www.floridacollege.edu/financial-aid/scholarships-grants-campus-employment/</v>
      </c>
      <c r="P180" s="41">
        <v>16550</v>
      </c>
      <c r="Q180" s="42">
        <v>0.71</v>
      </c>
      <c r="R180" s="40" t="s">
        <v>130</v>
      </c>
      <c r="S180" s="40" t="s">
        <v>666</v>
      </c>
      <c r="T180" s="40"/>
      <c r="U180" s="40" t="s">
        <v>81</v>
      </c>
      <c r="V180" s="40"/>
      <c r="W180" s="40"/>
      <c r="X180" s="40"/>
      <c r="Y180" s="40"/>
      <c r="Z180" s="40"/>
      <c r="AA180" s="40"/>
    </row>
    <row r="181" spans="1:27" ht="279.75" customHeight="1" x14ac:dyDescent="0.2">
      <c r="A181" s="23" t="s">
        <v>640</v>
      </c>
      <c r="B181" s="14" t="s">
        <v>667</v>
      </c>
      <c r="C181" s="14" t="s">
        <v>59</v>
      </c>
      <c r="D181" s="12" t="s">
        <v>194</v>
      </c>
      <c r="E181" s="14" t="s">
        <v>88</v>
      </c>
      <c r="F181" s="14" t="s">
        <v>92</v>
      </c>
      <c r="G181" s="12"/>
      <c r="H181" s="12" t="s">
        <v>93</v>
      </c>
      <c r="I181" s="12" t="s">
        <v>63</v>
      </c>
      <c r="J181" s="81" t="s">
        <v>668</v>
      </c>
      <c r="K181" s="12"/>
      <c r="L181" s="12"/>
      <c r="M181" s="12"/>
      <c r="N181" s="12"/>
      <c r="O181" s="30" t="str">
        <f>HYPERLINK("http://www.fgcu.edu/Admissions/Prospective/scholarship.html","http://www.fgcu.edu/Admissions/Prospective/scholarship.html")</f>
        <v>http://www.fgcu.edu/Admissions/Prospective/scholarship.html</v>
      </c>
      <c r="P181" s="33" t="s">
        <v>669</v>
      </c>
      <c r="Q181" s="25">
        <v>0.61</v>
      </c>
      <c r="R181" s="14" t="s">
        <v>670</v>
      </c>
      <c r="S181" s="14" t="s">
        <v>671</v>
      </c>
      <c r="T181" s="12"/>
      <c r="U181" s="12">
        <v>3.63</v>
      </c>
      <c r="V181" s="12"/>
      <c r="W181" s="12"/>
      <c r="X181" s="12"/>
      <c r="Y181" s="12"/>
      <c r="Z181" s="12"/>
      <c r="AA181" s="12"/>
    </row>
    <row r="182" spans="1:27" ht="96.75" customHeight="1" x14ac:dyDescent="0.2">
      <c r="A182" s="11" t="s">
        <v>640</v>
      </c>
      <c r="B182" s="12" t="s">
        <v>672</v>
      </c>
      <c r="C182" s="26" t="s">
        <v>59</v>
      </c>
      <c r="D182" s="26"/>
      <c r="E182" s="12" t="s">
        <v>673</v>
      </c>
      <c r="F182" s="11" t="s">
        <v>72</v>
      </c>
      <c r="G182" s="12"/>
      <c r="H182" s="12" t="s">
        <v>250</v>
      </c>
      <c r="I182" s="12" t="s">
        <v>74</v>
      </c>
      <c r="J182" s="26" t="s">
        <v>674</v>
      </c>
      <c r="K182" s="35">
        <v>27</v>
      </c>
      <c r="L182" s="35">
        <v>1280</v>
      </c>
      <c r="M182" s="29" t="s">
        <v>76</v>
      </c>
      <c r="N182" s="26">
        <v>4</v>
      </c>
      <c r="O182" s="37" t="str">
        <f t="shared" ref="O182:O184" si="26">HYPERLINK("http://admissions.fiu.edu/costs-and-aid/scholarships/index.html","http://admissions.fiu.edu/costs-and-aid/scholarships/index.html")</f>
        <v>http://admissions.fiu.edu/costs-and-aid/scholarships/index.html</v>
      </c>
      <c r="P182" s="26" t="s">
        <v>675</v>
      </c>
      <c r="Q182" s="31">
        <v>0.5</v>
      </c>
      <c r="R182" s="26" t="s">
        <v>676</v>
      </c>
      <c r="S182" s="26" t="s">
        <v>677</v>
      </c>
      <c r="T182" s="12"/>
      <c r="U182" s="12">
        <v>3.92</v>
      </c>
      <c r="V182" s="12"/>
      <c r="W182" s="12"/>
      <c r="X182" s="12"/>
      <c r="Y182" s="12"/>
      <c r="Z182" s="12"/>
      <c r="AA182" s="12"/>
    </row>
    <row r="183" spans="1:27" ht="90.75" customHeight="1" x14ac:dyDescent="0.2">
      <c r="A183" s="11" t="s">
        <v>640</v>
      </c>
      <c r="B183" s="12" t="s">
        <v>672</v>
      </c>
      <c r="C183" s="26" t="s">
        <v>59</v>
      </c>
      <c r="D183" s="26"/>
      <c r="E183" s="12" t="s">
        <v>88</v>
      </c>
      <c r="F183" s="11" t="s">
        <v>72</v>
      </c>
      <c r="G183" s="12"/>
      <c r="H183" s="12" t="s">
        <v>250</v>
      </c>
      <c r="I183" s="12" t="s">
        <v>74</v>
      </c>
      <c r="J183" s="26" t="s">
        <v>678</v>
      </c>
      <c r="K183" s="35">
        <v>30</v>
      </c>
      <c r="L183" s="35">
        <v>1390</v>
      </c>
      <c r="M183" s="29" t="s">
        <v>76</v>
      </c>
      <c r="N183" s="26">
        <v>4</v>
      </c>
      <c r="O183" s="37" t="str">
        <f t="shared" si="26"/>
        <v>http://admissions.fiu.edu/costs-and-aid/scholarships/index.html</v>
      </c>
      <c r="P183" s="26" t="s">
        <v>679</v>
      </c>
      <c r="Q183" s="31">
        <v>0.5</v>
      </c>
      <c r="R183" s="26" t="s">
        <v>676</v>
      </c>
      <c r="S183" s="26" t="s">
        <v>677</v>
      </c>
      <c r="T183" s="12"/>
      <c r="U183" s="12">
        <v>3.92</v>
      </c>
      <c r="V183" s="12"/>
      <c r="W183" s="12"/>
      <c r="X183" s="12"/>
      <c r="Y183" s="12"/>
      <c r="Z183" s="12"/>
      <c r="AA183" s="12"/>
    </row>
    <row r="184" spans="1:27" ht="103.5" customHeight="1" x14ac:dyDescent="0.2">
      <c r="A184" s="11" t="s">
        <v>640</v>
      </c>
      <c r="B184" s="12" t="s">
        <v>672</v>
      </c>
      <c r="C184" s="26" t="s">
        <v>59</v>
      </c>
      <c r="D184" s="26"/>
      <c r="E184" s="12" t="s">
        <v>111</v>
      </c>
      <c r="F184" s="12" t="s">
        <v>680</v>
      </c>
      <c r="G184" s="12"/>
      <c r="H184" s="12" t="s">
        <v>93</v>
      </c>
      <c r="I184" s="12" t="s">
        <v>63</v>
      </c>
      <c r="J184" s="26" t="s">
        <v>681</v>
      </c>
      <c r="K184" s="12"/>
      <c r="L184" s="12"/>
      <c r="M184" s="12"/>
      <c r="N184" s="12"/>
      <c r="O184" s="37" t="str">
        <f t="shared" si="26"/>
        <v>http://admissions.fiu.edu/costs-and-aid/scholarships/index.html</v>
      </c>
      <c r="P184" s="26" t="s">
        <v>682</v>
      </c>
      <c r="Q184" s="31">
        <v>0.5</v>
      </c>
      <c r="R184" s="26" t="s">
        <v>676</v>
      </c>
      <c r="S184" s="26" t="s">
        <v>677</v>
      </c>
      <c r="T184" s="12"/>
      <c r="U184" s="12">
        <v>3.92</v>
      </c>
      <c r="V184" s="12"/>
      <c r="W184" s="12"/>
      <c r="X184" s="12"/>
      <c r="Y184" s="12"/>
      <c r="Z184" s="12"/>
      <c r="AA184" s="12"/>
    </row>
    <row r="185" spans="1:27" ht="126.75" customHeight="1" x14ac:dyDescent="0.2">
      <c r="A185" s="11" t="s">
        <v>640</v>
      </c>
      <c r="B185" s="12" t="s">
        <v>683</v>
      </c>
      <c r="C185" s="12" t="s">
        <v>101</v>
      </c>
      <c r="D185" s="12"/>
      <c r="E185" s="12" t="s">
        <v>60</v>
      </c>
      <c r="F185" s="12" t="s">
        <v>72</v>
      </c>
      <c r="G185" s="12"/>
      <c r="H185" s="12" t="s">
        <v>684</v>
      </c>
      <c r="I185" s="12" t="s">
        <v>74</v>
      </c>
      <c r="J185" s="14" t="s">
        <v>685</v>
      </c>
      <c r="K185" s="12">
        <v>29</v>
      </c>
      <c r="L185" s="12">
        <v>1350</v>
      </c>
      <c r="M185" s="29" t="s">
        <v>76</v>
      </c>
      <c r="N185" s="12">
        <v>3.5</v>
      </c>
      <c r="O185" s="37" t="s">
        <v>686</v>
      </c>
      <c r="P185" s="65">
        <v>33100</v>
      </c>
      <c r="Q185" s="57">
        <v>0.45</v>
      </c>
      <c r="R185" s="12" t="s">
        <v>687</v>
      </c>
      <c r="S185" s="12" t="s">
        <v>688</v>
      </c>
      <c r="T185" s="12"/>
      <c r="U185" s="12" t="s">
        <v>689</v>
      </c>
      <c r="V185" s="12"/>
      <c r="W185" s="12"/>
      <c r="X185" s="12"/>
      <c r="Y185" s="12"/>
      <c r="Z185" s="12"/>
      <c r="AA185" s="12"/>
    </row>
    <row r="186" spans="1:27" ht="126.75" customHeight="1" x14ac:dyDescent="0.2">
      <c r="A186" s="11" t="s">
        <v>640</v>
      </c>
      <c r="B186" s="12" t="s">
        <v>683</v>
      </c>
      <c r="C186" s="12" t="s">
        <v>101</v>
      </c>
      <c r="D186" s="12"/>
      <c r="E186" s="12" t="s">
        <v>82</v>
      </c>
      <c r="F186" s="12" t="s">
        <v>72</v>
      </c>
      <c r="G186" s="12"/>
      <c r="H186" s="12" t="s">
        <v>690</v>
      </c>
      <c r="I186" s="12" t="s">
        <v>74</v>
      </c>
      <c r="J186" s="14" t="s">
        <v>691</v>
      </c>
      <c r="K186" s="12">
        <v>29</v>
      </c>
      <c r="L186" s="12">
        <v>1350</v>
      </c>
      <c r="M186" s="29" t="s">
        <v>76</v>
      </c>
      <c r="N186" s="12">
        <v>3.5</v>
      </c>
      <c r="O186" s="37" t="s">
        <v>686</v>
      </c>
      <c r="P186" s="65">
        <v>33100</v>
      </c>
      <c r="Q186" s="57">
        <v>0.45</v>
      </c>
      <c r="R186" s="12" t="s">
        <v>687</v>
      </c>
      <c r="S186" s="12" t="s">
        <v>688</v>
      </c>
      <c r="T186" s="12"/>
      <c r="U186" s="12" t="s">
        <v>689</v>
      </c>
      <c r="V186" s="12"/>
      <c r="W186" s="12"/>
      <c r="X186" s="12"/>
      <c r="Y186" s="12"/>
      <c r="Z186" s="12"/>
      <c r="AA186" s="12"/>
    </row>
    <row r="187" spans="1:27" ht="189.75" customHeight="1" x14ac:dyDescent="0.2">
      <c r="A187" s="11" t="s">
        <v>640</v>
      </c>
      <c r="B187" s="12" t="s">
        <v>683</v>
      </c>
      <c r="C187" s="12" t="s">
        <v>101</v>
      </c>
      <c r="D187" s="12" t="s">
        <v>692</v>
      </c>
      <c r="E187" s="12" t="s">
        <v>82</v>
      </c>
      <c r="F187" s="12" t="s">
        <v>72</v>
      </c>
      <c r="G187" s="12" t="s">
        <v>186</v>
      </c>
      <c r="H187" s="12" t="s">
        <v>62</v>
      </c>
      <c r="I187" s="12" t="s">
        <v>693</v>
      </c>
      <c r="J187" s="14" t="s">
        <v>694</v>
      </c>
      <c r="K187" s="12"/>
      <c r="L187" s="12">
        <v>1120</v>
      </c>
      <c r="M187" s="29" t="s">
        <v>76</v>
      </c>
      <c r="N187" s="12">
        <v>2.75</v>
      </c>
      <c r="O187" s="37" t="str">
        <f>HYPERLINK("http://www.flsouthern.edu/undergraduate/financial-aid/scholarships.aspx","http://www.flsouthern.edu/undergraduate/financial-aid/scholarships.aspx")</f>
        <v>http://www.flsouthern.edu/undergraduate/financial-aid/scholarships.aspx</v>
      </c>
      <c r="P187" s="65">
        <v>33100</v>
      </c>
      <c r="Q187" s="57">
        <v>0.45</v>
      </c>
      <c r="R187" s="12" t="s">
        <v>687</v>
      </c>
      <c r="S187" s="12" t="s">
        <v>688</v>
      </c>
      <c r="T187" s="12"/>
      <c r="U187" s="12" t="s">
        <v>689</v>
      </c>
      <c r="V187" s="12"/>
      <c r="W187" s="12"/>
      <c r="X187" s="12"/>
      <c r="Y187" s="12"/>
      <c r="Z187" s="12"/>
      <c r="AA187" s="12"/>
    </row>
    <row r="188" spans="1:27" ht="90.75" customHeight="1" x14ac:dyDescent="0.2">
      <c r="A188" s="11" t="s">
        <v>640</v>
      </c>
      <c r="B188" s="12" t="s">
        <v>695</v>
      </c>
      <c r="C188" s="26" t="s">
        <v>101</v>
      </c>
      <c r="D188" s="12"/>
      <c r="E188" s="12" t="s">
        <v>60</v>
      </c>
      <c r="F188" s="12" t="s">
        <v>680</v>
      </c>
      <c r="G188" s="12"/>
      <c r="H188" s="12" t="s">
        <v>93</v>
      </c>
      <c r="I188" s="12" t="s">
        <v>63</v>
      </c>
      <c r="J188" s="26" t="s">
        <v>696</v>
      </c>
      <c r="K188" s="12"/>
      <c r="L188" s="12"/>
      <c r="M188" s="12"/>
      <c r="N188" s="12"/>
      <c r="O188" s="30" t="str">
        <f>HYPERLINK("http://www.lynn.edu/admissions/tuition-and-aid/scholarships-grants-loans/scholarships-and-grants/national-merit-scholarship","http://www.lynn.edu/admissions/tuition-and-aid/scholarships-grants-loans/scholarships-and-grants/national-merit-scholarship")</f>
        <v>http://www.lynn.edu/admissions/tuition-and-aid/scholarships-grants-loans/scholarships-and-grants/national-merit-scholarship</v>
      </c>
      <c r="P188" s="38">
        <v>36650</v>
      </c>
      <c r="Q188" s="31">
        <v>0.76</v>
      </c>
      <c r="R188" s="26" t="s">
        <v>385</v>
      </c>
      <c r="S188" s="26" t="s">
        <v>697</v>
      </c>
      <c r="T188" s="12"/>
      <c r="U188" s="12">
        <v>3.07</v>
      </c>
      <c r="V188" s="12"/>
      <c r="W188" s="12"/>
      <c r="X188" s="12"/>
      <c r="Y188" s="12"/>
      <c r="Z188" s="12"/>
      <c r="AA188" s="12"/>
    </row>
    <row r="189" spans="1:27" ht="230.25" customHeight="1" x14ac:dyDescent="0.2">
      <c r="A189" s="11" t="s">
        <v>640</v>
      </c>
      <c r="B189" s="12" t="s">
        <v>695</v>
      </c>
      <c r="C189" s="26" t="s">
        <v>101</v>
      </c>
      <c r="D189" s="12"/>
      <c r="E189" s="12" t="s">
        <v>111</v>
      </c>
      <c r="F189" s="11" t="s">
        <v>72</v>
      </c>
      <c r="G189" s="12"/>
      <c r="H189" s="12" t="s">
        <v>561</v>
      </c>
      <c r="I189" s="12" t="s">
        <v>74</v>
      </c>
      <c r="J189" s="26" t="s">
        <v>698</v>
      </c>
      <c r="K189" s="76"/>
      <c r="L189" s="28"/>
      <c r="M189" s="26"/>
      <c r="N189" s="26">
        <v>3.6</v>
      </c>
      <c r="O189" s="30" t="str">
        <f>HYPERLINK("http://www.lynn.edu/admissions/tuition-and-aid/scholarships-grants-loans/scholarships-and-grants/presidential-scholarship","http://www.lynn.edu/admissions/tuition-and-aid/scholarships-grants-loans/scholarships-and-grants/presidential-scholarship")</f>
        <v>http://www.lynn.edu/admissions/tuition-and-aid/scholarships-grants-loans/scholarships-and-grants/presidential-scholarship</v>
      </c>
      <c r="P189" s="38">
        <v>36650</v>
      </c>
      <c r="Q189" s="31">
        <v>0.76</v>
      </c>
      <c r="R189" s="26" t="s">
        <v>385</v>
      </c>
      <c r="S189" s="26" t="s">
        <v>697</v>
      </c>
      <c r="T189" s="12"/>
      <c r="U189" s="12">
        <v>3.07</v>
      </c>
      <c r="V189" s="12"/>
      <c r="W189" s="12"/>
      <c r="X189" s="12"/>
      <c r="Y189" s="12"/>
      <c r="Z189" s="12"/>
      <c r="AA189" s="12"/>
    </row>
    <row r="190" spans="1:27" ht="142.5" customHeight="1" x14ac:dyDescent="0.2">
      <c r="A190" s="23" t="s">
        <v>640</v>
      </c>
      <c r="B190" s="14" t="s">
        <v>699</v>
      </c>
      <c r="C190" s="14" t="s">
        <v>59</v>
      </c>
      <c r="D190" s="14" t="s">
        <v>194</v>
      </c>
      <c r="E190" s="14" t="s">
        <v>111</v>
      </c>
      <c r="F190" s="14" t="s">
        <v>72</v>
      </c>
      <c r="G190" s="12"/>
      <c r="H190" s="12" t="s">
        <v>700</v>
      </c>
      <c r="I190" s="12">
        <v>4</v>
      </c>
      <c r="J190" s="14" t="s">
        <v>701</v>
      </c>
      <c r="K190" s="12"/>
      <c r="L190" s="12"/>
      <c r="M190" s="12"/>
      <c r="N190" s="12"/>
      <c r="O190" s="30" t="str">
        <f>HYPERLINK("https://www.ncf.edu/admissions/cost-and-aid/scholarships/florida-freshmen/","https://www.ncf.edu/admissions/cost-and-aid/scholarships/florida-freshmen/")</f>
        <v>https://www.ncf.edu/admissions/cost-and-aid/scholarships/florida-freshmen/</v>
      </c>
      <c r="P190" s="14" t="s">
        <v>702</v>
      </c>
      <c r="Q190" s="25">
        <v>0.61</v>
      </c>
      <c r="R190" s="34" t="s">
        <v>616</v>
      </c>
      <c r="S190" s="34" t="s">
        <v>703</v>
      </c>
      <c r="T190" s="12"/>
      <c r="U190" s="12">
        <v>4</v>
      </c>
      <c r="V190" s="12"/>
      <c r="W190" s="12"/>
      <c r="X190" s="12"/>
      <c r="Y190" s="12"/>
      <c r="Z190" s="12"/>
      <c r="AA190" s="12"/>
    </row>
    <row r="191" spans="1:27" ht="189.75" customHeight="1" x14ac:dyDescent="0.2">
      <c r="A191" s="23" t="s">
        <v>640</v>
      </c>
      <c r="B191" s="14" t="s">
        <v>704</v>
      </c>
      <c r="C191" s="14" t="s">
        <v>101</v>
      </c>
      <c r="D191" s="12" t="s">
        <v>194</v>
      </c>
      <c r="E191" s="14" t="s">
        <v>60</v>
      </c>
      <c r="F191" s="14" t="s">
        <v>72</v>
      </c>
      <c r="G191" s="12"/>
      <c r="H191" s="12" t="s">
        <v>705</v>
      </c>
      <c r="I191" s="12" t="s">
        <v>74</v>
      </c>
      <c r="J191" s="14" t="s">
        <v>706</v>
      </c>
      <c r="K191" s="24">
        <v>31</v>
      </c>
      <c r="L191" s="24">
        <v>1380</v>
      </c>
      <c r="M191" s="14" t="s">
        <v>197</v>
      </c>
      <c r="N191" s="24">
        <v>3.5</v>
      </c>
      <c r="O191" s="30" t="str">
        <f>HYPERLINK("http://www.pba.edu/pba-scholarships","http://www.pba.edu/pba-scholarships")</f>
        <v>http://www.pba.edu/pba-scholarships</v>
      </c>
      <c r="P191" s="33">
        <v>28520</v>
      </c>
      <c r="Q191" s="25">
        <v>0.93</v>
      </c>
      <c r="R191" s="14" t="s">
        <v>126</v>
      </c>
      <c r="S191" s="14" t="s">
        <v>707</v>
      </c>
      <c r="T191" s="12"/>
      <c r="U191" s="12">
        <v>3.57</v>
      </c>
      <c r="V191" s="12"/>
      <c r="W191" s="12"/>
      <c r="X191" s="12"/>
      <c r="Y191" s="12"/>
      <c r="Z191" s="12"/>
      <c r="AA191" s="12"/>
    </row>
    <row r="192" spans="1:27" ht="174" customHeight="1" x14ac:dyDescent="0.2">
      <c r="A192" s="23" t="s">
        <v>640</v>
      </c>
      <c r="B192" s="14" t="s">
        <v>708</v>
      </c>
      <c r="C192" s="14" t="s">
        <v>101</v>
      </c>
      <c r="D192" s="12"/>
      <c r="E192" s="14" t="s">
        <v>111</v>
      </c>
      <c r="F192" s="14" t="s">
        <v>72</v>
      </c>
      <c r="G192" s="12"/>
      <c r="H192" s="12" t="s">
        <v>250</v>
      </c>
      <c r="I192" s="12">
        <v>10</v>
      </c>
      <c r="J192" s="14" t="s">
        <v>709</v>
      </c>
      <c r="K192" s="12"/>
      <c r="L192" s="12"/>
      <c r="M192" s="12"/>
      <c r="N192" s="12"/>
      <c r="O192" s="30" t="str">
        <f>HYPERLINK("http://www.rollins.edu/financial-aid/as-cps-financial-aid/scholarships/index.html","http://www.rollins.edu/financial-aid/as-cps-financial-aid/scholarships/index.html")</f>
        <v>http://www.rollins.edu/financial-aid/as-cps-financial-aid/scholarships/index.html</v>
      </c>
      <c r="P192" s="33">
        <v>46520</v>
      </c>
      <c r="Q192" s="58">
        <v>0.6</v>
      </c>
      <c r="R192" s="14" t="s">
        <v>687</v>
      </c>
      <c r="S192" s="14" t="s">
        <v>710</v>
      </c>
      <c r="T192" s="12"/>
      <c r="U192" s="12">
        <v>3.33</v>
      </c>
      <c r="V192" s="12"/>
      <c r="W192" s="12"/>
      <c r="X192" s="12"/>
      <c r="Y192" s="12"/>
      <c r="Z192" s="12"/>
      <c r="AA192" s="12"/>
    </row>
    <row r="193" spans="1:27" ht="189.75" customHeight="1" x14ac:dyDescent="0.2">
      <c r="A193" s="100" t="s">
        <v>640</v>
      </c>
      <c r="B193" s="101" t="s">
        <v>711</v>
      </c>
      <c r="C193" s="101" t="s">
        <v>101</v>
      </c>
      <c r="D193" s="101"/>
      <c r="E193" s="101" t="s">
        <v>111</v>
      </c>
      <c r="F193" s="101" t="s">
        <v>72</v>
      </c>
      <c r="G193" s="101"/>
      <c r="H193" s="101" t="s">
        <v>712</v>
      </c>
      <c r="I193" s="101" t="s">
        <v>74</v>
      </c>
      <c r="J193" s="102" t="s">
        <v>713</v>
      </c>
      <c r="K193" s="103">
        <v>30</v>
      </c>
      <c r="L193" s="103">
        <v>1350</v>
      </c>
      <c r="M193" s="101" t="s">
        <v>197</v>
      </c>
      <c r="N193" s="103">
        <v>3.5</v>
      </c>
      <c r="O193" s="104" t="str">
        <f>HYPERLINK("http://www.stetson.edu/administration/financial-planning/scholarships/j-ollie-edmunds/","http://www.stetson.edu/administration/financial-planning/scholarships/j-ollie-edmunds/")</f>
        <v>http://www.stetson.edu/administration/financial-planning/scholarships/j-ollie-edmunds/</v>
      </c>
      <c r="P193" s="105">
        <v>43240</v>
      </c>
      <c r="Q193" s="106">
        <v>0.63</v>
      </c>
      <c r="R193" s="101" t="s">
        <v>714</v>
      </c>
      <c r="S193" s="101" t="s">
        <v>715</v>
      </c>
      <c r="T193" s="101"/>
      <c r="U193" s="101">
        <v>3.86</v>
      </c>
      <c r="V193" s="101"/>
      <c r="W193" s="101"/>
      <c r="X193" s="101"/>
      <c r="Y193" s="101"/>
      <c r="Z193" s="101"/>
      <c r="AA193" s="101"/>
    </row>
    <row r="194" spans="1:27" ht="189.75" customHeight="1" x14ac:dyDescent="0.2">
      <c r="A194" s="11" t="s">
        <v>640</v>
      </c>
      <c r="B194" s="12" t="s">
        <v>711</v>
      </c>
      <c r="C194" s="12" t="s">
        <v>101</v>
      </c>
      <c r="D194" s="12"/>
      <c r="E194" s="12" t="s">
        <v>716</v>
      </c>
      <c r="F194" s="12" t="s">
        <v>72</v>
      </c>
      <c r="G194" s="12"/>
      <c r="H194" s="12" t="s">
        <v>717</v>
      </c>
      <c r="I194" s="12" t="s">
        <v>74</v>
      </c>
      <c r="J194" s="14" t="s">
        <v>718</v>
      </c>
      <c r="K194" s="12"/>
      <c r="L194" s="12"/>
      <c r="M194" s="12"/>
      <c r="N194" s="12"/>
      <c r="O194" s="37" t="str">
        <f>HYPERLINK("http://www.stetson.edu/administration/financial-planning/scholarships/","http://www.stetson.edu/administration/financial-planning/scholarships/")</f>
        <v>http://www.stetson.edu/administration/financial-planning/scholarships/</v>
      </c>
      <c r="P194" s="65">
        <v>43240</v>
      </c>
      <c r="Q194" s="57">
        <v>0.63</v>
      </c>
      <c r="R194" s="12" t="s">
        <v>714</v>
      </c>
      <c r="S194" s="12" t="s">
        <v>715</v>
      </c>
      <c r="T194" s="12"/>
      <c r="U194" s="12">
        <v>3.86</v>
      </c>
      <c r="V194" s="12"/>
      <c r="W194" s="12"/>
      <c r="X194" s="12"/>
      <c r="Y194" s="12"/>
      <c r="Z194" s="12"/>
      <c r="AA194" s="12"/>
    </row>
    <row r="195" spans="1:27" ht="142.5" customHeight="1" x14ac:dyDescent="0.2">
      <c r="A195" s="11" t="s">
        <v>640</v>
      </c>
      <c r="B195" s="12" t="s">
        <v>719</v>
      </c>
      <c r="C195" s="12" t="s">
        <v>101</v>
      </c>
      <c r="D195" s="12"/>
      <c r="E195" s="12" t="s">
        <v>177</v>
      </c>
      <c r="F195" s="12" t="s">
        <v>72</v>
      </c>
      <c r="G195" s="12" t="s">
        <v>186</v>
      </c>
      <c r="H195" s="12" t="s">
        <v>720</v>
      </c>
      <c r="I195" s="12" t="s">
        <v>74</v>
      </c>
      <c r="J195" s="14" t="s">
        <v>721</v>
      </c>
      <c r="K195" s="12"/>
      <c r="L195" s="12"/>
      <c r="M195" s="12"/>
      <c r="N195" s="12"/>
      <c r="O195" s="37" t="str">
        <f>HYPERLINK("http://admissions.miami.edu/undergraduate/financial-aid/scholarships/isaac-bashevis-singer-scholarship/index.html","http://admissions.miami.edu/undergraduate/financial-aid/scholarships/isaac-bashevis-singer-scholarship/index.html")</f>
        <v>http://admissions.miami.edu/undergraduate/financial-aid/scholarships/isaac-bashevis-singer-scholarship/index.html</v>
      </c>
      <c r="P195" s="65">
        <v>47004</v>
      </c>
      <c r="Q195" s="57">
        <v>0.38</v>
      </c>
      <c r="R195" s="12" t="s">
        <v>523</v>
      </c>
      <c r="S195" s="12" t="s">
        <v>722</v>
      </c>
      <c r="T195" s="12"/>
      <c r="U195" s="12" t="s">
        <v>723</v>
      </c>
      <c r="V195" s="12"/>
      <c r="W195" s="12"/>
      <c r="X195" s="12"/>
      <c r="Y195" s="12"/>
      <c r="Z195" s="12"/>
      <c r="AA195" s="12"/>
    </row>
    <row r="196" spans="1:27" ht="142.5" customHeight="1" x14ac:dyDescent="0.2">
      <c r="A196" s="11" t="s">
        <v>640</v>
      </c>
      <c r="B196" s="12" t="s">
        <v>719</v>
      </c>
      <c r="C196" s="12" t="s">
        <v>101</v>
      </c>
      <c r="D196" s="12"/>
      <c r="E196" s="12" t="s">
        <v>724</v>
      </c>
      <c r="F196" s="12" t="s">
        <v>72</v>
      </c>
      <c r="G196" s="12"/>
      <c r="H196" s="12" t="s">
        <v>720</v>
      </c>
      <c r="I196" s="12" t="s">
        <v>74</v>
      </c>
      <c r="J196" s="14" t="s">
        <v>725</v>
      </c>
      <c r="K196" s="12"/>
      <c r="L196" s="12"/>
      <c r="M196" s="12"/>
      <c r="N196" s="12"/>
      <c r="O196" s="37" t="str">
        <f>HYPERLINK("http://admissions.miami.edu/undergraduate/financial-aid/scholarships/stamps-leadership-scholarship/index.html","http://admissions.miami.edu/undergraduate/financial-aid/scholarships/stamps-leadership-scholarship/index.html")</f>
        <v>http://admissions.miami.edu/undergraduate/financial-aid/scholarships/stamps-leadership-scholarship/index.html</v>
      </c>
      <c r="P196" s="65">
        <v>47004</v>
      </c>
      <c r="Q196" s="57">
        <v>0.38</v>
      </c>
      <c r="R196" s="12" t="s">
        <v>523</v>
      </c>
      <c r="S196" s="12" t="s">
        <v>722</v>
      </c>
      <c r="T196" s="12"/>
      <c r="U196" s="12" t="s">
        <v>723</v>
      </c>
      <c r="V196" s="12"/>
      <c r="W196" s="12"/>
      <c r="X196" s="12"/>
      <c r="Y196" s="12"/>
      <c r="Z196" s="12"/>
      <c r="AA196" s="12"/>
    </row>
    <row r="197" spans="1:27" ht="221.25" customHeight="1" x14ac:dyDescent="0.2">
      <c r="A197" s="11" t="s">
        <v>640</v>
      </c>
      <c r="B197" s="12" t="s">
        <v>719</v>
      </c>
      <c r="C197" s="12" t="s">
        <v>101</v>
      </c>
      <c r="D197" s="12"/>
      <c r="E197" s="12" t="s">
        <v>177</v>
      </c>
      <c r="F197" s="12" t="s">
        <v>72</v>
      </c>
      <c r="G197" s="12"/>
      <c r="H197" s="12" t="s">
        <v>726</v>
      </c>
      <c r="I197" s="12" t="s">
        <v>74</v>
      </c>
      <c r="J197" s="14" t="s">
        <v>727</v>
      </c>
      <c r="K197" s="12"/>
      <c r="L197" s="12"/>
      <c r="M197" s="12"/>
      <c r="N197" s="12"/>
      <c r="O197" s="59" t="str">
        <f>HYPERLINK("http://admissions.miami.edu/undergraduate/financial-aid/scholarships/ronald-a-hammond-scholarship/index.html","http://admissions.miami.edu/undergraduate/financial-aid/scholarships/ronald-a-hammond-scholarship/index.html")</f>
        <v>http://admissions.miami.edu/undergraduate/financial-aid/scholarships/ronald-a-hammond-scholarship/index.html</v>
      </c>
      <c r="P197" s="65">
        <v>47004</v>
      </c>
      <c r="Q197" s="57">
        <v>0.38</v>
      </c>
      <c r="R197" s="12" t="s">
        <v>523</v>
      </c>
      <c r="S197" s="12" t="s">
        <v>722</v>
      </c>
      <c r="T197" s="12"/>
      <c r="U197" s="12" t="s">
        <v>723</v>
      </c>
      <c r="V197" s="12"/>
      <c r="W197" s="12"/>
      <c r="X197" s="12"/>
      <c r="Y197" s="12"/>
      <c r="Z197" s="12"/>
      <c r="AA197" s="12"/>
    </row>
    <row r="198" spans="1:27" ht="141.75" customHeight="1" x14ac:dyDescent="0.2">
      <c r="A198" s="11" t="s">
        <v>640</v>
      </c>
      <c r="B198" s="12" t="s">
        <v>728</v>
      </c>
      <c r="C198" s="26" t="s">
        <v>729</v>
      </c>
      <c r="D198" s="26" t="s">
        <v>98</v>
      </c>
      <c r="E198" s="12" t="s">
        <v>568</v>
      </c>
      <c r="F198" s="11" t="s">
        <v>61</v>
      </c>
      <c r="G198" s="12"/>
      <c r="H198" s="12" t="s">
        <v>62</v>
      </c>
      <c r="I198" s="12" t="s">
        <v>63</v>
      </c>
      <c r="J198" s="26" t="s">
        <v>730</v>
      </c>
      <c r="K198" s="28">
        <v>32</v>
      </c>
      <c r="L198" s="28">
        <v>1470</v>
      </c>
      <c r="M198" s="29" t="s">
        <v>76</v>
      </c>
      <c r="N198" s="26">
        <v>4.3</v>
      </c>
      <c r="O198" s="30" t="str">
        <f>HYPERLINK("http://www.usf.edu/admissions/freshman/admissions-scholarships/index.aspx","http://www.usf.edu/admissions/freshman/admissions-scholarships/index.aspx")</f>
        <v>http://www.usf.edu/admissions/freshman/admissions-scholarships/index.aspx</v>
      </c>
      <c r="P198" s="26" t="s">
        <v>731</v>
      </c>
      <c r="Q198" s="31">
        <v>0.47499999999999998</v>
      </c>
      <c r="R198" s="26" t="s">
        <v>732</v>
      </c>
      <c r="S198" s="26" t="s">
        <v>733</v>
      </c>
      <c r="T198" s="12"/>
      <c r="U198" s="12">
        <v>3.94</v>
      </c>
      <c r="V198" s="12"/>
      <c r="W198" s="74" t="s">
        <v>734</v>
      </c>
      <c r="X198" s="12"/>
      <c r="Y198" s="12"/>
      <c r="Z198" s="12"/>
      <c r="AA198" s="12"/>
    </row>
    <row r="199" spans="1:27" ht="252.75" customHeight="1" x14ac:dyDescent="0.2">
      <c r="A199" s="23" t="s">
        <v>640</v>
      </c>
      <c r="B199" s="14" t="s">
        <v>735</v>
      </c>
      <c r="C199" s="14" t="s">
        <v>101</v>
      </c>
      <c r="D199" s="12"/>
      <c r="E199" s="14" t="s">
        <v>111</v>
      </c>
      <c r="F199" s="14" t="s">
        <v>145</v>
      </c>
      <c r="G199" s="12"/>
      <c r="H199" s="12" t="s">
        <v>157</v>
      </c>
      <c r="I199" s="12" t="s">
        <v>74</v>
      </c>
      <c r="J199" s="14" t="s">
        <v>736</v>
      </c>
      <c r="K199" s="12"/>
      <c r="L199" s="12"/>
      <c r="M199" s="12"/>
      <c r="N199" s="12"/>
      <c r="O199" s="30" t="str">
        <f>HYPERLINK("http://www.ut.edu/financialaid/scholarshipsandgrants/","http://www.ut.edu/financialaid/scholarshipsandgrants/")</f>
        <v>http://www.ut.edu/financialaid/scholarshipsandgrants/</v>
      </c>
      <c r="P199" s="33">
        <v>27740</v>
      </c>
      <c r="Q199" s="25">
        <v>0.51</v>
      </c>
      <c r="R199" s="14" t="s">
        <v>670</v>
      </c>
      <c r="S199" s="14" t="s">
        <v>737</v>
      </c>
      <c r="T199" s="12"/>
      <c r="U199" s="12">
        <v>3.4</v>
      </c>
      <c r="V199" s="12"/>
      <c r="W199" s="12"/>
      <c r="X199" s="12"/>
      <c r="Y199" s="12"/>
      <c r="Z199" s="12"/>
      <c r="AA199" s="12"/>
    </row>
    <row r="200" spans="1:27" ht="189.75" customHeight="1" x14ac:dyDescent="0.2">
      <c r="A200" s="23" t="s">
        <v>738</v>
      </c>
      <c r="B200" s="14" t="s">
        <v>739</v>
      </c>
      <c r="C200" s="14" t="s">
        <v>101</v>
      </c>
      <c r="D200" s="12"/>
      <c r="E200" s="14" t="s">
        <v>111</v>
      </c>
      <c r="F200" s="14" t="s">
        <v>72</v>
      </c>
      <c r="G200" s="12"/>
      <c r="H200" s="12" t="s">
        <v>740</v>
      </c>
      <c r="I200" s="12">
        <v>1</v>
      </c>
      <c r="J200" s="14" t="s">
        <v>741</v>
      </c>
      <c r="K200" s="12"/>
      <c r="L200" s="12"/>
      <c r="M200" s="12"/>
      <c r="N200" s="12"/>
      <c r="O200" s="30" t="str">
        <f t="shared" ref="O200:O201" si="27">HYPERLINK("https://www.agnesscott.edu/admission/financial-aid/agnes-scott-scholarships.html","https://www.agnesscott.edu/admission/financial-aid/agnes-scott-scholarships.html")</f>
        <v>https://www.agnesscott.edu/admission/financial-aid/agnes-scott-scholarships.html</v>
      </c>
      <c r="P200" s="33">
        <v>38472</v>
      </c>
      <c r="Q200" s="25">
        <v>0.62</v>
      </c>
      <c r="R200" s="34" t="s">
        <v>687</v>
      </c>
      <c r="S200" s="34" t="s">
        <v>742</v>
      </c>
      <c r="T200" s="12"/>
      <c r="U200" s="12">
        <v>3.71</v>
      </c>
      <c r="V200" s="12"/>
      <c r="W200" s="12"/>
      <c r="X200" s="12"/>
      <c r="Y200" s="12"/>
      <c r="Z200" s="12"/>
      <c r="AA200" s="12"/>
    </row>
    <row r="201" spans="1:27" ht="221.25" customHeight="1" x14ac:dyDescent="0.2">
      <c r="A201" s="23" t="s">
        <v>738</v>
      </c>
      <c r="B201" s="14" t="s">
        <v>739</v>
      </c>
      <c r="C201" s="14" t="s">
        <v>101</v>
      </c>
      <c r="D201" s="12"/>
      <c r="E201" s="14" t="s">
        <v>111</v>
      </c>
      <c r="F201" s="14" t="s">
        <v>72</v>
      </c>
      <c r="G201" s="12"/>
      <c r="H201" s="12" t="s">
        <v>743</v>
      </c>
      <c r="I201" s="12" t="s">
        <v>74</v>
      </c>
      <c r="J201" s="14" t="s">
        <v>744</v>
      </c>
      <c r="K201" s="12"/>
      <c r="L201" s="12"/>
      <c r="M201" s="12"/>
      <c r="N201" s="12"/>
      <c r="O201" s="30" t="str">
        <f t="shared" si="27"/>
        <v>https://www.agnesscott.edu/admission/financial-aid/agnes-scott-scholarships.html</v>
      </c>
      <c r="P201" s="33">
        <v>38472</v>
      </c>
      <c r="Q201" s="25">
        <v>0.62</v>
      </c>
      <c r="R201" s="34" t="s">
        <v>687</v>
      </c>
      <c r="S201" s="34" t="s">
        <v>742</v>
      </c>
      <c r="T201" s="12"/>
      <c r="U201" s="12">
        <v>3.71</v>
      </c>
      <c r="V201" s="12"/>
      <c r="W201" s="12"/>
      <c r="X201" s="12"/>
      <c r="Y201" s="12"/>
      <c r="Z201" s="12"/>
      <c r="AA201" s="12"/>
    </row>
    <row r="202" spans="1:27" ht="256.5" customHeight="1" x14ac:dyDescent="0.2">
      <c r="A202" s="78" t="s">
        <v>738</v>
      </c>
      <c r="B202" s="17" t="s">
        <v>745</v>
      </c>
      <c r="C202" s="29" t="s">
        <v>59</v>
      </c>
      <c r="D202" s="12"/>
      <c r="E202" s="17" t="s">
        <v>191</v>
      </c>
      <c r="F202" s="78" t="s">
        <v>72</v>
      </c>
      <c r="G202" s="12"/>
      <c r="H202" s="17" t="s">
        <v>746</v>
      </c>
      <c r="I202" s="17" t="s">
        <v>74</v>
      </c>
      <c r="J202" s="29" t="s">
        <v>747</v>
      </c>
      <c r="K202" s="12"/>
      <c r="L202" s="12"/>
      <c r="M202" s="12"/>
      <c r="N202" s="12"/>
      <c r="O202" s="19" t="s">
        <v>748</v>
      </c>
      <c r="P202" s="107" t="s">
        <v>749</v>
      </c>
      <c r="Q202" s="108">
        <v>0.5</v>
      </c>
      <c r="R202" s="29" t="s">
        <v>750</v>
      </c>
      <c r="S202" s="29" t="s">
        <v>751</v>
      </c>
      <c r="T202" s="12"/>
      <c r="U202" s="17">
        <v>2.94</v>
      </c>
      <c r="V202" s="12"/>
      <c r="W202" s="12"/>
      <c r="X202" s="12"/>
      <c r="Y202" s="12"/>
      <c r="Z202" s="12"/>
      <c r="AA202" s="12"/>
    </row>
    <row r="203" spans="1:27" ht="256.5" customHeight="1" x14ac:dyDescent="0.2">
      <c r="A203" s="11" t="s">
        <v>738</v>
      </c>
      <c r="B203" s="12" t="s">
        <v>752</v>
      </c>
      <c r="C203" s="26" t="s">
        <v>101</v>
      </c>
      <c r="D203" s="12"/>
      <c r="E203" s="12" t="s">
        <v>111</v>
      </c>
      <c r="F203" s="11" t="s">
        <v>72</v>
      </c>
      <c r="G203" s="12"/>
      <c r="H203" s="12" t="s">
        <v>753</v>
      </c>
      <c r="I203" s="12" t="s">
        <v>74</v>
      </c>
      <c r="J203" s="26" t="s">
        <v>754</v>
      </c>
      <c r="K203" s="12"/>
      <c r="L203" s="12"/>
      <c r="M203" s="12"/>
      <c r="N203" s="12"/>
      <c r="O203" s="30" t="str">
        <f>HYPERLINK("http://college.emory.edu/scholars/scholarships/index.html","http://college.emory.edu/scholars/scholarships/index.html")</f>
        <v>http://college.emory.edu/scholars/scholarships/index.html</v>
      </c>
      <c r="P203" s="38">
        <v>46314</v>
      </c>
      <c r="Q203" s="31">
        <v>0.24</v>
      </c>
      <c r="R203" s="26" t="s">
        <v>398</v>
      </c>
      <c r="S203" s="26" t="s">
        <v>755</v>
      </c>
      <c r="T203" s="12"/>
      <c r="U203" s="12">
        <v>3.72</v>
      </c>
      <c r="V203" s="12"/>
      <c r="W203" s="12"/>
      <c r="X203" s="12"/>
      <c r="Y203" s="12"/>
      <c r="Z203" s="12"/>
      <c r="AA203" s="12"/>
    </row>
    <row r="204" spans="1:27" ht="268.5" customHeight="1" x14ac:dyDescent="0.2">
      <c r="A204" s="23" t="s">
        <v>738</v>
      </c>
      <c r="B204" s="14" t="s">
        <v>756</v>
      </c>
      <c r="C204" s="14" t="s">
        <v>59</v>
      </c>
      <c r="D204" s="14"/>
      <c r="E204" s="14" t="s">
        <v>757</v>
      </c>
      <c r="F204" s="14" t="s">
        <v>72</v>
      </c>
      <c r="G204" s="12"/>
      <c r="H204" s="17" t="s">
        <v>553</v>
      </c>
      <c r="I204" s="12">
        <v>40</v>
      </c>
      <c r="J204" s="14" t="s">
        <v>758</v>
      </c>
      <c r="K204" s="12"/>
      <c r="L204" s="12"/>
      <c r="M204" s="12"/>
      <c r="N204" s="12"/>
      <c r="O204" s="30" t="str">
        <f>HYPERLINK("http://psp.gatech.edu/node/1","http://psp.gatech.edu/node/1")</f>
        <v>http://psp.gatech.edu/node/1</v>
      </c>
      <c r="P204" s="14" t="s">
        <v>759</v>
      </c>
      <c r="Q204" s="25">
        <v>0.32</v>
      </c>
      <c r="R204" s="14" t="s">
        <v>497</v>
      </c>
      <c r="S204" s="14" t="s">
        <v>760</v>
      </c>
      <c r="T204" s="12"/>
      <c r="U204" s="12">
        <v>3.98</v>
      </c>
      <c r="V204" s="12"/>
      <c r="W204" s="12"/>
      <c r="X204" s="12"/>
      <c r="Y204" s="12"/>
      <c r="Z204" s="12"/>
      <c r="AA204" s="12"/>
    </row>
    <row r="205" spans="1:27" ht="221.25" customHeight="1" x14ac:dyDescent="0.2">
      <c r="A205" s="109" t="s">
        <v>738</v>
      </c>
      <c r="B205" s="110" t="s">
        <v>756</v>
      </c>
      <c r="C205" s="110" t="s">
        <v>59</v>
      </c>
      <c r="D205" s="110"/>
      <c r="E205" s="110" t="s">
        <v>177</v>
      </c>
      <c r="F205" s="110" t="s">
        <v>72</v>
      </c>
      <c r="G205" s="111"/>
      <c r="H205" s="112" t="s">
        <v>761</v>
      </c>
      <c r="I205" s="112" t="s">
        <v>74</v>
      </c>
      <c r="J205" s="110" t="s">
        <v>762</v>
      </c>
      <c r="K205" s="112"/>
      <c r="L205" s="112"/>
      <c r="M205" s="112"/>
      <c r="N205" s="112"/>
      <c r="O205" s="113" t="s">
        <v>763</v>
      </c>
      <c r="P205" s="110" t="s">
        <v>759</v>
      </c>
      <c r="Q205" s="114">
        <v>0.32</v>
      </c>
      <c r="R205" s="110" t="s">
        <v>497</v>
      </c>
      <c r="S205" s="110" t="s">
        <v>760</v>
      </c>
      <c r="T205" s="112"/>
      <c r="U205" s="112">
        <v>3.98</v>
      </c>
      <c r="V205" s="112"/>
      <c r="W205" s="112"/>
      <c r="X205" s="112"/>
      <c r="Y205" s="112"/>
      <c r="Z205" s="112"/>
      <c r="AA205" s="112"/>
    </row>
    <row r="206" spans="1:27" ht="205.5" customHeight="1" x14ac:dyDescent="0.2">
      <c r="A206" s="11" t="s">
        <v>738</v>
      </c>
      <c r="B206" s="12" t="s">
        <v>764</v>
      </c>
      <c r="C206" s="26" t="s">
        <v>59</v>
      </c>
      <c r="D206" s="12"/>
      <c r="E206" s="12" t="s">
        <v>60</v>
      </c>
      <c r="F206" s="12" t="s">
        <v>72</v>
      </c>
      <c r="G206" s="12"/>
      <c r="H206" s="12" t="s">
        <v>250</v>
      </c>
      <c r="I206" s="12" t="s">
        <v>74</v>
      </c>
      <c r="J206" s="26" t="s">
        <v>765</v>
      </c>
      <c r="K206" s="24">
        <v>25</v>
      </c>
      <c r="L206" s="24">
        <v>1200</v>
      </c>
      <c r="M206" s="29" t="s">
        <v>76</v>
      </c>
      <c r="N206" s="26">
        <v>3.5</v>
      </c>
      <c r="O206" s="30" t="str">
        <f>HYPERLINK("http://academics.georgiasouthern.edu/honors/apply/incoming-freshmen/","http://academics.georgiasouthern.edu/honors/apply/incoming-freshmen/")</f>
        <v>http://academics.georgiasouthern.edu/honors/apply/incoming-freshmen/</v>
      </c>
      <c r="P206" s="26" t="s">
        <v>766</v>
      </c>
      <c r="Q206" s="31">
        <v>0.6</v>
      </c>
      <c r="R206" s="26" t="s">
        <v>767</v>
      </c>
      <c r="S206" s="26" t="s">
        <v>768</v>
      </c>
      <c r="T206" s="12"/>
      <c r="U206" s="12">
        <v>3.29</v>
      </c>
      <c r="V206" s="12"/>
      <c r="W206" s="12"/>
      <c r="X206" s="12"/>
      <c r="Y206" s="12"/>
      <c r="Z206" s="12"/>
      <c r="AA206" s="12"/>
    </row>
    <row r="207" spans="1:27" ht="180" customHeight="1" x14ac:dyDescent="0.2">
      <c r="A207" s="11" t="s">
        <v>738</v>
      </c>
      <c r="B207" s="12" t="s">
        <v>769</v>
      </c>
      <c r="C207" s="26" t="s">
        <v>59</v>
      </c>
      <c r="D207" s="12"/>
      <c r="E207" s="12" t="s">
        <v>724</v>
      </c>
      <c r="F207" s="12" t="s">
        <v>72</v>
      </c>
      <c r="G207" s="12"/>
      <c r="H207" s="12" t="s">
        <v>239</v>
      </c>
      <c r="I207" s="12" t="s">
        <v>74</v>
      </c>
      <c r="J207" s="26" t="s">
        <v>770</v>
      </c>
      <c r="K207" s="12"/>
      <c r="L207" s="12"/>
      <c r="M207" s="12"/>
      <c r="N207" s="12"/>
      <c r="O207" s="30" t="str">
        <f>HYPERLINK("https://app.gsu.edu/scholarships/search_scholarships.cfm?view_scholarship=1340","https://app.gsu.edu/scholarships/search_scholarships.cfm?view_scholarship=1340")</f>
        <v>https://app.gsu.edu/scholarships/search_scholarships.cfm?view_scholarship=1340</v>
      </c>
      <c r="P207" s="26" t="s">
        <v>771</v>
      </c>
      <c r="Q207" s="31">
        <v>0.57999999999999996</v>
      </c>
      <c r="R207" s="26" t="s">
        <v>124</v>
      </c>
      <c r="S207" s="26" t="s">
        <v>772</v>
      </c>
      <c r="T207" s="12"/>
      <c r="U207" s="12">
        <v>3.4</v>
      </c>
      <c r="V207" s="12"/>
      <c r="W207" s="12"/>
      <c r="X207" s="12"/>
      <c r="Y207" s="12"/>
      <c r="Z207" s="12"/>
      <c r="AA207" s="12"/>
    </row>
    <row r="208" spans="1:27" ht="409.5" customHeight="1" x14ac:dyDescent="0.2">
      <c r="A208" s="11" t="s">
        <v>738</v>
      </c>
      <c r="B208" s="12" t="s">
        <v>769</v>
      </c>
      <c r="C208" s="26" t="s">
        <v>59</v>
      </c>
      <c r="D208" s="12"/>
      <c r="E208" s="12" t="s">
        <v>724</v>
      </c>
      <c r="F208" s="12" t="s">
        <v>72</v>
      </c>
      <c r="G208" s="12"/>
      <c r="H208" s="12" t="s">
        <v>761</v>
      </c>
      <c r="I208" s="12" t="s">
        <v>74</v>
      </c>
      <c r="J208" s="26" t="s">
        <v>773</v>
      </c>
      <c r="K208" s="12"/>
      <c r="L208" s="12"/>
      <c r="M208" s="12"/>
      <c r="N208" s="12"/>
      <c r="O208" s="30" t="str">
        <f>HYPERLINK("http://sfs.gsu.edu/scholarships-grants/goizueta-scholarship-opportunities/","http://sfs.gsu.edu/scholarships-grants/goizueta-scholarship-opportunities/")</f>
        <v>http://sfs.gsu.edu/scholarships-grants/goizueta-scholarship-opportunities/</v>
      </c>
      <c r="P208" s="26" t="s">
        <v>771</v>
      </c>
      <c r="Q208" s="31">
        <v>0.57999999999999996</v>
      </c>
      <c r="R208" s="26" t="s">
        <v>124</v>
      </c>
      <c r="S208" s="26" t="s">
        <v>772</v>
      </c>
      <c r="T208" s="12"/>
      <c r="U208" s="12">
        <v>3.4</v>
      </c>
      <c r="V208" s="12"/>
      <c r="W208" s="12"/>
      <c r="X208" s="12"/>
      <c r="Y208" s="12"/>
      <c r="Z208" s="12"/>
      <c r="AA208" s="12"/>
    </row>
    <row r="209" spans="1:27" ht="237" customHeight="1" x14ac:dyDescent="0.2">
      <c r="A209" s="23" t="s">
        <v>738</v>
      </c>
      <c r="B209" s="14" t="s">
        <v>774</v>
      </c>
      <c r="C209" s="14" t="s">
        <v>101</v>
      </c>
      <c r="D209" s="12"/>
      <c r="E209" s="14" t="s">
        <v>111</v>
      </c>
      <c r="F209" s="14" t="s">
        <v>72</v>
      </c>
      <c r="G209" s="12"/>
      <c r="H209" s="12" t="s">
        <v>553</v>
      </c>
      <c r="I209" s="12">
        <v>2</v>
      </c>
      <c r="J209" s="14" t="s">
        <v>775</v>
      </c>
      <c r="K209" s="12"/>
      <c r="L209" s="12"/>
      <c r="M209" s="12"/>
      <c r="N209" s="12"/>
      <c r="O209" s="30" t="str">
        <f>HYPERLINK("http://www.lagrange.edu/admission/finaid/scholarships.html","http://www.lagrange.edu/admission/finaid/scholarships.html")</f>
        <v>http://www.lagrange.edu/admission/finaid/scholarships.html</v>
      </c>
      <c r="P209" s="33">
        <v>28160</v>
      </c>
      <c r="Q209" s="25">
        <v>0.56999999999999995</v>
      </c>
      <c r="R209" s="14" t="s">
        <v>120</v>
      </c>
      <c r="S209" s="14" t="s">
        <v>776</v>
      </c>
      <c r="T209" s="12"/>
      <c r="U209" s="12">
        <v>3.45</v>
      </c>
      <c r="V209" s="12"/>
      <c r="W209" s="12"/>
      <c r="X209" s="12"/>
      <c r="Y209" s="12"/>
      <c r="Z209" s="12"/>
      <c r="AA209" s="12"/>
    </row>
    <row r="210" spans="1:27" ht="215.25" customHeight="1" x14ac:dyDescent="0.2">
      <c r="A210" s="11" t="s">
        <v>738</v>
      </c>
      <c r="B210" s="12" t="s">
        <v>777</v>
      </c>
      <c r="C210" s="26" t="s">
        <v>101</v>
      </c>
      <c r="D210" s="26"/>
      <c r="E210" s="12" t="s">
        <v>724</v>
      </c>
      <c r="F210" s="12" t="s">
        <v>72</v>
      </c>
      <c r="G210" s="12"/>
      <c r="H210" s="12" t="s">
        <v>778</v>
      </c>
      <c r="I210" s="12">
        <v>5</v>
      </c>
      <c r="J210" s="32" t="s">
        <v>779</v>
      </c>
      <c r="K210" s="12"/>
      <c r="L210" s="12"/>
      <c r="M210" s="12"/>
      <c r="N210" s="12"/>
      <c r="O210" s="30" t="str">
        <f>HYPERLINK("http://bethebear.com/stamps.cfm","http://bethebear.com/stamps.cfm")</f>
        <v>http://bethebear.com/stamps.cfm</v>
      </c>
      <c r="P210" s="38">
        <v>35130</v>
      </c>
      <c r="Q210" s="31">
        <v>0.67</v>
      </c>
      <c r="R210" s="26" t="s">
        <v>96</v>
      </c>
      <c r="S210" s="26" t="s">
        <v>780</v>
      </c>
      <c r="T210" s="12"/>
      <c r="U210" s="12">
        <v>3.81</v>
      </c>
      <c r="V210" s="12"/>
      <c r="W210" s="12"/>
      <c r="X210" s="12"/>
      <c r="Y210" s="12"/>
      <c r="Z210" s="12"/>
      <c r="AA210" s="12"/>
    </row>
    <row r="211" spans="1:27" ht="226.5" customHeight="1" x14ac:dyDescent="0.2">
      <c r="A211" s="11" t="s">
        <v>738</v>
      </c>
      <c r="B211" s="12" t="s">
        <v>781</v>
      </c>
      <c r="C211" s="26" t="s">
        <v>101</v>
      </c>
      <c r="D211" s="12"/>
      <c r="E211" s="11" t="s">
        <v>111</v>
      </c>
      <c r="F211" s="11" t="s">
        <v>72</v>
      </c>
      <c r="G211" s="12"/>
      <c r="H211" s="12" t="s">
        <v>782</v>
      </c>
      <c r="I211" s="12">
        <v>5</v>
      </c>
      <c r="J211" s="32" t="s">
        <v>783</v>
      </c>
      <c r="K211" s="12"/>
      <c r="L211" s="12"/>
      <c r="M211" s="12"/>
      <c r="N211" s="26">
        <v>3.7</v>
      </c>
      <c r="O211" s="30" t="str">
        <f>HYPERLINK("http://www.morehouse.edu/admissions/","http://www.morehouse.edu/admissions/")</f>
        <v>http://www.morehouse.edu/admissions/</v>
      </c>
      <c r="P211" s="38">
        <v>26742</v>
      </c>
      <c r="Q211" s="31">
        <v>0.76</v>
      </c>
      <c r="R211" s="26" t="s">
        <v>550</v>
      </c>
      <c r="S211" s="26" t="s">
        <v>784</v>
      </c>
      <c r="T211" s="12"/>
      <c r="U211" s="12">
        <v>3.11</v>
      </c>
      <c r="V211" s="12"/>
      <c r="W211" s="12"/>
      <c r="X211" s="12"/>
      <c r="Y211" s="12"/>
      <c r="Z211" s="12"/>
      <c r="AA211" s="12"/>
    </row>
    <row r="212" spans="1:27" ht="313" x14ac:dyDescent="0.2">
      <c r="A212" s="23" t="s">
        <v>738</v>
      </c>
      <c r="B212" s="14" t="s">
        <v>785</v>
      </c>
      <c r="C212" s="14" t="s">
        <v>101</v>
      </c>
      <c r="D212" s="12"/>
      <c r="E212" s="14" t="s">
        <v>177</v>
      </c>
      <c r="F212" s="14" t="s">
        <v>72</v>
      </c>
      <c r="G212" s="12"/>
      <c r="H212" s="12" t="s">
        <v>786</v>
      </c>
      <c r="I212" s="17">
        <v>3</v>
      </c>
      <c r="J212" s="56" t="s">
        <v>787</v>
      </c>
      <c r="K212" s="12"/>
      <c r="L212" s="12"/>
      <c r="M212" s="12"/>
      <c r="N212" s="12"/>
      <c r="O212" s="30" t="str">
        <f t="shared" ref="O212:O214" si="28">HYPERLINK("http://hub.oglethorpe.edu/financial-aid/types-of-aid/","http://hub.oglethorpe.edu/financial-aid/types-of-aid/")</f>
        <v>http://hub.oglethorpe.edu/financial-aid/types-of-aid/</v>
      </c>
      <c r="P212" s="33">
        <v>35280</v>
      </c>
      <c r="Q212" s="25">
        <v>0.78</v>
      </c>
      <c r="R212" s="34" t="s">
        <v>224</v>
      </c>
      <c r="S212" s="34" t="s">
        <v>788</v>
      </c>
      <c r="T212" s="12"/>
      <c r="U212" s="12">
        <v>3.53</v>
      </c>
      <c r="V212" s="12"/>
      <c r="W212" s="12"/>
      <c r="X212" s="12"/>
      <c r="Y212" s="12"/>
      <c r="Z212" s="12"/>
      <c r="AA212" s="12"/>
    </row>
    <row r="213" spans="1:27" ht="181" x14ac:dyDescent="0.2">
      <c r="A213" s="23" t="s">
        <v>738</v>
      </c>
      <c r="B213" s="14" t="s">
        <v>785</v>
      </c>
      <c r="C213" s="14" t="s">
        <v>101</v>
      </c>
      <c r="D213" s="12"/>
      <c r="E213" s="14" t="s">
        <v>789</v>
      </c>
      <c r="F213" s="14" t="s">
        <v>72</v>
      </c>
      <c r="G213" s="12"/>
      <c r="H213" s="12" t="s">
        <v>743</v>
      </c>
      <c r="I213" s="17">
        <v>5</v>
      </c>
      <c r="J213" s="56" t="s">
        <v>790</v>
      </c>
      <c r="K213" s="12"/>
      <c r="L213" s="12"/>
      <c r="M213" s="12"/>
      <c r="N213" s="12"/>
      <c r="O213" s="30" t="str">
        <f t="shared" si="28"/>
        <v>http://hub.oglethorpe.edu/financial-aid/types-of-aid/</v>
      </c>
      <c r="P213" s="33">
        <v>35280</v>
      </c>
      <c r="Q213" s="25">
        <v>0.78</v>
      </c>
      <c r="R213" s="34" t="s">
        <v>224</v>
      </c>
      <c r="S213" s="34" t="s">
        <v>788</v>
      </c>
      <c r="T213" s="12"/>
      <c r="U213" s="12">
        <v>3.53</v>
      </c>
      <c r="V213" s="12"/>
      <c r="W213" s="12"/>
      <c r="X213" s="12"/>
      <c r="Y213" s="12"/>
      <c r="Z213" s="12"/>
      <c r="AA213" s="12"/>
    </row>
    <row r="214" spans="1:27" ht="289" x14ac:dyDescent="0.2">
      <c r="A214" s="23" t="s">
        <v>738</v>
      </c>
      <c r="B214" s="14" t="s">
        <v>785</v>
      </c>
      <c r="C214" s="14" t="s">
        <v>101</v>
      </c>
      <c r="D214" s="12"/>
      <c r="E214" s="14" t="s">
        <v>177</v>
      </c>
      <c r="F214" s="14" t="s">
        <v>461</v>
      </c>
      <c r="G214" s="12"/>
      <c r="H214" s="12" t="s">
        <v>791</v>
      </c>
      <c r="I214" s="17">
        <v>2</v>
      </c>
      <c r="J214" s="56" t="s">
        <v>792</v>
      </c>
      <c r="K214" s="12"/>
      <c r="L214" s="12"/>
      <c r="M214" s="12"/>
      <c r="N214" s="12"/>
      <c r="O214" s="30" t="str">
        <f t="shared" si="28"/>
        <v>http://hub.oglethorpe.edu/financial-aid/types-of-aid/</v>
      </c>
      <c r="P214" s="33">
        <v>35280</v>
      </c>
      <c r="Q214" s="25">
        <v>0.78</v>
      </c>
      <c r="R214" s="34" t="s">
        <v>224</v>
      </c>
      <c r="S214" s="34" t="s">
        <v>788</v>
      </c>
      <c r="T214" s="12"/>
      <c r="U214" s="12">
        <v>3.53</v>
      </c>
      <c r="V214" s="12"/>
      <c r="W214" s="12"/>
      <c r="X214" s="12"/>
      <c r="Y214" s="12"/>
      <c r="Z214" s="12"/>
      <c r="AA214" s="12"/>
    </row>
    <row r="215" spans="1:27" ht="111" customHeight="1" x14ac:dyDescent="0.2">
      <c r="A215" s="23" t="s">
        <v>738</v>
      </c>
      <c r="B215" s="14" t="s">
        <v>793</v>
      </c>
      <c r="C215" s="14" t="s">
        <v>101</v>
      </c>
      <c r="D215" s="14" t="s">
        <v>794</v>
      </c>
      <c r="E215" s="14" t="s">
        <v>60</v>
      </c>
      <c r="F215" s="14" t="s">
        <v>72</v>
      </c>
      <c r="G215" s="12"/>
      <c r="H215" s="12" t="s">
        <v>62</v>
      </c>
      <c r="I215" s="12">
        <v>5</v>
      </c>
      <c r="J215" s="14" t="s">
        <v>795</v>
      </c>
      <c r="K215" s="24">
        <v>27</v>
      </c>
      <c r="L215" s="24">
        <v>1310</v>
      </c>
      <c r="M215" s="29" t="s">
        <v>76</v>
      </c>
      <c r="N215" s="24">
        <v>3.5</v>
      </c>
      <c r="O215" s="30" t="str">
        <f>HYPERLINK("http://point.edu/financialaid/scholarships/","http://point.edu/financialaid/scholarships/")</f>
        <v>http://point.edu/financialaid/scholarships/</v>
      </c>
      <c r="P215" s="33">
        <v>19200</v>
      </c>
      <c r="Q215" s="25">
        <v>0.49</v>
      </c>
      <c r="R215" s="14" t="s">
        <v>631</v>
      </c>
      <c r="S215" s="14" t="s">
        <v>796</v>
      </c>
      <c r="T215" s="12"/>
      <c r="U215" s="12">
        <v>3.15</v>
      </c>
      <c r="V215" s="12"/>
      <c r="W215" s="12"/>
      <c r="X215" s="12"/>
      <c r="Y215" s="12"/>
      <c r="Z215" s="12"/>
      <c r="AA215" s="12"/>
    </row>
    <row r="216" spans="1:27" ht="64.5" customHeight="1" x14ac:dyDescent="0.2">
      <c r="A216" s="23" t="s">
        <v>738</v>
      </c>
      <c r="B216" s="14" t="s">
        <v>797</v>
      </c>
      <c r="C216" s="14" t="s">
        <v>101</v>
      </c>
      <c r="D216" s="12"/>
      <c r="E216" s="14" t="s">
        <v>60</v>
      </c>
      <c r="F216" s="14" t="s">
        <v>72</v>
      </c>
      <c r="G216" s="12"/>
      <c r="H216" s="12" t="s">
        <v>798</v>
      </c>
      <c r="I216" s="12" t="s">
        <v>74</v>
      </c>
      <c r="J216" s="14" t="s">
        <v>799</v>
      </c>
      <c r="K216" s="12"/>
      <c r="L216" s="12"/>
      <c r="M216" s="12"/>
      <c r="N216" s="12"/>
      <c r="O216" s="30" t="str">
        <f t="shared" ref="O216:O217" si="29">HYPERLINK("http://www.spelman.edu/admissions/financial-aid/scholarship-fair","http://www.spelman.edu/admissions/financial-aid/scholarship-fair")</f>
        <v>http://www.spelman.edu/admissions/financial-aid/scholarship-fair</v>
      </c>
      <c r="P216" s="33">
        <v>27314</v>
      </c>
      <c r="Q216" s="58">
        <v>0.48</v>
      </c>
      <c r="R216" s="34" t="s">
        <v>800</v>
      </c>
      <c r="S216" s="34" t="s">
        <v>801</v>
      </c>
      <c r="T216" s="12"/>
      <c r="U216" s="12">
        <v>3.61</v>
      </c>
      <c r="V216" s="12"/>
      <c r="W216" s="12"/>
      <c r="X216" s="12"/>
      <c r="Y216" s="12"/>
      <c r="Z216" s="12"/>
      <c r="AA216" s="12"/>
    </row>
    <row r="217" spans="1:27" ht="79.5" customHeight="1" x14ac:dyDescent="0.2">
      <c r="A217" s="23" t="s">
        <v>738</v>
      </c>
      <c r="B217" s="14" t="s">
        <v>797</v>
      </c>
      <c r="C217" s="14" t="s">
        <v>101</v>
      </c>
      <c r="D217" s="12"/>
      <c r="E217" s="14" t="s">
        <v>111</v>
      </c>
      <c r="F217" s="14" t="s">
        <v>72</v>
      </c>
      <c r="G217" s="12"/>
      <c r="H217" s="12" t="s">
        <v>798</v>
      </c>
      <c r="I217" s="12" t="s">
        <v>74</v>
      </c>
      <c r="J217" s="14" t="s">
        <v>802</v>
      </c>
      <c r="K217" s="12"/>
      <c r="L217" s="12"/>
      <c r="M217" s="12"/>
      <c r="N217" s="12"/>
      <c r="O217" s="30" t="str">
        <f t="shared" si="29"/>
        <v>http://www.spelman.edu/admissions/financial-aid/scholarship-fair</v>
      </c>
      <c r="P217" s="33">
        <v>27314</v>
      </c>
      <c r="Q217" s="58">
        <v>0.48</v>
      </c>
      <c r="R217" s="34" t="s">
        <v>800</v>
      </c>
      <c r="S217" s="34" t="s">
        <v>801</v>
      </c>
      <c r="T217" s="12"/>
      <c r="U217" s="12">
        <v>3.61</v>
      </c>
      <c r="V217" s="12"/>
      <c r="W217" s="12"/>
      <c r="X217" s="12"/>
      <c r="Y217" s="12"/>
      <c r="Z217" s="12"/>
      <c r="AA217" s="12"/>
    </row>
    <row r="218" spans="1:27" ht="192" x14ac:dyDescent="0.2">
      <c r="A218" s="23" t="s">
        <v>738</v>
      </c>
      <c r="B218" s="14" t="s">
        <v>803</v>
      </c>
      <c r="C218" s="14" t="s">
        <v>101</v>
      </c>
      <c r="D218" s="12"/>
      <c r="E218" s="14" t="s">
        <v>60</v>
      </c>
      <c r="F218" s="14" t="s">
        <v>72</v>
      </c>
      <c r="G218" s="12"/>
      <c r="H218" s="12" t="s">
        <v>804</v>
      </c>
      <c r="I218" s="12">
        <v>3</v>
      </c>
      <c r="J218" s="14" t="s">
        <v>805</v>
      </c>
      <c r="K218" s="12">
        <v>21</v>
      </c>
      <c r="L218" s="12">
        <v>1080</v>
      </c>
      <c r="M218" s="12" t="s">
        <v>197</v>
      </c>
      <c r="N218" s="24">
        <v>3</v>
      </c>
      <c r="O218" s="59" t="str">
        <f t="shared" ref="O218:O222" si="30">HYPERLINK("http://www.wesleyancollege.edu/admission/Invitation-Scholarships.cfm","http://www.wesleyancollege.edu/admission/Invitation-Scholarships.cfm")</f>
        <v>http://www.wesleyancollege.edu/admission/Invitation-Scholarships.cfm</v>
      </c>
      <c r="P218" s="33">
        <v>21750</v>
      </c>
      <c r="Q218" s="25">
        <v>0.45</v>
      </c>
      <c r="R218" s="34" t="s">
        <v>550</v>
      </c>
      <c r="S218" s="34" t="s">
        <v>806</v>
      </c>
      <c r="T218" s="12"/>
      <c r="U218" s="12" t="s">
        <v>81</v>
      </c>
      <c r="V218" s="12"/>
      <c r="W218" s="12"/>
      <c r="X218" s="12"/>
      <c r="Y218" s="12"/>
      <c r="Z218" s="12"/>
      <c r="AA218" s="12"/>
    </row>
    <row r="219" spans="1:27" ht="176" x14ac:dyDescent="0.2">
      <c r="A219" s="23" t="s">
        <v>738</v>
      </c>
      <c r="B219" s="14" t="s">
        <v>803</v>
      </c>
      <c r="C219" s="14" t="s">
        <v>101</v>
      </c>
      <c r="D219" s="12"/>
      <c r="E219" s="14" t="s">
        <v>60</v>
      </c>
      <c r="F219" s="14" t="s">
        <v>72</v>
      </c>
      <c r="G219" s="12"/>
      <c r="H219" s="12" t="s">
        <v>807</v>
      </c>
      <c r="I219" s="12">
        <v>3</v>
      </c>
      <c r="J219" s="115" t="s">
        <v>808</v>
      </c>
      <c r="K219" s="12">
        <v>23</v>
      </c>
      <c r="L219" s="12">
        <v>1120</v>
      </c>
      <c r="M219" s="12" t="s">
        <v>197</v>
      </c>
      <c r="N219" s="24">
        <v>3.3</v>
      </c>
      <c r="O219" s="59" t="str">
        <f t="shared" si="30"/>
        <v>http://www.wesleyancollege.edu/admission/Invitation-Scholarships.cfm</v>
      </c>
      <c r="P219" s="33">
        <v>21750</v>
      </c>
      <c r="Q219" s="25">
        <v>0.45</v>
      </c>
      <c r="R219" s="34" t="s">
        <v>550</v>
      </c>
      <c r="S219" s="34" t="s">
        <v>806</v>
      </c>
      <c r="T219" s="12"/>
      <c r="U219" s="12" t="s">
        <v>81</v>
      </c>
      <c r="V219" s="12"/>
      <c r="W219" s="12"/>
      <c r="X219" s="12"/>
      <c r="Y219" s="12"/>
      <c r="Z219" s="12"/>
      <c r="AA219" s="12"/>
    </row>
    <row r="220" spans="1:27" ht="320" x14ac:dyDescent="0.2">
      <c r="A220" s="23" t="s">
        <v>738</v>
      </c>
      <c r="B220" s="14" t="s">
        <v>803</v>
      </c>
      <c r="C220" s="14" t="s">
        <v>101</v>
      </c>
      <c r="D220" s="12"/>
      <c r="E220" s="14" t="s">
        <v>60</v>
      </c>
      <c r="F220" s="14" t="s">
        <v>72</v>
      </c>
      <c r="G220" s="12"/>
      <c r="H220" s="12" t="s">
        <v>809</v>
      </c>
      <c r="I220" s="12">
        <v>2</v>
      </c>
      <c r="J220" s="115" t="s">
        <v>810</v>
      </c>
      <c r="K220" s="12">
        <v>27</v>
      </c>
      <c r="L220" s="12">
        <v>1270</v>
      </c>
      <c r="M220" s="12" t="s">
        <v>197</v>
      </c>
      <c r="N220" s="24">
        <v>3.25</v>
      </c>
      <c r="O220" s="59" t="str">
        <f t="shared" si="30"/>
        <v>http://www.wesleyancollege.edu/admission/Invitation-Scholarships.cfm</v>
      </c>
      <c r="P220" s="33">
        <v>21750</v>
      </c>
      <c r="Q220" s="25">
        <v>0.45</v>
      </c>
      <c r="R220" s="34" t="s">
        <v>550</v>
      </c>
      <c r="S220" s="34" t="s">
        <v>806</v>
      </c>
      <c r="T220" s="12"/>
      <c r="U220" s="12" t="s">
        <v>81</v>
      </c>
      <c r="V220" s="12"/>
      <c r="W220" s="12"/>
      <c r="X220" s="12"/>
      <c r="Y220" s="12"/>
      <c r="Z220" s="12"/>
      <c r="AA220" s="12"/>
    </row>
    <row r="221" spans="1:27" ht="240" x14ac:dyDescent="0.2">
      <c r="A221" s="23" t="s">
        <v>738</v>
      </c>
      <c r="B221" s="14" t="s">
        <v>803</v>
      </c>
      <c r="C221" s="14" t="s">
        <v>101</v>
      </c>
      <c r="D221" s="12"/>
      <c r="E221" s="14" t="s">
        <v>60</v>
      </c>
      <c r="F221" s="14" t="s">
        <v>72</v>
      </c>
      <c r="G221" s="12"/>
      <c r="H221" s="12" t="s">
        <v>811</v>
      </c>
      <c r="I221" s="12">
        <v>1</v>
      </c>
      <c r="J221" s="115" t="s">
        <v>812</v>
      </c>
      <c r="K221" s="12">
        <v>21</v>
      </c>
      <c r="L221" s="12">
        <v>1080</v>
      </c>
      <c r="M221" s="12" t="s">
        <v>197</v>
      </c>
      <c r="N221" s="24">
        <v>3</v>
      </c>
      <c r="O221" s="59" t="str">
        <f t="shared" si="30"/>
        <v>http://www.wesleyancollege.edu/admission/Invitation-Scholarships.cfm</v>
      </c>
      <c r="P221" s="33">
        <v>21750</v>
      </c>
      <c r="Q221" s="25">
        <v>0.45</v>
      </c>
      <c r="R221" s="34" t="s">
        <v>550</v>
      </c>
      <c r="S221" s="34" t="s">
        <v>806</v>
      </c>
      <c r="T221" s="12"/>
      <c r="U221" s="12" t="s">
        <v>81</v>
      </c>
      <c r="V221" s="12"/>
      <c r="W221" s="12"/>
      <c r="X221" s="12"/>
      <c r="Y221" s="12"/>
      <c r="Z221" s="12"/>
      <c r="AA221" s="12"/>
    </row>
    <row r="222" spans="1:27" ht="225" x14ac:dyDescent="0.2">
      <c r="A222" s="23" t="s">
        <v>738</v>
      </c>
      <c r="B222" s="14" t="s">
        <v>803</v>
      </c>
      <c r="C222" s="14" t="s">
        <v>101</v>
      </c>
      <c r="D222" s="12" t="s">
        <v>71</v>
      </c>
      <c r="E222" s="14" t="s">
        <v>60</v>
      </c>
      <c r="F222" s="14" t="s">
        <v>72</v>
      </c>
      <c r="G222" s="12"/>
      <c r="H222" s="12" t="s">
        <v>62</v>
      </c>
      <c r="I222" s="12" t="s">
        <v>74</v>
      </c>
      <c r="J222" s="116" t="s">
        <v>813</v>
      </c>
      <c r="K222" s="12">
        <v>26</v>
      </c>
      <c r="L222" s="12">
        <v>1150</v>
      </c>
      <c r="M222" s="12" t="s">
        <v>197</v>
      </c>
      <c r="N222" s="24">
        <v>3.6</v>
      </c>
      <c r="O222" s="59" t="str">
        <f t="shared" si="30"/>
        <v>http://www.wesleyancollege.edu/admission/Invitation-Scholarships.cfm</v>
      </c>
      <c r="P222" s="33">
        <v>21750</v>
      </c>
      <c r="Q222" s="25">
        <v>0.45</v>
      </c>
      <c r="R222" s="34" t="s">
        <v>550</v>
      </c>
      <c r="S222" s="34" t="s">
        <v>806</v>
      </c>
      <c r="T222" s="12"/>
      <c r="U222" s="12" t="s">
        <v>81</v>
      </c>
      <c r="V222" s="12"/>
      <c r="W222" s="12"/>
      <c r="X222" s="12"/>
      <c r="Y222" s="12"/>
      <c r="Z222" s="12"/>
      <c r="AA222" s="12"/>
    </row>
    <row r="223" spans="1:27" ht="144" x14ac:dyDescent="0.2">
      <c r="A223" s="23" t="s">
        <v>814</v>
      </c>
      <c r="B223" s="14" t="s">
        <v>815</v>
      </c>
      <c r="C223" s="14" t="s">
        <v>59</v>
      </c>
      <c r="D223" s="14"/>
      <c r="E223" s="14" t="s">
        <v>302</v>
      </c>
      <c r="F223" s="14" t="s">
        <v>72</v>
      </c>
      <c r="G223" s="12"/>
      <c r="H223" s="12" t="s">
        <v>816</v>
      </c>
      <c r="I223" s="12" t="s">
        <v>113</v>
      </c>
      <c r="J223" s="12" t="s">
        <v>817</v>
      </c>
      <c r="K223" s="12">
        <v>32</v>
      </c>
      <c r="L223" s="12">
        <v>1470</v>
      </c>
      <c r="M223" s="29" t="s">
        <v>76</v>
      </c>
      <c r="N223" s="12">
        <v>3.9</v>
      </c>
      <c r="O223" s="30" t="s">
        <v>818</v>
      </c>
      <c r="P223" s="14" t="s">
        <v>819</v>
      </c>
      <c r="Q223" s="25">
        <v>0.53</v>
      </c>
      <c r="R223" s="14" t="s">
        <v>490</v>
      </c>
      <c r="S223" s="14" t="s">
        <v>820</v>
      </c>
      <c r="T223" s="12"/>
      <c r="U223" s="12">
        <v>3.9</v>
      </c>
      <c r="V223" s="12"/>
      <c r="W223" s="12"/>
      <c r="X223" s="12"/>
      <c r="Y223" s="12"/>
      <c r="Z223" s="12"/>
      <c r="AA223" s="12"/>
    </row>
    <row r="224" spans="1:27" ht="238" x14ac:dyDescent="0.2">
      <c r="A224" s="23" t="s">
        <v>814</v>
      </c>
      <c r="B224" s="14" t="s">
        <v>815</v>
      </c>
      <c r="C224" s="14" t="s">
        <v>59</v>
      </c>
      <c r="D224" s="14"/>
      <c r="E224" s="14" t="s">
        <v>136</v>
      </c>
      <c r="F224" s="14" t="s">
        <v>72</v>
      </c>
      <c r="G224" s="12"/>
      <c r="H224" s="12" t="s">
        <v>816</v>
      </c>
      <c r="I224" s="12" t="s">
        <v>426</v>
      </c>
      <c r="J224" s="81" t="s">
        <v>821</v>
      </c>
      <c r="K224" s="12">
        <v>32</v>
      </c>
      <c r="L224" s="12">
        <v>1470</v>
      </c>
      <c r="M224" s="29" t="s">
        <v>76</v>
      </c>
      <c r="N224" s="12">
        <v>3.9</v>
      </c>
      <c r="O224" s="30" t="str">
        <f>HYPERLINK("https://www.admissions.uga.edu/prospective-students/tuition-fees/scholarships","https://www.admissions.uga.edu/prospective-students/tuition-fees/scholarships")</f>
        <v>https://www.admissions.uga.edu/prospective-students/tuition-fees/scholarships</v>
      </c>
      <c r="P224" s="14" t="s">
        <v>819</v>
      </c>
      <c r="Q224" s="25">
        <v>0.53</v>
      </c>
      <c r="R224" s="14" t="s">
        <v>490</v>
      </c>
      <c r="S224" s="14" t="s">
        <v>820</v>
      </c>
      <c r="T224" s="12"/>
      <c r="U224" s="12">
        <v>3.9</v>
      </c>
      <c r="V224" s="12"/>
      <c r="W224" s="12"/>
      <c r="X224" s="12"/>
      <c r="Y224" s="12"/>
      <c r="Z224" s="12"/>
      <c r="AA224" s="12"/>
    </row>
    <row r="225" spans="1:27" ht="154" x14ac:dyDescent="0.2">
      <c r="A225" s="109" t="s">
        <v>822</v>
      </c>
      <c r="B225" s="110" t="s">
        <v>823</v>
      </c>
      <c r="C225" s="110" t="s">
        <v>59</v>
      </c>
      <c r="D225" s="110" t="s">
        <v>98</v>
      </c>
      <c r="E225" s="110" t="s">
        <v>88</v>
      </c>
      <c r="F225" s="110" t="s">
        <v>72</v>
      </c>
      <c r="G225" s="112"/>
      <c r="H225" s="117" t="s">
        <v>824</v>
      </c>
      <c r="I225" s="117" t="s">
        <v>74</v>
      </c>
      <c r="J225" s="118" t="s">
        <v>825</v>
      </c>
      <c r="K225" s="119">
        <v>29</v>
      </c>
      <c r="L225" s="120">
        <v>1380</v>
      </c>
      <c r="M225" s="29" t="s">
        <v>76</v>
      </c>
      <c r="N225" s="119">
        <v>3.5</v>
      </c>
      <c r="O225" s="121" t="s">
        <v>826</v>
      </c>
      <c r="P225" s="110" t="s">
        <v>827</v>
      </c>
      <c r="Q225" s="114">
        <v>0.79</v>
      </c>
      <c r="R225" s="110" t="s">
        <v>565</v>
      </c>
      <c r="S225" s="110" t="s">
        <v>828</v>
      </c>
      <c r="T225" s="112"/>
      <c r="U225" s="112">
        <v>3.5</v>
      </c>
      <c r="V225" s="112"/>
      <c r="W225" s="112"/>
      <c r="X225" s="112"/>
      <c r="Y225" s="112"/>
      <c r="Z225" s="112"/>
      <c r="AA225" s="112"/>
    </row>
    <row r="226" spans="1:27" ht="192" x14ac:dyDescent="0.2">
      <c r="A226" s="23" t="s">
        <v>829</v>
      </c>
      <c r="B226" s="14" t="s">
        <v>830</v>
      </c>
      <c r="C226" s="14" t="s">
        <v>101</v>
      </c>
      <c r="D226" s="12"/>
      <c r="E226" s="14" t="s">
        <v>177</v>
      </c>
      <c r="F226" s="14" t="s">
        <v>61</v>
      </c>
      <c r="G226" s="17" t="s">
        <v>186</v>
      </c>
      <c r="H226" s="17" t="s">
        <v>831</v>
      </c>
      <c r="I226" s="17" t="s">
        <v>74</v>
      </c>
      <c r="J226" s="14" t="s">
        <v>832</v>
      </c>
      <c r="K226" s="24">
        <v>26</v>
      </c>
      <c r="L226" s="24">
        <v>1170</v>
      </c>
      <c r="M226" s="17" t="s">
        <v>197</v>
      </c>
      <c r="N226" s="24">
        <v>3.75</v>
      </c>
      <c r="O226" s="19" t="s">
        <v>833</v>
      </c>
      <c r="P226" s="33">
        <v>28788</v>
      </c>
      <c r="Q226" s="25">
        <v>0.53</v>
      </c>
      <c r="R226" s="12" t="s">
        <v>834</v>
      </c>
      <c r="S226" s="12" t="s">
        <v>835</v>
      </c>
      <c r="T226" s="12"/>
      <c r="U226" s="12">
        <v>3.27</v>
      </c>
      <c r="V226" s="12"/>
      <c r="W226" s="12"/>
      <c r="X226" s="12"/>
      <c r="Y226" s="12"/>
      <c r="Z226" s="12"/>
      <c r="AA226" s="12"/>
    </row>
    <row r="227" spans="1:27" ht="111" customHeight="1" x14ac:dyDescent="0.2">
      <c r="A227" s="23" t="s">
        <v>829</v>
      </c>
      <c r="B227" s="14" t="s">
        <v>836</v>
      </c>
      <c r="C227" s="14" t="s">
        <v>101</v>
      </c>
      <c r="D227" s="12"/>
      <c r="E227" s="14" t="s">
        <v>60</v>
      </c>
      <c r="F227" s="14" t="s">
        <v>72</v>
      </c>
      <c r="G227" s="12"/>
      <c r="H227" s="17" t="s">
        <v>837</v>
      </c>
      <c r="I227" s="17" t="s">
        <v>74</v>
      </c>
      <c r="J227" s="14" t="s">
        <v>838</v>
      </c>
      <c r="K227" s="18">
        <v>20</v>
      </c>
      <c r="L227" s="18">
        <v>1020</v>
      </c>
      <c r="M227" s="16" t="s">
        <v>76</v>
      </c>
      <c r="N227" s="24">
        <v>3</v>
      </c>
      <c r="O227" s="30" t="str">
        <f>HYPERLINK("http://www.central.edu/financial-aid/scholarships-awards/#firstYear","http://www.central.edu/financial-aid/scholarships-awards/#firstYear")</f>
        <v>http://www.central.edu/financial-aid/scholarships-awards/#firstYear</v>
      </c>
      <c r="P227" s="33">
        <v>34612</v>
      </c>
      <c r="Q227" s="58">
        <v>0.64</v>
      </c>
      <c r="R227" s="12" t="s">
        <v>126</v>
      </c>
      <c r="S227" s="34" t="s">
        <v>839</v>
      </c>
      <c r="T227" s="12"/>
      <c r="U227" s="12">
        <v>3.56</v>
      </c>
      <c r="V227" s="12"/>
      <c r="W227" s="12"/>
      <c r="X227" s="12"/>
      <c r="Y227" s="12"/>
      <c r="Z227" s="12"/>
      <c r="AA227" s="12"/>
    </row>
    <row r="228" spans="1:27" ht="189.75" customHeight="1" x14ac:dyDescent="0.2">
      <c r="A228" s="23" t="s">
        <v>829</v>
      </c>
      <c r="B228" s="14" t="s">
        <v>840</v>
      </c>
      <c r="C228" s="14" t="s">
        <v>101</v>
      </c>
      <c r="D228" s="12"/>
      <c r="E228" s="14" t="s">
        <v>841</v>
      </c>
      <c r="F228" s="14" t="s">
        <v>92</v>
      </c>
      <c r="G228" s="12"/>
      <c r="H228" s="17" t="s">
        <v>93</v>
      </c>
      <c r="I228" s="17" t="s">
        <v>63</v>
      </c>
      <c r="J228" s="14" t="s">
        <v>842</v>
      </c>
      <c r="K228" s="12"/>
      <c r="L228" s="12"/>
      <c r="M228" s="12"/>
      <c r="N228" s="12"/>
      <c r="O228" s="30" t="str">
        <f>HYPERLINK("http://www.coe.edu/admission/firstyear/fa/scholarshipsawards","http://www.coe.edu/admission/firstyear/fa/scholarshipsawards")</f>
        <v>http://www.coe.edu/admission/firstyear/fa/scholarshipsawards</v>
      </c>
      <c r="P228" s="33">
        <v>41000</v>
      </c>
      <c r="Q228" s="25">
        <v>0.63</v>
      </c>
      <c r="R228" s="34" t="s">
        <v>142</v>
      </c>
      <c r="S228" s="34" t="s">
        <v>843</v>
      </c>
      <c r="T228" s="12"/>
      <c r="U228" s="12">
        <v>3.62</v>
      </c>
      <c r="V228" s="12"/>
      <c r="W228" s="12"/>
      <c r="X228" s="12"/>
      <c r="Y228" s="12"/>
      <c r="Z228" s="12"/>
      <c r="AA228" s="12"/>
    </row>
    <row r="229" spans="1:27" ht="90.75" customHeight="1" x14ac:dyDescent="0.2">
      <c r="A229" s="23" t="s">
        <v>829</v>
      </c>
      <c r="B229" s="14" t="s">
        <v>844</v>
      </c>
      <c r="C229" s="14" t="s">
        <v>101</v>
      </c>
      <c r="D229" s="12"/>
      <c r="E229" s="14" t="s">
        <v>177</v>
      </c>
      <c r="F229" s="14" t="s">
        <v>72</v>
      </c>
      <c r="G229" s="12"/>
      <c r="H229" s="17" t="s">
        <v>250</v>
      </c>
      <c r="I229" s="17" t="s">
        <v>74</v>
      </c>
      <c r="J229" s="16" t="s">
        <v>845</v>
      </c>
      <c r="K229" s="12"/>
      <c r="L229" s="12"/>
      <c r="M229" s="12"/>
      <c r="N229" s="12"/>
      <c r="O229" s="19" t="s">
        <v>846</v>
      </c>
      <c r="P229" s="33">
        <v>39900</v>
      </c>
      <c r="Q229" s="25">
        <v>0.74</v>
      </c>
      <c r="R229" s="34" t="s">
        <v>847</v>
      </c>
      <c r="S229" s="34" t="s">
        <v>848</v>
      </c>
      <c r="T229" s="12"/>
      <c r="U229" s="12">
        <v>3.54</v>
      </c>
      <c r="V229" s="12"/>
      <c r="W229" s="12"/>
      <c r="X229" s="12"/>
      <c r="Y229" s="12"/>
      <c r="Z229" s="12"/>
      <c r="AA229" s="12"/>
    </row>
    <row r="230" spans="1:27" ht="169" x14ac:dyDescent="0.2">
      <c r="A230" s="23" t="s">
        <v>829</v>
      </c>
      <c r="B230" s="14" t="s">
        <v>849</v>
      </c>
      <c r="C230" s="14" t="s">
        <v>101</v>
      </c>
      <c r="D230" s="12"/>
      <c r="E230" s="16" t="s">
        <v>191</v>
      </c>
      <c r="F230" s="14" t="s">
        <v>72</v>
      </c>
      <c r="G230" s="14" t="s">
        <v>186</v>
      </c>
      <c r="H230" s="16" t="s">
        <v>850</v>
      </c>
      <c r="I230" s="16" t="s">
        <v>74</v>
      </c>
      <c r="J230" s="122" t="s">
        <v>851</v>
      </c>
      <c r="K230" s="24">
        <v>31</v>
      </c>
      <c r="L230" s="18">
        <v>1430</v>
      </c>
      <c r="M230" s="16" t="s">
        <v>76</v>
      </c>
      <c r="N230" s="24">
        <v>3.8</v>
      </c>
      <c r="O230" s="19" t="s">
        <v>852</v>
      </c>
      <c r="P230" s="33">
        <v>35206</v>
      </c>
      <c r="Q230" s="25">
        <v>0.67</v>
      </c>
      <c r="R230" s="14" t="s">
        <v>96</v>
      </c>
      <c r="S230" s="14" t="s">
        <v>853</v>
      </c>
      <c r="T230" s="12"/>
      <c r="U230" s="12">
        <v>3.71</v>
      </c>
      <c r="V230" s="12"/>
      <c r="W230" s="12"/>
      <c r="X230" s="12"/>
      <c r="Y230" s="12"/>
      <c r="Z230" s="12"/>
      <c r="AA230" s="12"/>
    </row>
    <row r="231" spans="1:27" ht="224" x14ac:dyDescent="0.2">
      <c r="A231" s="23" t="s">
        <v>829</v>
      </c>
      <c r="B231" s="14" t="s">
        <v>854</v>
      </c>
      <c r="C231" s="14" t="s">
        <v>101</v>
      </c>
      <c r="D231" s="12"/>
      <c r="E231" s="14" t="s">
        <v>238</v>
      </c>
      <c r="F231" s="14" t="s">
        <v>72</v>
      </c>
      <c r="G231" s="12"/>
      <c r="H231" s="17" t="s">
        <v>837</v>
      </c>
      <c r="I231" s="17">
        <v>3</v>
      </c>
      <c r="J231" s="16" t="s">
        <v>855</v>
      </c>
      <c r="K231" s="24">
        <v>27</v>
      </c>
      <c r="L231" s="24">
        <v>1210</v>
      </c>
      <c r="M231" s="14" t="s">
        <v>197</v>
      </c>
      <c r="N231" s="24">
        <v>3.75</v>
      </c>
      <c r="O231" s="30" t="str">
        <f>HYPERLINK("http://www.graceland.edu/financial-aid/graceland-competitive-scholarships","http://www.graceland.edu/financial-aid/graceland-competitive-scholarships")</f>
        <v>http://www.graceland.edu/financial-aid/graceland-competitive-scholarships</v>
      </c>
      <c r="P231" s="33">
        <v>27010</v>
      </c>
      <c r="Q231" s="25">
        <v>0.48</v>
      </c>
      <c r="R231" s="14" t="s">
        <v>259</v>
      </c>
      <c r="S231" s="14" t="s">
        <v>856</v>
      </c>
      <c r="T231" s="12"/>
      <c r="U231" s="12">
        <v>3.22</v>
      </c>
      <c r="V231" s="12"/>
      <c r="W231" s="12"/>
      <c r="X231" s="12"/>
      <c r="Y231" s="12"/>
      <c r="Z231" s="12"/>
      <c r="AA231" s="12"/>
    </row>
    <row r="232" spans="1:27" ht="252.75" customHeight="1" x14ac:dyDescent="0.2">
      <c r="A232" s="23" t="s">
        <v>829</v>
      </c>
      <c r="B232" s="14" t="s">
        <v>857</v>
      </c>
      <c r="C232" s="14" t="s">
        <v>101</v>
      </c>
      <c r="D232" s="17" t="s">
        <v>858</v>
      </c>
      <c r="E232" s="16" t="s">
        <v>88</v>
      </c>
      <c r="F232" s="14" t="s">
        <v>72</v>
      </c>
      <c r="G232" s="12"/>
      <c r="H232" s="17" t="s">
        <v>859</v>
      </c>
      <c r="I232" s="17">
        <v>1</v>
      </c>
      <c r="J232" s="14" t="s">
        <v>860</v>
      </c>
      <c r="K232" s="12"/>
      <c r="L232" s="12"/>
      <c r="M232" s="12"/>
      <c r="N232" s="12"/>
      <c r="O232" s="30" t="str">
        <f>HYPERLINK("http://admissions.grandview.edu/aspx/audience/content.aspx?pageid=1640&amp;aid=1","http://admissions.grandview.edu/aspx/audience/content.aspx?pageid=1640&amp;aid=1")</f>
        <v>http://admissions.grandview.edu/aspx/audience/content.aspx?pageid=1640&amp;aid=1</v>
      </c>
      <c r="P232" s="33">
        <v>25474</v>
      </c>
      <c r="Q232" s="25">
        <v>0.98</v>
      </c>
      <c r="R232" s="12" t="s">
        <v>550</v>
      </c>
      <c r="S232" s="12" t="s">
        <v>861</v>
      </c>
      <c r="T232" s="12"/>
      <c r="U232" s="12">
        <v>3.23</v>
      </c>
      <c r="V232" s="12"/>
      <c r="W232" s="12"/>
      <c r="X232" s="12"/>
      <c r="Y232" s="12"/>
      <c r="Z232" s="12"/>
      <c r="AA232" s="12"/>
    </row>
    <row r="233" spans="1:27" ht="205.5" customHeight="1" x14ac:dyDescent="0.2">
      <c r="A233" s="12" t="s">
        <v>829</v>
      </c>
      <c r="B233" s="12" t="s">
        <v>862</v>
      </c>
      <c r="C233" s="12" t="s">
        <v>101</v>
      </c>
      <c r="D233" s="12"/>
      <c r="E233" s="12" t="s">
        <v>88</v>
      </c>
      <c r="F233" s="12" t="s">
        <v>72</v>
      </c>
      <c r="G233" s="12"/>
      <c r="H233" s="17" t="s">
        <v>863</v>
      </c>
      <c r="I233" s="17" t="s">
        <v>74</v>
      </c>
      <c r="J233" s="12" t="s">
        <v>864</v>
      </c>
      <c r="K233" s="12"/>
      <c r="L233" s="12"/>
      <c r="M233" s="12"/>
      <c r="N233" s="12"/>
      <c r="O233" s="30" t="str">
        <f>HYPERLINK("https://www.grinnell.edu/financial-aid/merit-scholarships","https://www.grinnell.edu/financial-aid/merit-scholarships")</f>
        <v>https://www.grinnell.edu/financial-aid/merit-scholarships</v>
      </c>
      <c r="P233" s="95">
        <v>48758</v>
      </c>
      <c r="Q233" s="91">
        <v>0.25</v>
      </c>
      <c r="R233" s="12" t="s">
        <v>497</v>
      </c>
      <c r="S233" s="12" t="s">
        <v>865</v>
      </c>
      <c r="T233" s="12"/>
      <c r="U233" s="12" t="s">
        <v>81</v>
      </c>
      <c r="V233" s="12"/>
      <c r="W233" s="12"/>
      <c r="X233" s="12"/>
      <c r="Y233" s="12"/>
      <c r="Z233" s="12"/>
      <c r="AA233" s="12"/>
    </row>
    <row r="234" spans="1:27" ht="205.5" customHeight="1" x14ac:dyDescent="0.2">
      <c r="A234" s="23" t="s">
        <v>829</v>
      </c>
      <c r="B234" s="14" t="s">
        <v>866</v>
      </c>
      <c r="C234" s="14" t="s">
        <v>59</v>
      </c>
      <c r="D234" s="16" t="s">
        <v>867</v>
      </c>
      <c r="E234" s="14" t="s">
        <v>111</v>
      </c>
      <c r="F234" s="14" t="s">
        <v>72</v>
      </c>
      <c r="G234" s="12"/>
      <c r="H234" s="17" t="s">
        <v>868</v>
      </c>
      <c r="I234" s="17">
        <v>100</v>
      </c>
      <c r="J234" s="123" t="s">
        <v>869</v>
      </c>
      <c r="K234" s="12"/>
      <c r="L234" s="12"/>
      <c r="M234" s="12"/>
      <c r="N234" s="12"/>
      <c r="O234" s="19" t="s">
        <v>870</v>
      </c>
      <c r="P234" s="14" t="s">
        <v>871</v>
      </c>
      <c r="Q234" s="25">
        <v>0.87</v>
      </c>
      <c r="R234" s="14" t="s">
        <v>224</v>
      </c>
      <c r="S234" s="14" t="s">
        <v>872</v>
      </c>
      <c r="T234" s="12"/>
      <c r="U234" s="12">
        <v>3.5</v>
      </c>
      <c r="V234" s="12"/>
      <c r="W234" s="12"/>
      <c r="X234" s="12"/>
      <c r="Y234" s="12"/>
      <c r="Z234" s="12"/>
      <c r="AA234" s="12"/>
    </row>
    <row r="235" spans="1:27" ht="66" x14ac:dyDescent="0.2">
      <c r="A235" s="23" t="s">
        <v>829</v>
      </c>
      <c r="B235" s="14" t="s">
        <v>873</v>
      </c>
      <c r="C235" s="14" t="s">
        <v>101</v>
      </c>
      <c r="D235" s="12"/>
      <c r="E235" s="14" t="s">
        <v>177</v>
      </c>
      <c r="F235" s="14" t="s">
        <v>72</v>
      </c>
      <c r="G235" s="12"/>
      <c r="H235" s="17" t="s">
        <v>837</v>
      </c>
      <c r="I235" s="17">
        <v>3</v>
      </c>
      <c r="J235" s="16" t="s">
        <v>874</v>
      </c>
      <c r="K235" s="18">
        <v>26</v>
      </c>
      <c r="L235" s="12"/>
      <c r="M235" s="12"/>
      <c r="N235" s="18">
        <v>3.5</v>
      </c>
      <c r="O235" s="30" t="str">
        <f>HYPERLINK("http://www.loras.edu/financial-aid/scholarshipsgrants-page/","http://www.loras.edu/financial-aid/scholarshipsgrants-page/")</f>
        <v>http://www.loras.edu/financial-aid/scholarshipsgrants-page/</v>
      </c>
      <c r="P235" s="33">
        <v>31525</v>
      </c>
      <c r="Q235" s="25">
        <v>0.95</v>
      </c>
      <c r="R235" s="12" t="s">
        <v>565</v>
      </c>
      <c r="S235" s="12" t="s">
        <v>875</v>
      </c>
      <c r="T235" s="12"/>
      <c r="U235" s="12">
        <v>3.46</v>
      </c>
      <c r="V235" s="12"/>
      <c r="W235" s="12"/>
      <c r="X235" s="12"/>
      <c r="Y235" s="12"/>
      <c r="Z235" s="12"/>
      <c r="AA235" s="12"/>
    </row>
    <row r="236" spans="1:27" ht="128" x14ac:dyDescent="0.2">
      <c r="A236" s="23" t="s">
        <v>829</v>
      </c>
      <c r="B236" s="14" t="s">
        <v>876</v>
      </c>
      <c r="C236" s="14" t="s">
        <v>101</v>
      </c>
      <c r="D236" s="12"/>
      <c r="E236" s="14" t="s">
        <v>177</v>
      </c>
      <c r="F236" s="14" t="s">
        <v>72</v>
      </c>
      <c r="G236" s="12"/>
      <c r="H236" s="17" t="s">
        <v>837</v>
      </c>
      <c r="I236" s="17" t="s">
        <v>74</v>
      </c>
      <c r="J236" s="16" t="s">
        <v>877</v>
      </c>
      <c r="K236" s="18">
        <v>26</v>
      </c>
      <c r="L236" s="17">
        <v>1240</v>
      </c>
      <c r="M236" s="17" t="s">
        <v>76</v>
      </c>
      <c r="N236" s="18">
        <v>3.7</v>
      </c>
      <c r="O236" s="30" t="str">
        <f>HYPERLINK("https://www.mtmercy.edu/scholarships-and-grants","https://www.mtmercy.edu/scholarships-and-grants")</f>
        <v>https://www.mtmercy.edu/scholarships-and-grants</v>
      </c>
      <c r="P236" s="33">
        <v>29696</v>
      </c>
      <c r="Q236" s="25">
        <v>0.61</v>
      </c>
      <c r="R236" s="12" t="s">
        <v>130</v>
      </c>
      <c r="S236" s="12" t="s">
        <v>878</v>
      </c>
      <c r="T236" s="12"/>
      <c r="U236" s="12">
        <v>3.4</v>
      </c>
      <c r="V236" s="12"/>
      <c r="W236" s="12"/>
      <c r="X236" s="12"/>
      <c r="Y236" s="12"/>
      <c r="Z236" s="12"/>
      <c r="AA236" s="12"/>
    </row>
    <row r="237" spans="1:27" ht="282" customHeight="1" x14ac:dyDescent="0.2">
      <c r="A237" s="109" t="s">
        <v>829</v>
      </c>
      <c r="B237" s="110" t="s">
        <v>879</v>
      </c>
      <c r="C237" s="110" t="s">
        <v>101</v>
      </c>
      <c r="D237" s="112"/>
      <c r="E237" s="110" t="s">
        <v>880</v>
      </c>
      <c r="F237" s="110" t="s">
        <v>72</v>
      </c>
      <c r="G237" s="112"/>
      <c r="H237" s="117" t="s">
        <v>881</v>
      </c>
      <c r="I237" s="117" t="s">
        <v>74</v>
      </c>
      <c r="J237" s="112" t="s">
        <v>882</v>
      </c>
      <c r="K237" s="112"/>
      <c r="L237" s="112"/>
      <c r="M237" s="112"/>
      <c r="N237" s="112"/>
      <c r="O237" s="113" t="str">
        <f t="shared" ref="O237:O239" si="31">HYPERLINK("http://simpson.edu/financial-aid/first-year-student-scholarships-and-grants/","http://simpson.edu/financial-aid/first-year-student-scholarships-and-grants/")</f>
        <v>http://simpson.edu/financial-aid/first-year-student-scholarships-and-grants/</v>
      </c>
      <c r="P237" s="124">
        <v>35876</v>
      </c>
      <c r="Q237" s="125">
        <v>0.89</v>
      </c>
      <c r="R237" s="126" t="s">
        <v>182</v>
      </c>
      <c r="S237" s="112" t="s">
        <v>878</v>
      </c>
      <c r="T237" s="112"/>
      <c r="U237" s="112" t="s">
        <v>81</v>
      </c>
      <c r="V237" s="112"/>
      <c r="W237" s="112"/>
      <c r="X237" s="112"/>
      <c r="Y237" s="112"/>
      <c r="Z237" s="112"/>
      <c r="AA237" s="112"/>
    </row>
    <row r="238" spans="1:27" ht="217" x14ac:dyDescent="0.2">
      <c r="A238" s="23" t="s">
        <v>829</v>
      </c>
      <c r="B238" s="14" t="s">
        <v>879</v>
      </c>
      <c r="C238" s="14" t="s">
        <v>101</v>
      </c>
      <c r="D238" s="12"/>
      <c r="E238" s="14" t="s">
        <v>883</v>
      </c>
      <c r="F238" s="14" t="s">
        <v>72</v>
      </c>
      <c r="G238" s="12"/>
      <c r="H238" s="17" t="s">
        <v>454</v>
      </c>
      <c r="I238" s="17" t="s">
        <v>74</v>
      </c>
      <c r="J238" s="56" t="s">
        <v>884</v>
      </c>
      <c r="K238" s="12"/>
      <c r="L238" s="12"/>
      <c r="M238" s="12"/>
      <c r="N238" s="12"/>
      <c r="O238" s="30" t="str">
        <f t="shared" si="31"/>
        <v>http://simpson.edu/financial-aid/first-year-student-scholarships-and-grants/</v>
      </c>
      <c r="P238" s="33">
        <v>35876</v>
      </c>
      <c r="Q238" s="58">
        <v>0.89</v>
      </c>
      <c r="R238" s="34" t="s">
        <v>182</v>
      </c>
      <c r="S238" s="12" t="s">
        <v>878</v>
      </c>
      <c r="T238" s="12"/>
      <c r="U238" s="12" t="s">
        <v>81</v>
      </c>
      <c r="V238" s="12"/>
      <c r="W238" s="12"/>
      <c r="X238" s="12"/>
      <c r="Y238" s="12"/>
      <c r="Z238" s="12"/>
      <c r="AA238" s="12"/>
    </row>
    <row r="239" spans="1:27" ht="300" customHeight="1" x14ac:dyDescent="0.2">
      <c r="A239" s="23" t="s">
        <v>829</v>
      </c>
      <c r="B239" s="14" t="s">
        <v>879</v>
      </c>
      <c r="C239" s="14" t="s">
        <v>101</v>
      </c>
      <c r="D239" s="12"/>
      <c r="E239" s="14" t="s">
        <v>885</v>
      </c>
      <c r="F239" s="16" t="s">
        <v>313</v>
      </c>
      <c r="G239" s="12"/>
      <c r="H239" s="17" t="s">
        <v>850</v>
      </c>
      <c r="I239" s="17" t="s">
        <v>74</v>
      </c>
      <c r="J239" s="14" t="s">
        <v>886</v>
      </c>
      <c r="K239" s="12"/>
      <c r="L239" s="12"/>
      <c r="M239" s="12"/>
      <c r="N239" s="12"/>
      <c r="O239" s="30" t="str">
        <f t="shared" si="31"/>
        <v>http://simpson.edu/financial-aid/first-year-student-scholarships-and-grants/</v>
      </c>
      <c r="P239" s="33">
        <v>35876</v>
      </c>
      <c r="Q239" s="58">
        <v>0.89</v>
      </c>
      <c r="R239" s="34" t="s">
        <v>182</v>
      </c>
      <c r="S239" s="12" t="s">
        <v>878</v>
      </c>
      <c r="T239" s="12"/>
      <c r="U239" s="12" t="s">
        <v>81</v>
      </c>
      <c r="V239" s="12"/>
      <c r="W239" s="12"/>
      <c r="X239" s="12"/>
      <c r="Y239" s="12"/>
      <c r="Z239" s="12"/>
      <c r="AA239" s="12"/>
    </row>
    <row r="240" spans="1:27" ht="142.5" customHeight="1" x14ac:dyDescent="0.2">
      <c r="A240" s="23" t="s">
        <v>829</v>
      </c>
      <c r="B240" s="14" t="s">
        <v>887</v>
      </c>
      <c r="C240" s="14" t="s">
        <v>101</v>
      </c>
      <c r="D240" s="12"/>
      <c r="E240" s="14" t="s">
        <v>60</v>
      </c>
      <c r="F240" s="14" t="s">
        <v>72</v>
      </c>
      <c r="G240" s="12"/>
      <c r="H240" s="17" t="s">
        <v>62</v>
      </c>
      <c r="I240" s="17" t="s">
        <v>74</v>
      </c>
      <c r="J240" s="14" t="s">
        <v>888</v>
      </c>
      <c r="K240" s="18">
        <v>30</v>
      </c>
      <c r="L240" s="12"/>
      <c r="M240" s="12"/>
      <c r="N240" s="18">
        <v>4</v>
      </c>
      <c r="O240" s="30" t="str">
        <f>HYPERLINK("http://www.sau.edu/Undergraduate_Admissions/Costs_and_Financial_Aid/Scholarships_and_Grants.html","http://www.sau.edu/Undergraduate_Admissions/Costs_and_Financial_Aid/Scholarships_and_Grants.html")</f>
        <v>http://www.sau.edu/Undergraduate_Admissions/Costs_and_Financial_Aid/Scholarships_and_Grants.html</v>
      </c>
      <c r="P240" s="33">
        <v>29150</v>
      </c>
      <c r="Q240" s="25">
        <v>0.73</v>
      </c>
      <c r="R240" s="14" t="s">
        <v>124</v>
      </c>
      <c r="S240" s="12" t="s">
        <v>878</v>
      </c>
      <c r="T240" s="12"/>
      <c r="U240" s="12">
        <v>3.26</v>
      </c>
      <c r="V240" s="12"/>
      <c r="W240" s="12"/>
      <c r="X240" s="12"/>
      <c r="Y240" s="12"/>
      <c r="Z240" s="12"/>
      <c r="AA240" s="12"/>
    </row>
    <row r="241" spans="1:27" ht="80.25" customHeight="1" x14ac:dyDescent="0.2">
      <c r="A241" s="11" t="s">
        <v>829</v>
      </c>
      <c r="B241" s="12" t="s">
        <v>889</v>
      </c>
      <c r="C241" s="26" t="s">
        <v>59</v>
      </c>
      <c r="D241" s="29" t="s">
        <v>194</v>
      </c>
      <c r="E241" s="12" t="s">
        <v>88</v>
      </c>
      <c r="F241" s="12" t="s">
        <v>72</v>
      </c>
      <c r="G241" s="12"/>
      <c r="H241" s="17" t="s">
        <v>890</v>
      </c>
      <c r="I241" s="17">
        <v>2</v>
      </c>
      <c r="J241" s="14" t="s">
        <v>891</v>
      </c>
      <c r="K241" s="24"/>
      <c r="L241" s="24"/>
      <c r="M241" s="26"/>
      <c r="N241" s="29">
        <v>3.5</v>
      </c>
      <c r="O241" s="30" t="str">
        <f>HYPERLINK("http://clas.uiowa.edu/students/scholarships","http://clas.uiowa.edu/students/scholarships")</f>
        <v>http://clas.uiowa.edu/students/scholarships</v>
      </c>
      <c r="P241" s="26" t="s">
        <v>892</v>
      </c>
      <c r="Q241" s="31">
        <v>0.81</v>
      </c>
      <c r="R241" s="26" t="s">
        <v>266</v>
      </c>
      <c r="S241" s="26" t="s">
        <v>893</v>
      </c>
      <c r="T241" s="12"/>
      <c r="U241" s="12">
        <v>3.63</v>
      </c>
      <c r="V241" s="12"/>
      <c r="W241" s="12"/>
      <c r="X241" s="12"/>
      <c r="Y241" s="12"/>
      <c r="Z241" s="12"/>
      <c r="AA241" s="12"/>
    </row>
    <row r="242" spans="1:27" ht="159" customHeight="1" x14ac:dyDescent="0.2">
      <c r="A242" s="11" t="s">
        <v>829</v>
      </c>
      <c r="B242" s="12" t="s">
        <v>889</v>
      </c>
      <c r="C242" s="26" t="s">
        <v>59</v>
      </c>
      <c r="D242" s="26"/>
      <c r="E242" s="17" t="s">
        <v>136</v>
      </c>
      <c r="F242" s="12" t="s">
        <v>72</v>
      </c>
      <c r="G242" s="12"/>
      <c r="H242" s="17" t="s">
        <v>62</v>
      </c>
      <c r="I242" s="17" t="s">
        <v>74</v>
      </c>
      <c r="J242" s="127" t="s">
        <v>894</v>
      </c>
      <c r="K242" s="24"/>
      <c r="L242" s="24"/>
      <c r="M242" s="26"/>
      <c r="N242" s="26"/>
      <c r="O242" s="30" t="str">
        <f>HYPERLINK("http://admissions.uiowa.edu/finances/scholarships-first-year-students","http://admissions.uiowa.edu/finances/scholarships-first-year-students")</f>
        <v>http://admissions.uiowa.edu/finances/scholarships-first-year-students</v>
      </c>
      <c r="P242" s="26" t="s">
        <v>892</v>
      </c>
      <c r="Q242" s="31">
        <v>0.81</v>
      </c>
      <c r="R242" s="26" t="s">
        <v>266</v>
      </c>
      <c r="S242" s="26" t="s">
        <v>893</v>
      </c>
      <c r="T242" s="12"/>
      <c r="U242" s="12">
        <v>3.63</v>
      </c>
      <c r="V242" s="12"/>
      <c r="W242" s="12"/>
      <c r="X242" s="12"/>
      <c r="Y242" s="12"/>
      <c r="Z242" s="12"/>
      <c r="AA242" s="12"/>
    </row>
    <row r="243" spans="1:27" ht="174" customHeight="1" x14ac:dyDescent="0.2">
      <c r="A243" s="11" t="s">
        <v>829</v>
      </c>
      <c r="B243" s="12" t="s">
        <v>889</v>
      </c>
      <c r="C243" s="26" t="s">
        <v>59</v>
      </c>
      <c r="D243" s="16" t="s">
        <v>194</v>
      </c>
      <c r="E243" s="14" t="s">
        <v>88</v>
      </c>
      <c r="F243" s="14" t="s">
        <v>61</v>
      </c>
      <c r="G243" s="12"/>
      <c r="H243" s="17" t="s">
        <v>62</v>
      </c>
      <c r="I243" s="17" t="s">
        <v>63</v>
      </c>
      <c r="J243" s="16" t="s">
        <v>895</v>
      </c>
      <c r="K243" s="18">
        <v>33</v>
      </c>
      <c r="L243" s="17">
        <v>1490</v>
      </c>
      <c r="M243" s="17" t="s">
        <v>76</v>
      </c>
      <c r="N243" s="12">
        <v>3.8</v>
      </c>
      <c r="O243" s="30" t="str">
        <f>HYPERLINK("https://admissions.uiowa.edu/finances/scholarships-first-year-students","https://admissions.uiowa.edu/finances/scholarships-first-year-students")</f>
        <v>https://admissions.uiowa.edu/finances/scholarships-first-year-students</v>
      </c>
      <c r="P243" s="26" t="s">
        <v>892</v>
      </c>
      <c r="Q243" s="31">
        <v>0.81</v>
      </c>
      <c r="R243" s="26" t="s">
        <v>266</v>
      </c>
      <c r="S243" s="26" t="s">
        <v>893</v>
      </c>
      <c r="T243" s="12"/>
      <c r="U243" s="12">
        <v>3.63</v>
      </c>
      <c r="V243" s="12"/>
      <c r="W243" s="12"/>
      <c r="X243" s="12"/>
      <c r="Y243" s="12"/>
      <c r="Z243" s="12"/>
      <c r="AA243" s="12"/>
    </row>
    <row r="244" spans="1:27" ht="126.75" customHeight="1" x14ac:dyDescent="0.2">
      <c r="A244" s="23" t="s">
        <v>829</v>
      </c>
      <c r="B244" s="14" t="s">
        <v>896</v>
      </c>
      <c r="C244" s="14" t="s">
        <v>59</v>
      </c>
      <c r="D244" s="16" t="s">
        <v>194</v>
      </c>
      <c r="E244" s="14" t="s">
        <v>243</v>
      </c>
      <c r="F244" s="14" t="s">
        <v>72</v>
      </c>
      <c r="G244" s="12"/>
      <c r="H244" s="17" t="s">
        <v>897</v>
      </c>
      <c r="I244" s="17" t="s">
        <v>74</v>
      </c>
      <c r="J244" s="14" t="s">
        <v>898</v>
      </c>
      <c r="K244" s="24">
        <v>26</v>
      </c>
      <c r="L244" s="12"/>
      <c r="M244" s="12"/>
      <c r="N244" s="12"/>
      <c r="O244" s="30" t="str">
        <f>HYPERLINK("http://uni.edu/finaid/sites/default/files/ScholarshipInfo_WEB.pdf","http://uni.edu/finaid/sites/default/files/ScholarshipInfo_WEB.pdf")</f>
        <v>http://uni.edu/finaid/sites/default/files/ScholarshipInfo_WEB.pdf</v>
      </c>
      <c r="P244" s="14" t="s">
        <v>899</v>
      </c>
      <c r="Q244" s="25">
        <v>0.8</v>
      </c>
      <c r="R244" s="14" t="s">
        <v>124</v>
      </c>
      <c r="S244" s="14" t="s">
        <v>878</v>
      </c>
      <c r="T244" s="12"/>
      <c r="U244" s="12">
        <v>3.5</v>
      </c>
      <c r="V244" s="12"/>
      <c r="W244" s="12"/>
      <c r="X244" s="12"/>
      <c r="Y244" s="12"/>
      <c r="Z244" s="12"/>
      <c r="AA244" s="12"/>
    </row>
    <row r="245" spans="1:27" ht="189.75" customHeight="1" x14ac:dyDescent="0.2">
      <c r="A245" s="23" t="s">
        <v>829</v>
      </c>
      <c r="B245" s="14" t="s">
        <v>900</v>
      </c>
      <c r="C245" s="14" t="s">
        <v>101</v>
      </c>
      <c r="D245" s="17" t="s">
        <v>901</v>
      </c>
      <c r="E245" s="14" t="s">
        <v>177</v>
      </c>
      <c r="F245" s="14" t="s">
        <v>72</v>
      </c>
      <c r="G245" s="12"/>
      <c r="H245" s="17" t="s">
        <v>902</v>
      </c>
      <c r="I245" s="17" t="s">
        <v>74</v>
      </c>
      <c r="J245" s="14" t="s">
        <v>903</v>
      </c>
      <c r="K245" s="12"/>
      <c r="L245" s="12"/>
      <c r="M245" s="12"/>
      <c r="N245" s="12"/>
      <c r="O245" s="30" t="str">
        <f>HYPERLINK("http://www.wartburg.edu/scholarships/","http://www.wartburg.edu/scholarships/")</f>
        <v>http://www.wartburg.edu/scholarships/</v>
      </c>
      <c r="P245" s="33">
        <v>38380</v>
      </c>
      <c r="Q245" s="25">
        <v>0.74</v>
      </c>
      <c r="R245" s="34" t="s">
        <v>182</v>
      </c>
      <c r="S245" s="34" t="s">
        <v>904</v>
      </c>
      <c r="T245" s="12"/>
      <c r="U245" s="12">
        <v>3.56</v>
      </c>
      <c r="V245" s="12"/>
      <c r="W245" s="12"/>
      <c r="X245" s="12"/>
      <c r="Y245" s="12"/>
      <c r="Z245" s="12"/>
      <c r="AA245" s="12"/>
    </row>
    <row r="246" spans="1:27" ht="79.5" customHeight="1" x14ac:dyDescent="0.2">
      <c r="A246" s="109" t="s">
        <v>905</v>
      </c>
      <c r="B246" s="110" t="s">
        <v>906</v>
      </c>
      <c r="C246" s="110" t="s">
        <v>101</v>
      </c>
      <c r="D246" s="112"/>
      <c r="E246" s="110" t="s">
        <v>60</v>
      </c>
      <c r="F246" s="110" t="s">
        <v>61</v>
      </c>
      <c r="G246" s="112"/>
      <c r="H246" s="117" t="s">
        <v>62</v>
      </c>
      <c r="I246" s="117" t="s">
        <v>63</v>
      </c>
      <c r="J246" s="110" t="s">
        <v>907</v>
      </c>
      <c r="K246" s="119">
        <v>30</v>
      </c>
      <c r="L246" s="120">
        <v>1390</v>
      </c>
      <c r="M246" s="128" t="s">
        <v>76</v>
      </c>
      <c r="N246" s="119">
        <v>3.85</v>
      </c>
      <c r="O246" s="121" t="s">
        <v>908</v>
      </c>
      <c r="P246" s="124">
        <v>3920</v>
      </c>
      <c r="Q246" s="114">
        <v>0.97</v>
      </c>
      <c r="R246" s="110" t="s">
        <v>124</v>
      </c>
      <c r="S246" s="110" t="s">
        <v>909</v>
      </c>
      <c r="T246" s="112"/>
      <c r="U246" s="112" t="s">
        <v>81</v>
      </c>
      <c r="V246" s="112"/>
      <c r="W246" s="112"/>
      <c r="X246" s="112"/>
      <c r="Y246" s="112"/>
      <c r="Z246" s="112"/>
      <c r="AA246" s="112"/>
    </row>
    <row r="247" spans="1:27" ht="111" customHeight="1" x14ac:dyDescent="0.2">
      <c r="A247" s="23" t="s">
        <v>905</v>
      </c>
      <c r="B247" s="14" t="s">
        <v>910</v>
      </c>
      <c r="C247" s="14" t="s">
        <v>59</v>
      </c>
      <c r="D247" s="12"/>
      <c r="E247" s="14" t="s">
        <v>111</v>
      </c>
      <c r="F247" s="14" t="s">
        <v>92</v>
      </c>
      <c r="G247" s="12"/>
      <c r="H247" s="17" t="s">
        <v>93</v>
      </c>
      <c r="I247" s="17" t="s">
        <v>63</v>
      </c>
      <c r="J247" s="14" t="s">
        <v>911</v>
      </c>
      <c r="K247" s="12"/>
      <c r="L247" s="12"/>
      <c r="M247" s="12"/>
      <c r="N247" s="12"/>
      <c r="O247" s="30" t="str">
        <f>HYPERLINK("http://www.uidaho.edu/financial-aid/scholarships/national-merit-scholarship","http://www.uidaho.edu/financial-aid/scholarships/national-merit-scholarship")</f>
        <v>http://www.uidaho.edu/financial-aid/scholarships/national-merit-scholarship</v>
      </c>
      <c r="P247" s="14" t="s">
        <v>912</v>
      </c>
      <c r="Q247" s="25">
        <v>0.72</v>
      </c>
      <c r="R247" s="14" t="s">
        <v>126</v>
      </c>
      <c r="S247" s="14" t="s">
        <v>913</v>
      </c>
      <c r="T247" s="12"/>
      <c r="U247" s="12">
        <v>3.4</v>
      </c>
      <c r="V247" s="12"/>
      <c r="W247" s="12"/>
      <c r="X247" s="12"/>
      <c r="Y247" s="12"/>
      <c r="Z247" s="12"/>
      <c r="AA247" s="12"/>
    </row>
    <row r="248" spans="1:27" ht="254" x14ac:dyDescent="0.2">
      <c r="A248" s="11" t="s">
        <v>914</v>
      </c>
      <c r="B248" s="12" t="s">
        <v>915</v>
      </c>
      <c r="C248" s="26" t="s">
        <v>59</v>
      </c>
      <c r="D248" s="12"/>
      <c r="E248" s="12" t="s">
        <v>60</v>
      </c>
      <c r="F248" s="11" t="s">
        <v>72</v>
      </c>
      <c r="G248" s="12"/>
      <c r="H248" s="17" t="s">
        <v>850</v>
      </c>
      <c r="I248" s="17" t="s">
        <v>916</v>
      </c>
      <c r="J248" s="32" t="s">
        <v>917</v>
      </c>
      <c r="K248" s="28">
        <v>20</v>
      </c>
      <c r="L248" s="12"/>
      <c r="M248" s="12"/>
      <c r="N248" s="26">
        <v>3.35</v>
      </c>
      <c r="O248" s="30" t="str">
        <f>HYPERLINK("http://www.csu.edu/honors/presidentialScholars.htm","http://www.csu.edu/honors/presidentialScholars.htm")</f>
        <v>http://www.csu.edu/honors/presidentialScholars.htm</v>
      </c>
      <c r="P248" s="26" t="s">
        <v>918</v>
      </c>
      <c r="Q248" s="31">
        <v>0.3</v>
      </c>
      <c r="R248" s="26" t="s">
        <v>750</v>
      </c>
      <c r="S248" s="26" t="s">
        <v>878</v>
      </c>
      <c r="T248" s="12"/>
      <c r="U248" s="12">
        <v>3.03</v>
      </c>
      <c r="V248" s="12"/>
      <c r="W248" s="12"/>
      <c r="X248" s="12"/>
      <c r="Y248" s="12"/>
      <c r="Z248" s="12"/>
      <c r="AA248" s="12"/>
    </row>
    <row r="249" spans="1:27" ht="111" customHeight="1" x14ac:dyDescent="0.2">
      <c r="A249" s="23" t="s">
        <v>914</v>
      </c>
      <c r="B249" s="14" t="s">
        <v>919</v>
      </c>
      <c r="C249" s="14" t="s">
        <v>101</v>
      </c>
      <c r="D249" s="12"/>
      <c r="E249" s="14" t="s">
        <v>60</v>
      </c>
      <c r="F249" s="14" t="s">
        <v>61</v>
      </c>
      <c r="G249" s="12"/>
      <c r="H249" s="17" t="s">
        <v>239</v>
      </c>
      <c r="I249" s="17" t="s">
        <v>74</v>
      </c>
      <c r="J249" s="16" t="s">
        <v>920</v>
      </c>
      <c r="K249" s="12"/>
      <c r="L249" s="12"/>
      <c r="M249" s="12"/>
      <c r="N249" s="12"/>
      <c r="O249" s="30" t="str">
        <f>HYPERLINK("https://www.cuchicago.edu/admission-financial-aid/undergraduate/tuition-financial-aid/types-of-aid/scholarships/","https://www.cuchicago.edu/admission-financial-aid/undergraduate/tuition-financial-aid/types-of-aid/scholarships/")</f>
        <v>https://www.cuchicago.edu/admission-financial-aid/undergraduate/tuition-financial-aid/types-of-aid/scholarships/</v>
      </c>
      <c r="P249" s="88">
        <v>30656</v>
      </c>
      <c r="Q249" s="25">
        <v>0.5</v>
      </c>
      <c r="R249" s="14" t="s">
        <v>124</v>
      </c>
      <c r="S249" s="14" t="s">
        <v>921</v>
      </c>
      <c r="T249" s="12"/>
      <c r="U249" s="12">
        <v>2.98</v>
      </c>
      <c r="V249" s="12"/>
      <c r="W249" s="12"/>
      <c r="X249" s="12"/>
      <c r="Y249" s="12"/>
      <c r="Z249" s="12"/>
      <c r="AA249" s="12"/>
    </row>
    <row r="250" spans="1:27" ht="189.75" customHeight="1" x14ac:dyDescent="0.2">
      <c r="A250" s="23" t="s">
        <v>914</v>
      </c>
      <c r="B250" s="14" t="s">
        <v>922</v>
      </c>
      <c r="C250" s="14" t="s">
        <v>59</v>
      </c>
      <c r="D250" s="14"/>
      <c r="E250" s="14" t="s">
        <v>60</v>
      </c>
      <c r="F250" s="14" t="s">
        <v>72</v>
      </c>
      <c r="G250" s="14" t="s">
        <v>186</v>
      </c>
      <c r="H250" s="16" t="s">
        <v>62</v>
      </c>
      <c r="I250" s="16">
        <v>15</v>
      </c>
      <c r="J250" s="14" t="s">
        <v>923</v>
      </c>
      <c r="K250" s="24">
        <v>28</v>
      </c>
      <c r="L250" s="12"/>
      <c r="M250" s="12"/>
      <c r="N250" s="18">
        <v>3.5</v>
      </c>
      <c r="O250" s="30" t="str">
        <f t="shared" ref="O250:O251" si="32">HYPERLINK("http://www.eiu.edu/honprog/Freshman_scholarships.php","http://www.eiu.edu/honprog/Freshman_scholarships.php")</f>
        <v>http://www.eiu.edu/honprog/Freshman_scholarships.php</v>
      </c>
      <c r="P250" s="14" t="s">
        <v>924</v>
      </c>
      <c r="Q250" s="31">
        <v>0.5</v>
      </c>
      <c r="R250" s="26" t="s">
        <v>385</v>
      </c>
      <c r="S250" s="26" t="s">
        <v>878</v>
      </c>
      <c r="T250" s="12"/>
      <c r="U250" s="12">
        <v>3.08</v>
      </c>
      <c r="V250" s="12"/>
      <c r="W250" s="12"/>
      <c r="X250" s="12"/>
      <c r="Y250" s="12"/>
      <c r="Z250" s="12"/>
      <c r="AA250" s="12"/>
    </row>
    <row r="251" spans="1:27" ht="193" x14ac:dyDescent="0.2">
      <c r="A251" s="23" t="s">
        <v>914</v>
      </c>
      <c r="B251" s="14" t="s">
        <v>922</v>
      </c>
      <c r="C251" s="14" t="s">
        <v>59</v>
      </c>
      <c r="D251" s="14"/>
      <c r="E251" s="14" t="s">
        <v>111</v>
      </c>
      <c r="F251" s="14" t="s">
        <v>72</v>
      </c>
      <c r="G251" s="14" t="s">
        <v>186</v>
      </c>
      <c r="H251" s="16" t="s">
        <v>62</v>
      </c>
      <c r="I251" s="16">
        <v>5</v>
      </c>
      <c r="J251" s="122" t="s">
        <v>925</v>
      </c>
      <c r="K251" s="24">
        <v>31</v>
      </c>
      <c r="L251" s="17">
        <v>1420</v>
      </c>
      <c r="M251" s="17" t="s">
        <v>76</v>
      </c>
      <c r="N251" s="24">
        <v>3.75</v>
      </c>
      <c r="O251" s="30" t="str">
        <f t="shared" si="32"/>
        <v>http://www.eiu.edu/honprog/Freshman_scholarships.php</v>
      </c>
      <c r="P251" s="14" t="s">
        <v>924</v>
      </c>
      <c r="Q251" s="31">
        <v>0.5</v>
      </c>
      <c r="R251" s="26" t="s">
        <v>385</v>
      </c>
      <c r="S251" s="26" t="s">
        <v>878</v>
      </c>
      <c r="T251" s="12"/>
      <c r="U251" s="12">
        <v>3.08</v>
      </c>
      <c r="V251" s="12"/>
      <c r="W251" s="12"/>
      <c r="X251" s="12"/>
      <c r="Y251" s="12"/>
      <c r="Z251" s="12"/>
      <c r="AA251" s="12"/>
    </row>
    <row r="252" spans="1:27" ht="78" customHeight="1" x14ac:dyDescent="0.2">
      <c r="A252" s="11" t="s">
        <v>914</v>
      </c>
      <c r="B252" s="12" t="s">
        <v>926</v>
      </c>
      <c r="C252" s="26" t="s">
        <v>101</v>
      </c>
      <c r="D252" s="12"/>
      <c r="E252" s="11" t="s">
        <v>88</v>
      </c>
      <c r="F252" s="11" t="s">
        <v>72</v>
      </c>
      <c r="G252" s="12"/>
      <c r="H252" s="17" t="s">
        <v>553</v>
      </c>
      <c r="I252" s="17">
        <v>6</v>
      </c>
      <c r="J252" s="26" t="s">
        <v>927</v>
      </c>
      <c r="K252" s="12"/>
      <c r="L252" s="12"/>
      <c r="M252" s="12"/>
      <c r="N252" s="12"/>
      <c r="O252" s="30" t="str">
        <f>HYPERLINK("http://www.eureka.edu/reagan/reagan-fellows/","http://www.eureka.edu/reagan/reagan-fellows/")</f>
        <v>http://www.eureka.edu/reagan/reagan-fellows/</v>
      </c>
      <c r="P252" s="38">
        <v>21120</v>
      </c>
      <c r="Q252" s="31">
        <v>0.65</v>
      </c>
      <c r="R252" s="26" t="s">
        <v>928</v>
      </c>
      <c r="S252" s="26" t="s">
        <v>929</v>
      </c>
      <c r="T252" s="12"/>
      <c r="U252" s="12">
        <v>3.2</v>
      </c>
      <c r="V252" s="12"/>
      <c r="W252" s="12"/>
      <c r="X252" s="12"/>
      <c r="Y252" s="12"/>
      <c r="Z252" s="12"/>
      <c r="AA252" s="12"/>
    </row>
    <row r="253" spans="1:27" ht="169" x14ac:dyDescent="0.2">
      <c r="A253" s="23" t="s">
        <v>914</v>
      </c>
      <c r="B253" s="14" t="s">
        <v>930</v>
      </c>
      <c r="C253" s="14" t="s">
        <v>101</v>
      </c>
      <c r="D253" s="12"/>
      <c r="E253" s="14" t="s">
        <v>177</v>
      </c>
      <c r="F253" s="14" t="s">
        <v>72</v>
      </c>
      <c r="G253" s="12"/>
      <c r="H253" s="17" t="s">
        <v>553</v>
      </c>
      <c r="I253" s="17">
        <v>5</v>
      </c>
      <c r="J253" s="56" t="s">
        <v>931</v>
      </c>
      <c r="K253" s="12"/>
      <c r="L253" s="12"/>
      <c r="M253" s="12"/>
      <c r="N253" s="12"/>
      <c r="O253" s="30" t="str">
        <f>HYPERLINK("http://www.ic.edu/sfs/meritscholarships","http://www.ic.edu/sfs/meritscholarships")</f>
        <v>http://www.ic.edu/sfs/meritscholarships</v>
      </c>
      <c r="P253" s="33">
        <v>31660</v>
      </c>
      <c r="Q253" s="25">
        <v>0.61</v>
      </c>
      <c r="R253" s="34" t="s">
        <v>442</v>
      </c>
      <c r="S253" s="34" t="s">
        <v>932</v>
      </c>
      <c r="T253" s="12"/>
      <c r="U253" s="12">
        <v>3.52</v>
      </c>
      <c r="V253" s="12"/>
      <c r="W253" s="12"/>
      <c r="X253" s="12"/>
      <c r="Y253" s="12"/>
      <c r="Z253" s="12"/>
      <c r="AA253" s="12"/>
    </row>
    <row r="254" spans="1:27" ht="158.25" customHeight="1" x14ac:dyDescent="0.2">
      <c r="A254" s="23" t="s">
        <v>914</v>
      </c>
      <c r="B254" s="14" t="s">
        <v>933</v>
      </c>
      <c r="C254" s="14" t="s">
        <v>101</v>
      </c>
      <c r="D254" s="12"/>
      <c r="E254" s="14" t="s">
        <v>177</v>
      </c>
      <c r="F254" s="14" t="s">
        <v>72</v>
      </c>
      <c r="G254" s="12"/>
      <c r="H254" s="17" t="s">
        <v>934</v>
      </c>
      <c r="I254" s="17" t="s">
        <v>74</v>
      </c>
      <c r="J254" s="14" t="s">
        <v>935</v>
      </c>
      <c r="K254" s="12"/>
      <c r="L254" s="12"/>
      <c r="M254" s="12"/>
      <c r="N254" s="12"/>
      <c r="O254" s="30" t="str">
        <f t="shared" ref="O254:O256" si="33">HYPERLINK("http://admissions.iit.edu/undergraduate/finances/first-year-scholarships","http://admissions.iit.edu/undergraduate/finances/first-year-scholarships")</f>
        <v>http://admissions.iit.edu/undergraduate/finances/first-year-scholarships</v>
      </c>
      <c r="P254" s="33">
        <v>44884</v>
      </c>
      <c r="Q254" s="25">
        <v>0.53</v>
      </c>
      <c r="R254" s="14" t="s">
        <v>426</v>
      </c>
      <c r="S254" s="14" t="s">
        <v>936</v>
      </c>
      <c r="T254" s="12"/>
      <c r="U254" s="12">
        <v>3.98</v>
      </c>
      <c r="V254" s="12"/>
      <c r="W254" s="12"/>
      <c r="X254" s="12"/>
      <c r="Y254" s="12"/>
      <c r="Z254" s="12"/>
      <c r="AA254" s="12"/>
    </row>
    <row r="255" spans="1:27" ht="189.75" customHeight="1" x14ac:dyDescent="0.2">
      <c r="A255" s="23" t="s">
        <v>914</v>
      </c>
      <c r="B255" s="14" t="s">
        <v>933</v>
      </c>
      <c r="C255" s="14" t="s">
        <v>101</v>
      </c>
      <c r="D255" s="12"/>
      <c r="E255" s="14" t="s">
        <v>60</v>
      </c>
      <c r="F255" s="14" t="s">
        <v>72</v>
      </c>
      <c r="G255" s="12"/>
      <c r="H255" s="17" t="s">
        <v>937</v>
      </c>
      <c r="I255" s="17">
        <v>1</v>
      </c>
      <c r="J255" s="14" t="s">
        <v>938</v>
      </c>
      <c r="K255" s="12"/>
      <c r="L255" s="12"/>
      <c r="M255" s="12"/>
      <c r="N255" s="12"/>
      <c r="O255" s="30" t="str">
        <f t="shared" si="33"/>
        <v>http://admissions.iit.edu/undergraduate/finances/first-year-scholarships</v>
      </c>
      <c r="P255" s="33">
        <v>44884</v>
      </c>
      <c r="Q255" s="25">
        <v>0.53</v>
      </c>
      <c r="R255" s="14" t="s">
        <v>426</v>
      </c>
      <c r="S255" s="14" t="s">
        <v>936</v>
      </c>
      <c r="T255" s="12"/>
      <c r="U255" s="12">
        <v>3.98</v>
      </c>
      <c r="V255" s="12"/>
      <c r="W255" s="12"/>
      <c r="X255" s="12"/>
      <c r="Y255" s="12"/>
      <c r="Z255" s="12"/>
      <c r="AA255" s="12"/>
    </row>
    <row r="256" spans="1:27" ht="205.5" customHeight="1" x14ac:dyDescent="0.2">
      <c r="A256" s="23" t="s">
        <v>914</v>
      </c>
      <c r="B256" s="14" t="s">
        <v>933</v>
      </c>
      <c r="C256" s="14" t="s">
        <v>101</v>
      </c>
      <c r="D256" s="12"/>
      <c r="E256" s="14" t="s">
        <v>111</v>
      </c>
      <c r="F256" s="14" t="s">
        <v>72</v>
      </c>
      <c r="G256" s="12"/>
      <c r="H256" s="17" t="s">
        <v>939</v>
      </c>
      <c r="I256" s="17" t="s">
        <v>74</v>
      </c>
      <c r="J256" s="14" t="s">
        <v>940</v>
      </c>
      <c r="K256" s="12"/>
      <c r="L256" s="12"/>
      <c r="M256" s="12"/>
      <c r="N256" s="12"/>
      <c r="O256" s="30" t="str">
        <f t="shared" si="33"/>
        <v>http://admissions.iit.edu/undergraduate/finances/first-year-scholarships</v>
      </c>
      <c r="P256" s="33">
        <v>44884</v>
      </c>
      <c r="Q256" s="25">
        <v>0.53</v>
      </c>
      <c r="R256" s="14" t="s">
        <v>426</v>
      </c>
      <c r="S256" s="14" t="s">
        <v>936</v>
      </c>
      <c r="T256" s="12"/>
      <c r="U256" s="12">
        <v>3.98</v>
      </c>
      <c r="V256" s="12"/>
      <c r="W256" s="12"/>
      <c r="X256" s="12"/>
      <c r="Y256" s="12"/>
      <c r="Z256" s="12"/>
      <c r="AA256" s="12"/>
    </row>
    <row r="257" spans="1:27" ht="169" x14ac:dyDescent="0.2">
      <c r="A257" s="23" t="s">
        <v>914</v>
      </c>
      <c r="B257" s="14" t="s">
        <v>941</v>
      </c>
      <c r="C257" s="14" t="s">
        <v>101</v>
      </c>
      <c r="D257" s="12"/>
      <c r="E257" s="14" t="s">
        <v>60</v>
      </c>
      <c r="F257" s="14" t="s">
        <v>72</v>
      </c>
      <c r="G257" s="12"/>
      <c r="H257" s="17" t="s">
        <v>239</v>
      </c>
      <c r="I257" s="17">
        <v>5</v>
      </c>
      <c r="J257" s="56" t="s">
        <v>942</v>
      </c>
      <c r="K257" s="12"/>
      <c r="L257" s="12"/>
      <c r="M257" s="12"/>
      <c r="N257" s="12"/>
      <c r="O257" s="30" t="str">
        <f>HYPERLINK("http://www.knox.edu/admission/scholarships/academic-scholarships","http://www.knox.edu/admission/scholarships/academic-scholarships")</f>
        <v>http://www.knox.edu/admission/scholarships/academic-scholarships</v>
      </c>
      <c r="P257" s="33">
        <v>43285</v>
      </c>
      <c r="Q257" s="25">
        <v>0.64</v>
      </c>
      <c r="R257" s="34" t="s">
        <v>105</v>
      </c>
      <c r="S257" s="34" t="s">
        <v>943</v>
      </c>
      <c r="T257" s="12"/>
      <c r="U257" s="12" t="s">
        <v>81</v>
      </c>
      <c r="V257" s="12"/>
      <c r="W257" s="12"/>
      <c r="X257" s="12"/>
      <c r="Y257" s="12"/>
      <c r="Z257" s="12"/>
      <c r="AA257" s="12"/>
    </row>
    <row r="258" spans="1:27" ht="126.75" customHeight="1" x14ac:dyDescent="0.2">
      <c r="A258" s="23" t="s">
        <v>914</v>
      </c>
      <c r="B258" s="14" t="s">
        <v>944</v>
      </c>
      <c r="C258" s="14" t="s">
        <v>101</v>
      </c>
      <c r="D258" s="12"/>
      <c r="E258" s="14" t="s">
        <v>60</v>
      </c>
      <c r="F258" s="14" t="s">
        <v>145</v>
      </c>
      <c r="G258" s="12"/>
      <c r="H258" s="17" t="s">
        <v>157</v>
      </c>
      <c r="I258" s="17" t="s">
        <v>74</v>
      </c>
      <c r="J258" s="14" t="s">
        <v>945</v>
      </c>
      <c r="K258" s="12"/>
      <c r="L258" s="12"/>
      <c r="M258" s="12"/>
      <c r="N258" s="12"/>
      <c r="O258" s="30" t="str">
        <f t="shared" ref="O258:O260" si="34">HYPERLINK("http://www.luc.edu/finaid/military/rotc-scholarships/","http://www.luc.edu/finaid/military/rotc-scholarships/")</f>
        <v>http://www.luc.edu/finaid/military/rotc-scholarships/</v>
      </c>
      <c r="P258" s="33">
        <v>39179</v>
      </c>
      <c r="Q258" s="25">
        <v>0.63300000000000001</v>
      </c>
      <c r="R258" s="14" t="s">
        <v>638</v>
      </c>
      <c r="S258" s="14" t="s">
        <v>946</v>
      </c>
      <c r="T258" s="12"/>
      <c r="U258" s="12">
        <v>3.7</v>
      </c>
      <c r="V258" s="12"/>
      <c r="W258" s="12"/>
      <c r="X258" s="12"/>
      <c r="Y258" s="12"/>
      <c r="Z258" s="12"/>
      <c r="AA258" s="12"/>
    </row>
    <row r="259" spans="1:27" ht="189.75" customHeight="1" x14ac:dyDescent="0.2">
      <c r="A259" s="23" t="s">
        <v>914</v>
      </c>
      <c r="B259" s="14" t="s">
        <v>944</v>
      </c>
      <c r="C259" s="14" t="s">
        <v>101</v>
      </c>
      <c r="D259" s="12"/>
      <c r="E259" s="14" t="s">
        <v>111</v>
      </c>
      <c r="F259" s="14" t="s">
        <v>145</v>
      </c>
      <c r="G259" s="12"/>
      <c r="H259" s="17" t="s">
        <v>157</v>
      </c>
      <c r="I259" s="17" t="s">
        <v>74</v>
      </c>
      <c r="J259" s="14" t="s">
        <v>947</v>
      </c>
      <c r="K259" s="12"/>
      <c r="L259" s="12"/>
      <c r="M259" s="12"/>
      <c r="N259" s="12"/>
      <c r="O259" s="30" t="str">
        <f t="shared" si="34"/>
        <v>http://www.luc.edu/finaid/military/rotc-scholarships/</v>
      </c>
      <c r="P259" s="33">
        <v>42032</v>
      </c>
      <c r="Q259" s="25">
        <v>0.71</v>
      </c>
      <c r="R259" s="14" t="s">
        <v>687</v>
      </c>
      <c r="S259" s="14" t="s">
        <v>948</v>
      </c>
      <c r="T259" s="12"/>
      <c r="U259" s="12">
        <v>3.7</v>
      </c>
      <c r="V259" s="12"/>
      <c r="W259" s="12"/>
      <c r="X259" s="12"/>
      <c r="Y259" s="12"/>
      <c r="Z259" s="12"/>
      <c r="AA259" s="12"/>
    </row>
    <row r="260" spans="1:27" ht="174" customHeight="1" x14ac:dyDescent="0.2">
      <c r="A260" s="23" t="s">
        <v>914</v>
      </c>
      <c r="B260" s="14" t="s">
        <v>944</v>
      </c>
      <c r="C260" s="14" t="s">
        <v>101</v>
      </c>
      <c r="D260" s="12"/>
      <c r="E260" s="14" t="s">
        <v>111</v>
      </c>
      <c r="F260" s="14" t="s">
        <v>145</v>
      </c>
      <c r="G260" s="12"/>
      <c r="H260" s="17" t="s">
        <v>157</v>
      </c>
      <c r="I260" s="17" t="s">
        <v>74</v>
      </c>
      <c r="J260" s="14" t="s">
        <v>949</v>
      </c>
      <c r="K260" s="12"/>
      <c r="L260" s="12"/>
      <c r="M260" s="12"/>
      <c r="N260" s="12"/>
      <c r="O260" s="30" t="str">
        <f t="shared" si="34"/>
        <v>http://www.luc.edu/finaid/military/rotc-scholarships/</v>
      </c>
      <c r="P260" s="33">
        <v>42032</v>
      </c>
      <c r="Q260" s="25">
        <v>0.71</v>
      </c>
      <c r="R260" s="14" t="s">
        <v>687</v>
      </c>
      <c r="S260" s="14" t="s">
        <v>948</v>
      </c>
      <c r="T260" s="12"/>
      <c r="U260" s="12">
        <v>3.7</v>
      </c>
      <c r="V260" s="12"/>
      <c r="W260" s="12"/>
      <c r="X260" s="12"/>
      <c r="Y260" s="12"/>
      <c r="Z260" s="12"/>
      <c r="AA260" s="12"/>
    </row>
    <row r="261" spans="1:27" ht="196" x14ac:dyDescent="0.2">
      <c r="A261" s="23" t="s">
        <v>914</v>
      </c>
      <c r="B261" s="14" t="s">
        <v>944</v>
      </c>
      <c r="C261" s="14" t="s">
        <v>101</v>
      </c>
      <c r="D261" s="12"/>
      <c r="E261" s="14" t="s">
        <v>60</v>
      </c>
      <c r="F261" s="14" t="s">
        <v>72</v>
      </c>
      <c r="G261" s="12"/>
      <c r="H261" s="17" t="s">
        <v>950</v>
      </c>
      <c r="I261" s="17" t="s">
        <v>74</v>
      </c>
      <c r="J261" s="129" t="s">
        <v>951</v>
      </c>
      <c r="K261" s="24">
        <v>33</v>
      </c>
      <c r="L261" s="18">
        <v>1490</v>
      </c>
      <c r="M261" s="16" t="s">
        <v>76</v>
      </c>
      <c r="N261" s="24">
        <v>3.5</v>
      </c>
      <c r="O261" s="30" t="str">
        <f t="shared" ref="O261:O262" si="35">HYPERLINK("http://www.luc.edu/finaid/scholarships/undergraduate/","http://www.luc.edu/finaid/scholarships/undergraduate/")</f>
        <v>http://www.luc.edu/finaid/scholarships/undergraduate/</v>
      </c>
      <c r="P261" s="33">
        <v>42032</v>
      </c>
      <c r="Q261" s="25">
        <v>0.71</v>
      </c>
      <c r="R261" s="14" t="s">
        <v>687</v>
      </c>
      <c r="S261" s="14" t="s">
        <v>948</v>
      </c>
      <c r="T261" s="12"/>
      <c r="U261" s="12">
        <v>3.7</v>
      </c>
      <c r="V261" s="12"/>
      <c r="W261" s="12"/>
      <c r="X261" s="12"/>
      <c r="Y261" s="12"/>
      <c r="Z261" s="12"/>
      <c r="AA261" s="12"/>
    </row>
    <row r="262" spans="1:27" ht="111" customHeight="1" x14ac:dyDescent="0.2">
      <c r="A262" s="23" t="s">
        <v>914</v>
      </c>
      <c r="B262" s="14" t="s">
        <v>944</v>
      </c>
      <c r="C262" s="14" t="s">
        <v>101</v>
      </c>
      <c r="D262" s="12"/>
      <c r="E262" s="14" t="s">
        <v>60</v>
      </c>
      <c r="F262" s="14" t="s">
        <v>92</v>
      </c>
      <c r="G262" s="12"/>
      <c r="H262" s="17" t="s">
        <v>93</v>
      </c>
      <c r="I262" s="17">
        <v>1</v>
      </c>
      <c r="J262" s="14" t="s">
        <v>952</v>
      </c>
      <c r="K262" s="12"/>
      <c r="L262" s="12"/>
      <c r="M262" s="12"/>
      <c r="N262" s="12"/>
      <c r="O262" s="30" t="str">
        <f t="shared" si="35"/>
        <v>http://www.luc.edu/finaid/scholarships/undergraduate/</v>
      </c>
      <c r="P262" s="33">
        <v>42032</v>
      </c>
      <c r="Q262" s="25">
        <v>0.71</v>
      </c>
      <c r="R262" s="14" t="s">
        <v>687</v>
      </c>
      <c r="S262" s="14" t="s">
        <v>948</v>
      </c>
      <c r="T262" s="12"/>
      <c r="U262" s="12">
        <v>3.7</v>
      </c>
      <c r="V262" s="12"/>
      <c r="W262" s="12"/>
      <c r="X262" s="12"/>
      <c r="Y262" s="12"/>
      <c r="Z262" s="12"/>
      <c r="AA262" s="12"/>
    </row>
    <row r="263" spans="1:27" ht="169" x14ac:dyDescent="0.2">
      <c r="A263" s="23" t="s">
        <v>914</v>
      </c>
      <c r="B263" s="14" t="s">
        <v>953</v>
      </c>
      <c r="C263" s="14" t="s">
        <v>101</v>
      </c>
      <c r="D263" s="12"/>
      <c r="E263" s="14" t="s">
        <v>177</v>
      </c>
      <c r="F263" s="16" t="s">
        <v>313</v>
      </c>
      <c r="G263" s="12"/>
      <c r="H263" s="17" t="s">
        <v>326</v>
      </c>
      <c r="I263" s="17" t="s">
        <v>63</v>
      </c>
      <c r="J263" s="122" t="s">
        <v>954</v>
      </c>
      <c r="K263" s="24">
        <v>30</v>
      </c>
      <c r="L263" s="18">
        <v>1400</v>
      </c>
      <c r="M263" s="17" t="s">
        <v>76</v>
      </c>
      <c r="N263" s="12"/>
      <c r="O263" s="30" t="str">
        <f t="shared" ref="O263:O264" si="36">HYPERLINK("https://www.mac.edu/financialaid/scholarships.asp","https://www.mac.edu/financialaid/scholarships.asp")</f>
        <v>https://www.mac.edu/financialaid/scholarships.asp</v>
      </c>
      <c r="P263" s="33">
        <v>25110</v>
      </c>
      <c r="Q263" s="25">
        <v>0.84</v>
      </c>
      <c r="R263" s="12">
        <v>20</v>
      </c>
      <c r="S263" s="12" t="s">
        <v>878</v>
      </c>
      <c r="T263" s="12"/>
      <c r="U263" s="12">
        <v>3</v>
      </c>
      <c r="V263" s="12"/>
      <c r="W263" s="12"/>
      <c r="X263" s="12"/>
      <c r="Y263" s="12"/>
      <c r="Z263" s="12"/>
      <c r="AA263" s="12"/>
    </row>
    <row r="264" spans="1:27" ht="92" x14ac:dyDescent="0.2">
      <c r="A264" s="23" t="s">
        <v>914</v>
      </c>
      <c r="B264" s="14" t="s">
        <v>953</v>
      </c>
      <c r="C264" s="14" t="s">
        <v>101</v>
      </c>
      <c r="D264" s="12"/>
      <c r="E264" s="16" t="s">
        <v>955</v>
      </c>
      <c r="F264" s="14" t="s">
        <v>72</v>
      </c>
      <c r="G264" s="12"/>
      <c r="H264" s="17" t="s">
        <v>62</v>
      </c>
      <c r="I264" s="17" t="s">
        <v>74</v>
      </c>
      <c r="J264" s="122" t="s">
        <v>956</v>
      </c>
      <c r="K264" s="18" t="s">
        <v>416</v>
      </c>
      <c r="L264" s="18" t="s">
        <v>416</v>
      </c>
      <c r="M264" s="12"/>
      <c r="N264" s="17">
        <v>3.7</v>
      </c>
      <c r="O264" s="30" t="str">
        <f t="shared" si="36"/>
        <v>https://www.mac.edu/financialaid/scholarships.asp</v>
      </c>
      <c r="P264" s="33">
        <v>25110</v>
      </c>
      <c r="Q264" s="25">
        <v>0.84</v>
      </c>
      <c r="R264" s="12">
        <v>20</v>
      </c>
      <c r="S264" s="12" t="s">
        <v>878</v>
      </c>
      <c r="T264" s="12"/>
      <c r="U264" s="12">
        <v>3</v>
      </c>
      <c r="V264" s="12"/>
      <c r="W264" s="12"/>
      <c r="X264" s="12"/>
      <c r="Y264" s="12"/>
      <c r="Z264" s="12"/>
      <c r="AA264" s="12"/>
    </row>
    <row r="265" spans="1:27" ht="205.5" customHeight="1" x14ac:dyDescent="0.2">
      <c r="A265" s="23" t="s">
        <v>914</v>
      </c>
      <c r="B265" s="14" t="s">
        <v>957</v>
      </c>
      <c r="C265" s="14" t="s">
        <v>101</v>
      </c>
      <c r="D265" s="12"/>
      <c r="E265" s="14" t="s">
        <v>238</v>
      </c>
      <c r="F265" s="14" t="s">
        <v>72</v>
      </c>
      <c r="G265" s="12"/>
      <c r="H265" s="17" t="s">
        <v>850</v>
      </c>
      <c r="I265" s="17" t="s">
        <v>74</v>
      </c>
      <c r="J265" s="14" t="s">
        <v>958</v>
      </c>
      <c r="K265" s="17">
        <v>27</v>
      </c>
      <c r="L265" s="17">
        <v>1280</v>
      </c>
      <c r="M265" s="12"/>
      <c r="N265" s="17">
        <v>3.5</v>
      </c>
      <c r="O265" s="19" t="s">
        <v>959</v>
      </c>
      <c r="P265" s="33">
        <v>31924</v>
      </c>
      <c r="Q265" s="57">
        <v>0.6</v>
      </c>
      <c r="R265" s="12" t="s">
        <v>126</v>
      </c>
      <c r="S265" s="12" t="s">
        <v>960</v>
      </c>
      <c r="T265" s="12"/>
      <c r="U265" s="12">
        <v>3.3</v>
      </c>
      <c r="V265" s="12"/>
      <c r="W265" s="12"/>
      <c r="X265" s="12"/>
      <c r="Y265" s="12"/>
      <c r="Z265" s="12"/>
      <c r="AA265" s="12"/>
    </row>
    <row r="266" spans="1:27" ht="90.75" customHeight="1" x14ac:dyDescent="0.2">
      <c r="A266" s="23" t="s">
        <v>914</v>
      </c>
      <c r="B266" s="14" t="s">
        <v>961</v>
      </c>
      <c r="C266" s="14" t="s">
        <v>101</v>
      </c>
      <c r="D266" s="12"/>
      <c r="E266" s="14" t="s">
        <v>88</v>
      </c>
      <c r="F266" s="14" t="s">
        <v>72</v>
      </c>
      <c r="G266" s="12"/>
      <c r="H266" s="17" t="s">
        <v>850</v>
      </c>
      <c r="I266" s="17">
        <v>2</v>
      </c>
      <c r="J266" s="14" t="s">
        <v>962</v>
      </c>
      <c r="K266" s="24">
        <v>24</v>
      </c>
      <c r="L266" s="24">
        <v>11160</v>
      </c>
      <c r="M266" s="14" t="s">
        <v>197</v>
      </c>
      <c r="N266" s="24">
        <v>3.4</v>
      </c>
      <c r="O266" s="30" t="str">
        <f>HYPERLINK("http://ou.monmouthcollege.edu/admissions/financial-aid/scholarships/fellows-and-scholarship-competition.aspx","http://ou.monmouthcollege.edu/admissions/financial-aid/scholarships/fellows-and-scholarship-competition.aspx")</f>
        <v>http://ou.monmouthcollege.edu/admissions/financial-aid/scholarships/fellows-and-scholarship-competition.aspx</v>
      </c>
      <c r="P266" s="33">
        <v>35300</v>
      </c>
      <c r="Q266" s="25">
        <v>0.62</v>
      </c>
      <c r="R266" s="34" t="s">
        <v>126</v>
      </c>
      <c r="S266" s="34" t="s">
        <v>963</v>
      </c>
      <c r="T266" s="12"/>
      <c r="U266" s="12">
        <v>3.3</v>
      </c>
      <c r="V266" s="12"/>
      <c r="W266" s="12"/>
      <c r="X266" s="12"/>
      <c r="Y266" s="12"/>
      <c r="Z266" s="12"/>
      <c r="AA266" s="12"/>
    </row>
    <row r="267" spans="1:27" ht="174" customHeight="1" x14ac:dyDescent="0.2">
      <c r="A267" s="23" t="s">
        <v>914</v>
      </c>
      <c r="B267" s="14" t="s">
        <v>961</v>
      </c>
      <c r="C267" s="14" t="s">
        <v>101</v>
      </c>
      <c r="D267" s="12"/>
      <c r="E267" s="14" t="s">
        <v>177</v>
      </c>
      <c r="F267" s="14" t="s">
        <v>145</v>
      </c>
      <c r="G267" s="12"/>
      <c r="H267" s="17" t="s">
        <v>157</v>
      </c>
      <c r="I267" s="17" t="s">
        <v>74</v>
      </c>
      <c r="J267" s="14" t="s">
        <v>964</v>
      </c>
      <c r="K267" s="12"/>
      <c r="L267" s="12"/>
      <c r="M267" s="12"/>
      <c r="N267" s="12"/>
      <c r="O267" s="30" t="str">
        <f>HYPERLINK("http://ou.monmouthcollege.edu/admissions/financial-aid/scholarships/default.aspx","http://ou.monmouthcollege.edu/admissions/financial-aid/scholarships/default.aspx")</f>
        <v>http://ou.monmouthcollege.edu/admissions/financial-aid/scholarships/default.aspx</v>
      </c>
      <c r="P267" s="33">
        <v>35300</v>
      </c>
      <c r="Q267" s="25">
        <v>0.62</v>
      </c>
      <c r="R267" s="34" t="s">
        <v>126</v>
      </c>
      <c r="S267" s="34" t="s">
        <v>963</v>
      </c>
      <c r="T267" s="12"/>
      <c r="U267" s="12">
        <v>3.3</v>
      </c>
      <c r="V267" s="12"/>
      <c r="W267" s="12"/>
      <c r="X267" s="12"/>
      <c r="Y267" s="12"/>
      <c r="Z267" s="12"/>
      <c r="AA267" s="12"/>
    </row>
    <row r="268" spans="1:27" ht="90.75" customHeight="1" x14ac:dyDescent="0.2">
      <c r="A268" s="23" t="s">
        <v>914</v>
      </c>
      <c r="B268" s="14" t="s">
        <v>961</v>
      </c>
      <c r="C268" s="14" t="s">
        <v>101</v>
      </c>
      <c r="D268" s="12"/>
      <c r="E268" s="14" t="s">
        <v>177</v>
      </c>
      <c r="F268" s="14" t="s">
        <v>72</v>
      </c>
      <c r="G268" s="12"/>
      <c r="H268" s="17" t="s">
        <v>850</v>
      </c>
      <c r="I268" s="17">
        <v>2</v>
      </c>
      <c r="J268" s="14" t="s">
        <v>965</v>
      </c>
      <c r="K268" s="24">
        <v>24</v>
      </c>
      <c r="L268" s="24">
        <v>1160</v>
      </c>
      <c r="M268" s="14" t="s">
        <v>197</v>
      </c>
      <c r="N268" s="24">
        <v>3.4</v>
      </c>
      <c r="O268" s="30" t="str">
        <f>HYPERLINK("http://ou.monmouthcollege.edu/admissions/financial-aid/scholarships/fellows-and-scholarship-competition.aspx","http://ou.monmouthcollege.edu/admissions/financial-aid/scholarships/fellows-and-scholarship-competition.aspx")</f>
        <v>http://ou.monmouthcollege.edu/admissions/financial-aid/scholarships/fellows-and-scholarship-competition.aspx</v>
      </c>
      <c r="P268" s="33">
        <v>35300</v>
      </c>
      <c r="Q268" s="25">
        <v>0.62</v>
      </c>
      <c r="R268" s="34" t="s">
        <v>126</v>
      </c>
      <c r="S268" s="34" t="s">
        <v>963</v>
      </c>
      <c r="T268" s="12"/>
      <c r="U268" s="12">
        <v>3.3</v>
      </c>
      <c r="V268" s="12"/>
      <c r="W268" s="12"/>
      <c r="X268" s="12"/>
      <c r="Y268" s="12"/>
      <c r="Z268" s="12"/>
      <c r="AA268" s="12"/>
    </row>
    <row r="269" spans="1:27" ht="192" x14ac:dyDescent="0.2">
      <c r="A269" s="11" t="s">
        <v>914</v>
      </c>
      <c r="B269" s="12" t="s">
        <v>966</v>
      </c>
      <c r="C269" s="26" t="s">
        <v>59</v>
      </c>
      <c r="D269" s="12"/>
      <c r="E269" s="12" t="s">
        <v>111</v>
      </c>
      <c r="F269" s="11" t="s">
        <v>72</v>
      </c>
      <c r="G269" s="12"/>
      <c r="H269" s="17" t="s">
        <v>967</v>
      </c>
      <c r="I269" s="17" t="s">
        <v>74</v>
      </c>
      <c r="J269" s="130" t="s">
        <v>968</v>
      </c>
      <c r="K269" s="28">
        <v>33</v>
      </c>
      <c r="L269" s="12"/>
      <c r="M269" s="26"/>
      <c r="N269" s="26">
        <v>3.75</v>
      </c>
      <c r="O269" s="19" t="s">
        <v>969</v>
      </c>
      <c r="P269" s="26" t="s">
        <v>970</v>
      </c>
      <c r="Q269" s="31">
        <v>0.5</v>
      </c>
      <c r="R269" s="26" t="s">
        <v>130</v>
      </c>
      <c r="S269" s="26" t="s">
        <v>963</v>
      </c>
      <c r="T269" s="12"/>
      <c r="U269" s="12">
        <v>3.15</v>
      </c>
      <c r="V269" s="12"/>
      <c r="W269" s="12"/>
      <c r="X269" s="12"/>
      <c r="Y269" s="12"/>
      <c r="Z269" s="12"/>
      <c r="AA269" s="12"/>
    </row>
    <row r="270" spans="1:27" ht="224" x14ac:dyDescent="0.2">
      <c r="A270" s="23" t="s">
        <v>914</v>
      </c>
      <c r="B270" s="14" t="s">
        <v>971</v>
      </c>
      <c r="C270" s="14" t="s">
        <v>101</v>
      </c>
      <c r="D270" s="12"/>
      <c r="E270" s="14" t="s">
        <v>88</v>
      </c>
      <c r="F270" s="14" t="s">
        <v>145</v>
      </c>
      <c r="G270" s="12"/>
      <c r="H270" s="17" t="s">
        <v>157</v>
      </c>
      <c r="I270" s="17" t="s">
        <v>74</v>
      </c>
      <c r="J270" s="14" t="s">
        <v>972</v>
      </c>
      <c r="K270" s="12"/>
      <c r="L270" s="12"/>
      <c r="M270" s="12"/>
      <c r="N270" s="12"/>
      <c r="O270" s="30" t="str">
        <f>HYPERLINK("http://www.olivet.edu/admissions/tuition-and-financial-aid/scholarships/","http://www.olivet.edu/admissions/tuition-and-financial-aid/scholarships/")</f>
        <v>http://www.olivet.edu/admissions/tuition-and-financial-aid/scholarships/</v>
      </c>
      <c r="P270" s="33">
        <v>33940</v>
      </c>
      <c r="Q270" s="25">
        <v>0.77</v>
      </c>
      <c r="R270" s="14" t="s">
        <v>973</v>
      </c>
      <c r="S270" s="14" t="s">
        <v>963</v>
      </c>
      <c r="T270" s="12"/>
      <c r="U270" s="12">
        <v>3.51</v>
      </c>
      <c r="V270" s="12"/>
      <c r="W270" s="12"/>
      <c r="X270" s="12"/>
      <c r="Y270" s="12"/>
      <c r="Z270" s="12"/>
      <c r="AA270" s="12"/>
    </row>
    <row r="271" spans="1:27" ht="65" x14ac:dyDescent="0.2">
      <c r="A271" s="23" t="s">
        <v>914</v>
      </c>
      <c r="B271" s="14" t="s">
        <v>974</v>
      </c>
      <c r="C271" s="14" t="s">
        <v>101</v>
      </c>
      <c r="D271" s="12"/>
      <c r="E271" s="14" t="s">
        <v>60</v>
      </c>
      <c r="F271" s="14" t="s">
        <v>61</v>
      </c>
      <c r="G271" s="12"/>
      <c r="H271" s="17" t="s">
        <v>62</v>
      </c>
      <c r="I271" s="17" t="s">
        <v>74</v>
      </c>
      <c r="J271" s="14" t="s">
        <v>975</v>
      </c>
      <c r="K271" s="24">
        <v>30</v>
      </c>
      <c r="L271" s="24">
        <v>1420</v>
      </c>
      <c r="M271" s="16" t="s">
        <v>76</v>
      </c>
      <c r="N271" s="24">
        <v>3.9</v>
      </c>
      <c r="O271" s="30" t="str">
        <f>HYPERLINK("http://admissions.principiacollege.edu/scholarships","http://admissions.principiacollege.edu/scholarships")</f>
        <v>http://admissions.principiacollege.edu/scholarships</v>
      </c>
      <c r="P271" s="33">
        <v>27980</v>
      </c>
      <c r="Q271" s="25">
        <v>0.75</v>
      </c>
      <c r="R271" s="34" t="s">
        <v>182</v>
      </c>
      <c r="S271" s="34" t="s">
        <v>976</v>
      </c>
      <c r="T271" s="12"/>
      <c r="U271" s="12">
        <v>3.44</v>
      </c>
      <c r="V271" s="12"/>
      <c r="W271" s="12"/>
      <c r="X271" s="12"/>
      <c r="Y271" s="12"/>
      <c r="Z271" s="12"/>
      <c r="AA271" s="12"/>
    </row>
    <row r="272" spans="1:27" ht="144" x14ac:dyDescent="0.2">
      <c r="A272" s="23" t="s">
        <v>914</v>
      </c>
      <c r="B272" s="14" t="s">
        <v>977</v>
      </c>
      <c r="C272" s="14" t="s">
        <v>101</v>
      </c>
      <c r="D272" s="12"/>
      <c r="E272" s="14" t="s">
        <v>60</v>
      </c>
      <c r="F272" s="14" t="s">
        <v>72</v>
      </c>
      <c r="G272" s="12"/>
      <c r="H272" s="17" t="s">
        <v>950</v>
      </c>
      <c r="I272" s="17" t="s">
        <v>74</v>
      </c>
      <c r="J272" s="14" t="s">
        <v>978</v>
      </c>
      <c r="K272" s="24">
        <v>27</v>
      </c>
      <c r="L272" s="12"/>
      <c r="M272" s="12"/>
      <c r="N272" s="24">
        <v>3.2</v>
      </c>
      <c r="O272" s="30" t="str">
        <f>HYPERLINK("http://www.quincy.edu/admissions/financial-aid-and-tuition/scholarships/presidential/","http://www.quincy.edu/admissions/financial-aid-and-tuition/scholarships/presidential/")</f>
        <v>http://www.quincy.edu/admissions/financial-aid-and-tuition/scholarships/presidential/</v>
      </c>
      <c r="P272" s="33">
        <v>27128</v>
      </c>
      <c r="Q272" s="25">
        <v>0.63</v>
      </c>
      <c r="R272" s="14" t="s">
        <v>385</v>
      </c>
      <c r="S272" s="14" t="s">
        <v>979</v>
      </c>
      <c r="T272" s="12"/>
      <c r="U272" s="12">
        <v>3.3</v>
      </c>
      <c r="V272" s="12"/>
      <c r="W272" s="12"/>
      <c r="X272" s="12"/>
      <c r="Y272" s="12"/>
      <c r="Z272" s="12"/>
      <c r="AA272" s="12"/>
    </row>
    <row r="273" spans="1:27" ht="142.5" customHeight="1" x14ac:dyDescent="0.2">
      <c r="A273" s="23" t="s">
        <v>914</v>
      </c>
      <c r="B273" s="14" t="s">
        <v>980</v>
      </c>
      <c r="C273" s="14" t="s">
        <v>101</v>
      </c>
      <c r="D273" s="12"/>
      <c r="E273" s="16" t="s">
        <v>60</v>
      </c>
      <c r="F273" s="14" t="s">
        <v>72</v>
      </c>
      <c r="G273" s="12"/>
      <c r="H273" s="17" t="s">
        <v>62</v>
      </c>
      <c r="I273" s="17" t="s">
        <v>74</v>
      </c>
      <c r="J273" s="14" t="s">
        <v>981</v>
      </c>
      <c r="K273" s="24">
        <v>29</v>
      </c>
      <c r="L273" s="12"/>
      <c r="M273" s="12"/>
      <c r="N273" s="24">
        <v>3.65</v>
      </c>
      <c r="O273" s="19" t="s">
        <v>982</v>
      </c>
      <c r="P273" s="33">
        <v>29180</v>
      </c>
      <c r="Q273" s="25">
        <v>0.54800000000000004</v>
      </c>
      <c r="R273" s="14" t="s">
        <v>385</v>
      </c>
      <c r="S273" s="14" t="s">
        <v>983</v>
      </c>
      <c r="T273" s="12"/>
      <c r="U273" s="12">
        <v>3.18</v>
      </c>
      <c r="V273" s="12"/>
      <c r="W273" s="12"/>
      <c r="X273" s="12"/>
      <c r="Y273" s="12"/>
      <c r="Z273" s="12"/>
      <c r="AA273" s="12"/>
    </row>
    <row r="274" spans="1:27" ht="205.5" customHeight="1" x14ac:dyDescent="0.2">
      <c r="A274" s="23" t="s">
        <v>914</v>
      </c>
      <c r="B274" s="14" t="s">
        <v>984</v>
      </c>
      <c r="C274" s="14" t="s">
        <v>59</v>
      </c>
      <c r="D274" s="12"/>
      <c r="E274" s="16" t="s">
        <v>985</v>
      </c>
      <c r="F274" s="14" t="s">
        <v>72</v>
      </c>
      <c r="G274" s="12"/>
      <c r="H274" s="17" t="s">
        <v>454</v>
      </c>
      <c r="I274" s="17" t="s">
        <v>74</v>
      </c>
      <c r="J274" s="16" t="s">
        <v>986</v>
      </c>
      <c r="K274" s="12"/>
      <c r="L274" s="12"/>
      <c r="M274" s="12"/>
      <c r="N274" s="12"/>
      <c r="O274" s="30" t="str">
        <f>HYPERLINK("http://scholarships.siu.edu/types/freshmen/chancellor.php","http://scholarships.siu.edu/types/freshmen/chancellor.php")</f>
        <v>http://scholarships.siu.edu/types/freshmen/chancellor.php</v>
      </c>
      <c r="P274" s="14" t="s">
        <v>987</v>
      </c>
      <c r="Q274" s="25">
        <v>0.81</v>
      </c>
      <c r="R274" s="14" t="s">
        <v>130</v>
      </c>
      <c r="S274" s="14" t="s">
        <v>988</v>
      </c>
      <c r="T274" s="12"/>
      <c r="U274" s="12">
        <v>3.09</v>
      </c>
      <c r="V274" s="12"/>
      <c r="W274" s="12"/>
      <c r="X274" s="12"/>
      <c r="Y274" s="12"/>
      <c r="Z274" s="12"/>
      <c r="AA274" s="12"/>
    </row>
    <row r="275" spans="1:27" ht="111" customHeight="1" x14ac:dyDescent="0.2">
      <c r="A275" s="23" t="s">
        <v>914</v>
      </c>
      <c r="B275" s="14" t="s">
        <v>989</v>
      </c>
      <c r="C275" s="14" t="s">
        <v>59</v>
      </c>
      <c r="D275" s="12"/>
      <c r="E275" s="14" t="s">
        <v>990</v>
      </c>
      <c r="F275" s="14" t="s">
        <v>72</v>
      </c>
      <c r="G275" s="12"/>
      <c r="H275" s="17" t="s">
        <v>62</v>
      </c>
      <c r="I275" s="17" t="s">
        <v>74</v>
      </c>
      <c r="J275" s="14" t="s">
        <v>991</v>
      </c>
      <c r="K275" s="24">
        <v>27</v>
      </c>
      <c r="L275" s="18">
        <v>1280</v>
      </c>
      <c r="M275" s="16" t="s">
        <v>76</v>
      </c>
      <c r="N275" s="12"/>
      <c r="O275" s="19" t="s">
        <v>992</v>
      </c>
      <c r="P275" s="14" t="s">
        <v>993</v>
      </c>
      <c r="Q275" s="25">
        <v>0.88</v>
      </c>
      <c r="R275" s="14" t="s">
        <v>148</v>
      </c>
      <c r="S275" s="14" t="s">
        <v>963</v>
      </c>
      <c r="T275" s="12"/>
      <c r="U275" s="12">
        <v>3.37</v>
      </c>
      <c r="V275" s="12"/>
      <c r="W275" s="12"/>
      <c r="X275" s="12"/>
      <c r="Y275" s="12"/>
      <c r="Z275" s="12"/>
      <c r="AA275" s="12"/>
    </row>
    <row r="276" spans="1:27" ht="95.25" customHeight="1" x14ac:dyDescent="0.2">
      <c r="A276" s="23" t="s">
        <v>914</v>
      </c>
      <c r="B276" s="14" t="s">
        <v>994</v>
      </c>
      <c r="C276" s="14" t="s">
        <v>101</v>
      </c>
      <c r="D276" s="12"/>
      <c r="E276" s="14" t="s">
        <v>177</v>
      </c>
      <c r="F276" s="14" t="s">
        <v>72</v>
      </c>
      <c r="G276" s="12"/>
      <c r="H276" s="17" t="s">
        <v>850</v>
      </c>
      <c r="I276" s="17">
        <v>2</v>
      </c>
      <c r="J276" s="16" t="s">
        <v>995</v>
      </c>
      <c r="K276" s="24">
        <v>30</v>
      </c>
      <c r="L276" s="17">
        <v>1390</v>
      </c>
      <c r="M276" s="17" t="s">
        <v>76</v>
      </c>
      <c r="N276" s="18">
        <v>3</v>
      </c>
      <c r="O276" s="30" t="str">
        <f>HYPERLINK("http://www.trnty.edu/financial-aid/136-scholarships/346-ncss.html","http://www.trnty.edu/financial-aid/136-scholarships/346-ncss.html")</f>
        <v>http://www.trnty.edu/financial-aid/136-scholarships/346-ncss.html</v>
      </c>
      <c r="P276" s="33">
        <v>27675</v>
      </c>
      <c r="Q276" s="25">
        <v>0.88</v>
      </c>
      <c r="R276" s="12" t="s">
        <v>182</v>
      </c>
      <c r="S276" s="12" t="s">
        <v>996</v>
      </c>
      <c r="T276" s="12"/>
      <c r="U276" s="12">
        <v>3.47</v>
      </c>
      <c r="V276" s="12"/>
      <c r="W276" s="12"/>
      <c r="X276" s="12"/>
      <c r="Y276" s="12"/>
      <c r="Z276" s="12"/>
      <c r="AA276" s="12"/>
    </row>
    <row r="277" spans="1:27" ht="43" x14ac:dyDescent="0.2">
      <c r="A277" s="17" t="s">
        <v>914</v>
      </c>
      <c r="B277" s="17" t="s">
        <v>997</v>
      </c>
      <c r="C277" s="17" t="s">
        <v>101</v>
      </c>
      <c r="D277" s="17"/>
      <c r="E277" s="17" t="s">
        <v>111</v>
      </c>
      <c r="F277" s="17" t="s">
        <v>72</v>
      </c>
      <c r="G277" s="12"/>
      <c r="H277" s="17" t="s">
        <v>837</v>
      </c>
      <c r="I277" s="17" t="s">
        <v>74</v>
      </c>
      <c r="J277" s="131" t="s">
        <v>998</v>
      </c>
      <c r="K277" s="132">
        <v>28</v>
      </c>
      <c r="L277" s="132">
        <v>1240</v>
      </c>
      <c r="M277" s="20" t="s">
        <v>197</v>
      </c>
      <c r="N277" s="132">
        <v>3.75</v>
      </c>
      <c r="O277" s="133" t="s">
        <v>999</v>
      </c>
      <c r="P277" s="134">
        <v>30130</v>
      </c>
      <c r="Q277" s="21">
        <v>0.63</v>
      </c>
      <c r="R277" s="20" t="s">
        <v>67</v>
      </c>
      <c r="S277" s="135" t="s">
        <v>1000</v>
      </c>
      <c r="T277" s="12"/>
      <c r="U277" s="12"/>
      <c r="V277" s="12"/>
      <c r="W277" s="12"/>
      <c r="X277" s="12"/>
      <c r="Y277" s="12"/>
      <c r="Z277" s="12"/>
      <c r="AA277" s="12"/>
    </row>
    <row r="278" spans="1:27" ht="40" x14ac:dyDescent="0.2">
      <c r="A278" s="17" t="s">
        <v>914</v>
      </c>
      <c r="B278" s="17" t="s">
        <v>997</v>
      </c>
      <c r="C278" s="17" t="s">
        <v>101</v>
      </c>
      <c r="D278" s="17"/>
      <c r="E278" s="17" t="s">
        <v>111</v>
      </c>
      <c r="F278" s="17" t="s">
        <v>72</v>
      </c>
      <c r="G278" s="12"/>
      <c r="H278" s="17" t="s">
        <v>837</v>
      </c>
      <c r="I278" s="17" t="s">
        <v>74</v>
      </c>
      <c r="J278" s="131" t="s">
        <v>1001</v>
      </c>
      <c r="K278" s="132">
        <v>28</v>
      </c>
      <c r="L278" s="132">
        <v>1240</v>
      </c>
      <c r="M278" s="20" t="s">
        <v>197</v>
      </c>
      <c r="N278" s="132">
        <v>3.75</v>
      </c>
      <c r="O278" s="133" t="s">
        <v>999</v>
      </c>
      <c r="P278" s="134">
        <v>30130</v>
      </c>
      <c r="Q278" s="21">
        <v>0.63</v>
      </c>
      <c r="R278" s="20" t="s">
        <v>67</v>
      </c>
      <c r="S278" s="135" t="s">
        <v>1000</v>
      </c>
      <c r="T278" s="12"/>
      <c r="U278" s="12"/>
      <c r="V278" s="12"/>
      <c r="W278" s="12"/>
      <c r="X278" s="12"/>
      <c r="Y278" s="12"/>
      <c r="Z278" s="12"/>
      <c r="AA278" s="12"/>
    </row>
    <row r="279" spans="1:27" ht="210" x14ac:dyDescent="0.2">
      <c r="A279" s="11" t="s">
        <v>914</v>
      </c>
      <c r="B279" s="12" t="s">
        <v>1002</v>
      </c>
      <c r="C279" s="26" t="s">
        <v>101</v>
      </c>
      <c r="D279" s="12"/>
      <c r="E279" s="12" t="s">
        <v>724</v>
      </c>
      <c r="F279" s="11" t="s">
        <v>72</v>
      </c>
      <c r="G279" s="12"/>
      <c r="H279" s="17" t="s">
        <v>239</v>
      </c>
      <c r="I279" s="17" t="s">
        <v>74</v>
      </c>
      <c r="J279" s="27" t="s">
        <v>1003</v>
      </c>
      <c r="K279" s="12"/>
      <c r="L279" s="12"/>
      <c r="M279" s="12"/>
      <c r="N279" s="12"/>
      <c r="O279" s="30" t="str">
        <f>HYPERLINK("http://www.stampsfoundation.org/2012/11/01/university-of-chicago-chicago-il/","http://www.stampsfoundation.org/2012/11/01/university-of-chicago-chicago-il/")</f>
        <v>http://www.stampsfoundation.org/2012/11/01/university-of-chicago-chicago-il/</v>
      </c>
      <c r="P279" s="38">
        <v>52491</v>
      </c>
      <c r="Q279" s="31">
        <v>0.08</v>
      </c>
      <c r="R279" s="26" t="s">
        <v>1004</v>
      </c>
      <c r="S279" s="26" t="s">
        <v>1005</v>
      </c>
      <c r="T279" s="12"/>
      <c r="U279" s="12">
        <v>4.29</v>
      </c>
      <c r="V279" s="12"/>
      <c r="W279" s="12"/>
      <c r="X279" s="12"/>
      <c r="Y279" s="12"/>
      <c r="Z279" s="12"/>
      <c r="AA279" s="12"/>
    </row>
    <row r="280" spans="1:27" ht="142.5" customHeight="1" x14ac:dyDescent="0.2">
      <c r="A280" s="23" t="s">
        <v>914</v>
      </c>
      <c r="B280" s="14" t="s">
        <v>1006</v>
      </c>
      <c r="C280" s="14" t="s">
        <v>59</v>
      </c>
      <c r="D280" s="12"/>
      <c r="E280" s="16" t="s">
        <v>1007</v>
      </c>
      <c r="F280" s="14" t="s">
        <v>72</v>
      </c>
      <c r="G280" s="12"/>
      <c r="H280" s="17" t="s">
        <v>239</v>
      </c>
      <c r="I280" s="17" t="s">
        <v>74</v>
      </c>
      <c r="J280" s="14" t="s">
        <v>1008</v>
      </c>
      <c r="K280" s="12"/>
      <c r="L280" s="12"/>
      <c r="M280" s="12"/>
      <c r="N280" s="12"/>
      <c r="O280" s="30" t="str">
        <f t="shared" ref="O280:O281" si="37">HYPERLINK("http://www.honors.uic.edu/scholarships/","http://www.honors.uic.edu/scholarships/")</f>
        <v>http://www.honors.uic.edu/scholarships/</v>
      </c>
      <c r="P280" s="14" t="s">
        <v>1009</v>
      </c>
      <c r="Q280" s="25">
        <v>0.77</v>
      </c>
      <c r="R280" s="14" t="s">
        <v>565</v>
      </c>
      <c r="S280" s="14" t="s">
        <v>1010</v>
      </c>
      <c r="T280" s="12"/>
      <c r="U280" s="12">
        <v>3.25</v>
      </c>
      <c r="V280" s="12"/>
      <c r="W280" s="12"/>
      <c r="X280" s="12"/>
      <c r="Y280" s="12"/>
      <c r="Z280" s="12"/>
      <c r="AA280" s="12"/>
    </row>
    <row r="281" spans="1:27" ht="142.5" customHeight="1" x14ac:dyDescent="0.2">
      <c r="A281" s="23" t="s">
        <v>914</v>
      </c>
      <c r="B281" s="14" t="s">
        <v>1006</v>
      </c>
      <c r="C281" s="14" t="s">
        <v>59</v>
      </c>
      <c r="D281" s="12"/>
      <c r="E281" s="14" t="s">
        <v>111</v>
      </c>
      <c r="F281" s="14" t="s">
        <v>72</v>
      </c>
      <c r="G281" s="12"/>
      <c r="H281" s="17" t="s">
        <v>1011</v>
      </c>
      <c r="I281" s="17" t="s">
        <v>74</v>
      </c>
      <c r="J281" s="14" t="s">
        <v>1012</v>
      </c>
      <c r="K281" s="12"/>
      <c r="L281" s="12"/>
      <c r="M281" s="12"/>
      <c r="N281" s="12"/>
      <c r="O281" s="30" t="str">
        <f t="shared" si="37"/>
        <v>http://www.honors.uic.edu/scholarships/</v>
      </c>
      <c r="P281" s="14" t="s">
        <v>1009</v>
      </c>
      <c r="Q281" s="25">
        <v>0.77</v>
      </c>
      <c r="R281" s="14" t="s">
        <v>565</v>
      </c>
      <c r="S281" s="14" t="s">
        <v>1010</v>
      </c>
      <c r="T281" s="12"/>
      <c r="U281" s="12">
        <v>3.25</v>
      </c>
      <c r="V281" s="12"/>
      <c r="W281" s="12"/>
      <c r="X281" s="12"/>
      <c r="Y281" s="12"/>
      <c r="Z281" s="12"/>
      <c r="AA281" s="12"/>
    </row>
    <row r="282" spans="1:27" ht="95.25" customHeight="1" x14ac:dyDescent="0.2">
      <c r="A282" s="23" t="s">
        <v>914</v>
      </c>
      <c r="B282" s="14" t="s">
        <v>1013</v>
      </c>
      <c r="C282" s="14" t="s">
        <v>59</v>
      </c>
      <c r="D282" s="12"/>
      <c r="E282" s="14" t="s">
        <v>1014</v>
      </c>
      <c r="F282" s="14" t="s">
        <v>72</v>
      </c>
      <c r="G282" s="12"/>
      <c r="H282" s="17" t="s">
        <v>62</v>
      </c>
      <c r="I282" s="17" t="s">
        <v>74</v>
      </c>
      <c r="J282" s="14" t="s">
        <v>1015</v>
      </c>
      <c r="K282" s="24">
        <v>32</v>
      </c>
      <c r="L282" s="24">
        <v>1400</v>
      </c>
      <c r="M282" s="14" t="s">
        <v>197</v>
      </c>
      <c r="N282" s="24">
        <v>3.5</v>
      </c>
      <c r="O282" s="19" t="s">
        <v>1016</v>
      </c>
      <c r="P282" s="14" t="s">
        <v>1017</v>
      </c>
      <c r="Q282" s="25">
        <v>0.63</v>
      </c>
      <c r="R282" s="14" t="s">
        <v>126</v>
      </c>
      <c r="S282" s="14" t="s">
        <v>1018</v>
      </c>
      <c r="T282" s="12"/>
      <c r="U282" s="12">
        <v>3.42</v>
      </c>
      <c r="V282" s="12"/>
      <c r="W282" s="12"/>
      <c r="X282" s="12"/>
      <c r="Y282" s="12"/>
      <c r="Z282" s="12"/>
      <c r="AA282" s="12"/>
    </row>
    <row r="283" spans="1:27" ht="111" customHeight="1" x14ac:dyDescent="0.2">
      <c r="A283" s="23" t="s">
        <v>914</v>
      </c>
      <c r="B283" s="14" t="s">
        <v>1019</v>
      </c>
      <c r="C283" s="14" t="s">
        <v>59</v>
      </c>
      <c r="D283" s="14" t="s">
        <v>98</v>
      </c>
      <c r="E283" s="14" t="s">
        <v>88</v>
      </c>
      <c r="F283" s="14" t="s">
        <v>72</v>
      </c>
      <c r="G283" s="12"/>
      <c r="H283" s="17" t="s">
        <v>239</v>
      </c>
      <c r="I283" s="136">
        <v>42770</v>
      </c>
      <c r="J283" s="14" t="s">
        <v>1020</v>
      </c>
      <c r="K283" s="12"/>
      <c r="L283" s="12"/>
      <c r="M283" s="12"/>
      <c r="N283" s="12"/>
      <c r="O283" s="30" t="str">
        <f t="shared" ref="O283:O285" si="38">HYPERLINK("https://admissions.illinois.edu/Invest/scholarships-all","https://admissions.illinois.edu/Invest/scholarships-all")</f>
        <v>https://admissions.illinois.edu/Invest/scholarships-all</v>
      </c>
      <c r="P283" s="14" t="s">
        <v>1021</v>
      </c>
      <c r="Q283" s="58">
        <v>0.62</v>
      </c>
      <c r="R283" s="14" t="s">
        <v>379</v>
      </c>
      <c r="S283" s="14" t="s">
        <v>1022</v>
      </c>
      <c r="T283" s="12"/>
      <c r="U283" s="12" t="s">
        <v>81</v>
      </c>
      <c r="V283" s="12"/>
      <c r="W283" s="12"/>
      <c r="X283" s="12"/>
      <c r="Y283" s="12"/>
      <c r="Z283" s="12"/>
      <c r="AA283" s="12"/>
    </row>
    <row r="284" spans="1:27" ht="112" x14ac:dyDescent="0.2">
      <c r="A284" s="23" t="s">
        <v>914</v>
      </c>
      <c r="B284" s="14" t="s">
        <v>1019</v>
      </c>
      <c r="C284" s="14" t="s">
        <v>59</v>
      </c>
      <c r="D284" s="17" t="s">
        <v>98</v>
      </c>
      <c r="E284" s="14" t="s">
        <v>177</v>
      </c>
      <c r="F284" s="14" t="s">
        <v>72</v>
      </c>
      <c r="G284" s="12"/>
      <c r="H284" s="17" t="s">
        <v>239</v>
      </c>
      <c r="I284" s="17">
        <v>30</v>
      </c>
      <c r="J284" s="14" t="s">
        <v>1023</v>
      </c>
      <c r="K284" s="12"/>
      <c r="L284" s="12"/>
      <c r="M284" s="12"/>
      <c r="N284" s="12"/>
      <c r="O284" s="30" t="str">
        <f t="shared" si="38"/>
        <v>https://admissions.illinois.edu/Invest/scholarships-all</v>
      </c>
      <c r="P284" s="14" t="s">
        <v>1021</v>
      </c>
      <c r="Q284" s="58">
        <v>0.62</v>
      </c>
      <c r="R284" s="14" t="s">
        <v>379</v>
      </c>
      <c r="S284" s="14" t="s">
        <v>1022</v>
      </c>
      <c r="T284" s="12"/>
      <c r="U284" s="12" t="s">
        <v>81</v>
      </c>
      <c r="V284" s="12"/>
      <c r="W284" s="12"/>
      <c r="X284" s="12"/>
      <c r="Y284" s="12"/>
      <c r="Z284" s="12"/>
      <c r="AA284" s="12"/>
    </row>
    <row r="285" spans="1:27" ht="111" customHeight="1" x14ac:dyDescent="0.2">
      <c r="A285" s="23" t="s">
        <v>914</v>
      </c>
      <c r="B285" s="14" t="s">
        <v>1019</v>
      </c>
      <c r="C285" s="14" t="s">
        <v>59</v>
      </c>
      <c r="D285" s="12"/>
      <c r="E285" s="14" t="s">
        <v>111</v>
      </c>
      <c r="F285" s="14" t="s">
        <v>72</v>
      </c>
      <c r="G285" s="12"/>
      <c r="H285" s="17" t="s">
        <v>239</v>
      </c>
      <c r="I285" s="17">
        <v>10</v>
      </c>
      <c r="J285" s="14" t="s">
        <v>1024</v>
      </c>
      <c r="K285" s="12"/>
      <c r="L285" s="12"/>
      <c r="M285" s="12"/>
      <c r="N285" s="12"/>
      <c r="O285" s="30" t="str">
        <f t="shared" si="38"/>
        <v>https://admissions.illinois.edu/Invest/scholarships-all</v>
      </c>
      <c r="P285" s="14" t="s">
        <v>1021</v>
      </c>
      <c r="Q285" s="58">
        <v>0.62</v>
      </c>
      <c r="R285" s="14" t="s">
        <v>379</v>
      </c>
      <c r="S285" s="14" t="s">
        <v>1022</v>
      </c>
      <c r="T285" s="12"/>
      <c r="U285" s="12" t="s">
        <v>81</v>
      </c>
      <c r="V285" s="12"/>
      <c r="W285" s="12"/>
      <c r="X285" s="12"/>
      <c r="Y285" s="12"/>
      <c r="Z285" s="12"/>
      <c r="AA285" s="12"/>
    </row>
    <row r="286" spans="1:27" ht="111" customHeight="1" x14ac:dyDescent="0.2">
      <c r="A286" s="23" t="s">
        <v>914</v>
      </c>
      <c r="B286" s="14" t="s">
        <v>1025</v>
      </c>
      <c r="C286" s="14" t="s">
        <v>101</v>
      </c>
      <c r="D286" s="12"/>
      <c r="E286" s="14" t="s">
        <v>243</v>
      </c>
      <c r="F286" s="14" t="s">
        <v>72</v>
      </c>
      <c r="G286" s="12"/>
      <c r="H286" s="17" t="s">
        <v>239</v>
      </c>
      <c r="I286" s="17" t="s">
        <v>74</v>
      </c>
      <c r="J286" s="14" t="s">
        <v>1026</v>
      </c>
      <c r="K286" s="12"/>
      <c r="L286" s="12"/>
      <c r="M286" s="12"/>
      <c r="N286" s="12"/>
      <c r="O286" s="30" t="str">
        <f>HYPERLINK("http://www.stfrancis.edu/admissions/financial-aid/freshman-scholarships-grants/#.VlR31HYrLIU","http://www.stfrancis.edu/admissions/financial-aid/freshman-scholarships-grants/#.VlR31HYrLIU")</f>
        <v>http://www.stfrancis.edu/admissions/financial-aid/freshman-scholarships-grants/#.VlR31HYrLIU</v>
      </c>
      <c r="P286" s="33">
        <v>30840</v>
      </c>
      <c r="Q286" s="25">
        <v>0.51</v>
      </c>
      <c r="R286" s="14" t="s">
        <v>767</v>
      </c>
      <c r="S286" s="14" t="s">
        <v>1027</v>
      </c>
      <c r="T286" s="12"/>
      <c r="U286" s="12">
        <v>3.42</v>
      </c>
      <c r="V286" s="12"/>
      <c r="W286" s="12"/>
      <c r="X286" s="12"/>
      <c r="Y286" s="12"/>
      <c r="Z286" s="12"/>
      <c r="AA286" s="12"/>
    </row>
    <row r="287" spans="1:27" ht="112" x14ac:dyDescent="0.2">
      <c r="A287" s="23" t="s">
        <v>914</v>
      </c>
      <c r="B287" s="14" t="s">
        <v>1028</v>
      </c>
      <c r="C287" s="14" t="s">
        <v>59</v>
      </c>
      <c r="D287" s="16"/>
      <c r="E287" s="16" t="s">
        <v>111</v>
      </c>
      <c r="F287" s="14" t="s">
        <v>72</v>
      </c>
      <c r="G287" s="12"/>
      <c r="H287" s="17" t="s">
        <v>62</v>
      </c>
      <c r="I287" s="17" t="s">
        <v>74</v>
      </c>
      <c r="J287" s="16" t="s">
        <v>1029</v>
      </c>
      <c r="K287" s="17">
        <v>30</v>
      </c>
      <c r="L287" s="12"/>
      <c r="M287" s="12"/>
      <c r="N287" s="18">
        <v>3</v>
      </c>
      <c r="O287" s="30" t="str">
        <f>HYPERLINK("http://www.wiu.edu/student_services/scholarship/freshmanScholarships.php","http://www.wiu.edu/student_services/scholarship/freshmanScholarships.php")</f>
        <v>http://www.wiu.edu/student_services/scholarship/freshmanScholarships.php</v>
      </c>
      <c r="P287" s="14" t="s">
        <v>1030</v>
      </c>
      <c r="Q287" s="25">
        <v>0.6</v>
      </c>
      <c r="R287" s="14" t="s">
        <v>1031</v>
      </c>
      <c r="S287" s="14" t="s">
        <v>878</v>
      </c>
      <c r="T287" s="12"/>
      <c r="U287" s="12">
        <v>3.2</v>
      </c>
      <c r="V287" s="12"/>
      <c r="W287" s="12"/>
      <c r="X287" s="12"/>
      <c r="Y287" s="12"/>
      <c r="Z287" s="12"/>
      <c r="AA287" s="12"/>
    </row>
    <row r="288" spans="1:27" ht="95.25" customHeight="1" x14ac:dyDescent="0.2">
      <c r="A288" s="23" t="s">
        <v>914</v>
      </c>
      <c r="B288" s="14" t="s">
        <v>1032</v>
      </c>
      <c r="C288" s="14" t="s">
        <v>101</v>
      </c>
      <c r="D288" s="12"/>
      <c r="E288" s="14" t="s">
        <v>111</v>
      </c>
      <c r="F288" s="14" t="s">
        <v>72</v>
      </c>
      <c r="G288" s="12"/>
      <c r="H288" s="17" t="s">
        <v>1033</v>
      </c>
      <c r="I288" s="17" t="s">
        <v>74</v>
      </c>
      <c r="J288" s="14" t="s">
        <v>1034</v>
      </c>
      <c r="K288" s="12"/>
      <c r="L288" s="12"/>
      <c r="M288" s="12"/>
      <c r="N288" s="12"/>
      <c r="O288" s="30" t="str">
        <f t="shared" ref="O288:O289" si="39">HYPERLINK("http://www.wheaton.edu/Admissions-and-Aid/Financial-Aid/Undergraduate-Students/Scholarships-and-Aid/Merit-awards","http://www.wheaton.edu/Admissions-and-Aid/Financial-Aid/Undergraduate-Students/Scholarships-and-Aid/Merit-awards")</f>
        <v>http://www.wheaton.edu/Admissions-and-Aid/Financial-Aid/Undergraduate-Students/Scholarships-and-Aid/Merit-awards</v>
      </c>
      <c r="P288" s="33">
        <v>34050</v>
      </c>
      <c r="Q288" s="25">
        <v>0.71</v>
      </c>
      <c r="R288" s="34" t="s">
        <v>452</v>
      </c>
      <c r="S288" s="34" t="s">
        <v>1035</v>
      </c>
      <c r="T288" s="12"/>
      <c r="U288" s="12">
        <v>3.7</v>
      </c>
      <c r="V288" s="12"/>
      <c r="W288" s="12"/>
      <c r="X288" s="12"/>
      <c r="Y288" s="12"/>
      <c r="Z288" s="12"/>
      <c r="AA288" s="12"/>
    </row>
    <row r="289" spans="1:27" ht="95.25" customHeight="1" x14ac:dyDescent="0.2">
      <c r="A289" s="23" t="s">
        <v>914</v>
      </c>
      <c r="B289" s="14" t="s">
        <v>1032</v>
      </c>
      <c r="C289" s="14" t="s">
        <v>101</v>
      </c>
      <c r="D289" s="12"/>
      <c r="E289" s="14" t="s">
        <v>60</v>
      </c>
      <c r="F289" s="14" t="s">
        <v>72</v>
      </c>
      <c r="G289" s="12"/>
      <c r="H289" s="17" t="s">
        <v>1036</v>
      </c>
      <c r="I289" s="17">
        <v>6</v>
      </c>
      <c r="J289" s="14" t="s">
        <v>1037</v>
      </c>
      <c r="K289" s="12"/>
      <c r="L289" s="12"/>
      <c r="M289" s="12"/>
      <c r="N289" s="12"/>
      <c r="O289" s="30" t="str">
        <f t="shared" si="39"/>
        <v>http://www.wheaton.edu/Admissions-and-Aid/Financial-Aid/Undergraduate-Students/Scholarships-and-Aid/Merit-awards</v>
      </c>
      <c r="P289" s="33">
        <v>34050</v>
      </c>
      <c r="Q289" s="25">
        <v>0.71</v>
      </c>
      <c r="R289" s="34" t="s">
        <v>452</v>
      </c>
      <c r="S289" s="34" t="s">
        <v>1035</v>
      </c>
      <c r="T289" s="12"/>
      <c r="U289" s="12">
        <v>3.7</v>
      </c>
      <c r="V289" s="12"/>
      <c r="W289" s="12"/>
      <c r="X289" s="12"/>
      <c r="Y289" s="12"/>
      <c r="Z289" s="12"/>
      <c r="AA289" s="12"/>
    </row>
    <row r="290" spans="1:27" ht="158.25" customHeight="1" x14ac:dyDescent="0.2">
      <c r="A290" s="23" t="s">
        <v>1038</v>
      </c>
      <c r="B290" s="14" t="s">
        <v>1039</v>
      </c>
      <c r="C290" s="14" t="s">
        <v>59</v>
      </c>
      <c r="D290" s="16" t="s">
        <v>1040</v>
      </c>
      <c r="E290" s="14" t="s">
        <v>111</v>
      </c>
      <c r="F290" s="14" t="s">
        <v>72</v>
      </c>
      <c r="G290" s="12"/>
      <c r="H290" s="17" t="s">
        <v>1041</v>
      </c>
      <c r="I290" s="17" t="s">
        <v>74</v>
      </c>
      <c r="J290" s="14" t="s">
        <v>1042</v>
      </c>
      <c r="K290" s="12"/>
      <c r="L290" s="12"/>
      <c r="M290" s="12"/>
      <c r="N290" s="12"/>
      <c r="O290" s="30" t="str">
        <f>HYPERLINK("http://cms.bsu.edu/admissions/financial-aid-and-scholarships/types/scholarships","http://cms.bsu.edu/admissions/financial-aid-and-scholarships/types/scholarships")</f>
        <v>http://cms.bsu.edu/admissions/financial-aid-and-scholarships/types/scholarships</v>
      </c>
      <c r="P290" s="14" t="s">
        <v>1043</v>
      </c>
      <c r="Q290" s="25">
        <v>0.59899999999999998</v>
      </c>
      <c r="R290" s="14" t="s">
        <v>120</v>
      </c>
      <c r="S290" s="14" t="s">
        <v>1044</v>
      </c>
      <c r="T290" s="12"/>
      <c r="U290" s="12">
        <v>3.47</v>
      </c>
      <c r="V290" s="12"/>
      <c r="W290" s="12"/>
      <c r="X290" s="12"/>
      <c r="Y290" s="12"/>
      <c r="Z290" s="12"/>
      <c r="AA290" s="12"/>
    </row>
    <row r="291" spans="1:27" ht="205.5" customHeight="1" x14ac:dyDescent="0.2">
      <c r="A291" s="23" t="s">
        <v>1038</v>
      </c>
      <c r="B291" s="14" t="s">
        <v>1039</v>
      </c>
      <c r="C291" s="14" t="s">
        <v>59</v>
      </c>
      <c r="D291" s="12"/>
      <c r="E291" s="14" t="s">
        <v>111</v>
      </c>
      <c r="F291" s="14" t="s">
        <v>72</v>
      </c>
      <c r="G291" s="12"/>
      <c r="H291" s="17" t="s">
        <v>1045</v>
      </c>
      <c r="I291" s="17">
        <v>10</v>
      </c>
      <c r="J291" s="14" t="s">
        <v>1046</v>
      </c>
      <c r="K291" s="24">
        <v>29</v>
      </c>
      <c r="L291" s="24">
        <v>1380</v>
      </c>
      <c r="M291" s="14" t="s">
        <v>76</v>
      </c>
      <c r="N291" s="24">
        <v>3.7</v>
      </c>
      <c r="O291" s="30" t="s">
        <v>3528</v>
      </c>
      <c r="P291" s="14" t="s">
        <v>1043</v>
      </c>
      <c r="Q291" s="25">
        <v>0.59899999999999998</v>
      </c>
      <c r="R291" s="14" t="s">
        <v>120</v>
      </c>
      <c r="S291" s="14" t="s">
        <v>1044</v>
      </c>
      <c r="T291" s="12"/>
      <c r="U291" s="12">
        <v>3.47</v>
      </c>
      <c r="V291" s="12"/>
      <c r="W291" s="12"/>
      <c r="X291" s="12"/>
      <c r="Y291" s="12"/>
      <c r="Z291" s="12"/>
      <c r="AA291" s="12"/>
    </row>
    <row r="292" spans="1:27" ht="95.25" customHeight="1" x14ac:dyDescent="0.2">
      <c r="A292" s="23" t="s">
        <v>1038</v>
      </c>
      <c r="B292" s="14" t="s">
        <v>1047</v>
      </c>
      <c r="C292" s="14" t="s">
        <v>101</v>
      </c>
      <c r="D292" s="12"/>
      <c r="E292" s="14" t="s">
        <v>238</v>
      </c>
      <c r="F292" s="14" t="s">
        <v>145</v>
      </c>
      <c r="G292" s="12"/>
      <c r="H292" s="17" t="s">
        <v>157</v>
      </c>
      <c r="I292" s="17" t="s">
        <v>74</v>
      </c>
      <c r="J292" s="14" t="s">
        <v>1048</v>
      </c>
      <c r="K292" s="12"/>
      <c r="L292" s="12"/>
      <c r="M292" s="12"/>
      <c r="N292" s="12"/>
      <c r="O292" s="30" t="str">
        <f>HYPERLINK("http://www.bethelcollege.edu/students/undergrad/admission/financing-education/scholarships-grants/scholarship.html","http://www.bethelcollege.edu/students/undergrad/admission/financing-education/scholarships-grants/scholarship.html")</f>
        <v>http://www.bethelcollege.edu/students/undergrad/admission/financing-education/scholarships-grants/scholarship.html</v>
      </c>
      <c r="P292" s="33">
        <v>27390</v>
      </c>
      <c r="Q292" s="25">
        <v>0.66</v>
      </c>
      <c r="R292" s="34" t="s">
        <v>67</v>
      </c>
      <c r="S292" s="34" t="s">
        <v>1049</v>
      </c>
      <c r="T292" s="12"/>
      <c r="U292" s="12">
        <v>3.41</v>
      </c>
      <c r="V292" s="12"/>
      <c r="W292" s="12"/>
      <c r="X292" s="12"/>
      <c r="Y292" s="12"/>
      <c r="Z292" s="12"/>
      <c r="AA292" s="12"/>
    </row>
    <row r="293" spans="1:27" ht="205" x14ac:dyDescent="0.2">
      <c r="A293" s="23" t="s">
        <v>1038</v>
      </c>
      <c r="B293" s="14" t="s">
        <v>1050</v>
      </c>
      <c r="C293" s="14" t="s">
        <v>101</v>
      </c>
      <c r="D293" s="12"/>
      <c r="E293" s="16" t="s">
        <v>243</v>
      </c>
      <c r="F293" s="14" t="s">
        <v>61</v>
      </c>
      <c r="G293" s="12"/>
      <c r="H293" s="17" t="s">
        <v>950</v>
      </c>
      <c r="I293" s="17" t="s">
        <v>74</v>
      </c>
      <c r="J293" s="122" t="s">
        <v>1051</v>
      </c>
      <c r="K293" s="24">
        <v>28</v>
      </c>
      <c r="L293" s="18">
        <v>1320</v>
      </c>
      <c r="M293" s="17" t="s">
        <v>76</v>
      </c>
      <c r="N293" s="24">
        <v>3.9</v>
      </c>
      <c r="O293" s="19" t="s">
        <v>1052</v>
      </c>
      <c r="P293" s="33">
        <v>30025</v>
      </c>
      <c r="Q293" s="57">
        <v>0.6</v>
      </c>
      <c r="R293" s="12" t="s">
        <v>385</v>
      </c>
      <c r="S293" s="12" t="s">
        <v>1053</v>
      </c>
      <c r="T293" s="12"/>
      <c r="U293" s="12">
        <v>3.4</v>
      </c>
      <c r="V293" s="12"/>
      <c r="W293" s="12"/>
      <c r="X293" s="12"/>
      <c r="Y293" s="12"/>
      <c r="Z293" s="12"/>
      <c r="AA293" s="12"/>
    </row>
    <row r="294" spans="1:27" ht="210" x14ac:dyDescent="0.2">
      <c r="A294" s="23" t="s">
        <v>1038</v>
      </c>
      <c r="B294" s="14" t="s">
        <v>1050</v>
      </c>
      <c r="C294" s="14" t="s">
        <v>101</v>
      </c>
      <c r="D294" s="12"/>
      <c r="E294" s="14" t="s">
        <v>177</v>
      </c>
      <c r="F294" s="14" t="s">
        <v>72</v>
      </c>
      <c r="G294" s="12"/>
      <c r="H294" s="17" t="s">
        <v>1054</v>
      </c>
      <c r="I294" s="17">
        <v>1</v>
      </c>
      <c r="J294" s="81" t="s">
        <v>1055</v>
      </c>
      <c r="K294" s="12"/>
      <c r="L294" s="12"/>
      <c r="M294" s="12"/>
      <c r="N294" s="12"/>
      <c r="O294" s="19" t="s">
        <v>1056</v>
      </c>
      <c r="P294" s="33">
        <v>30025</v>
      </c>
      <c r="Q294" s="57">
        <v>0.6</v>
      </c>
      <c r="R294" s="12" t="s">
        <v>385</v>
      </c>
      <c r="S294" s="12" t="s">
        <v>1053</v>
      </c>
      <c r="T294" s="12"/>
      <c r="U294" s="12">
        <v>3.4</v>
      </c>
      <c r="V294" s="12"/>
      <c r="W294" s="12"/>
      <c r="X294" s="12"/>
      <c r="Y294" s="12"/>
      <c r="Z294" s="12"/>
      <c r="AA294" s="12"/>
    </row>
    <row r="295" spans="1:27" ht="15" customHeight="1" x14ac:dyDescent="0.2">
      <c r="A295" s="23" t="s">
        <v>1038</v>
      </c>
      <c r="B295" s="14" t="s">
        <v>1057</v>
      </c>
      <c r="C295" s="14" t="s">
        <v>101</v>
      </c>
      <c r="D295" s="12"/>
      <c r="E295" s="14" t="s">
        <v>1058</v>
      </c>
      <c r="F295" s="14" t="s">
        <v>72</v>
      </c>
      <c r="G295" s="12"/>
      <c r="H295" s="17" t="s">
        <v>1059</v>
      </c>
      <c r="I295" s="17" t="s">
        <v>74</v>
      </c>
      <c r="J295" s="122" t="s">
        <v>1060</v>
      </c>
      <c r="K295" s="12">
        <v>18</v>
      </c>
      <c r="L295" s="17">
        <v>940</v>
      </c>
      <c r="M295" s="17" t="s">
        <v>76</v>
      </c>
      <c r="N295" s="24">
        <v>3</v>
      </c>
      <c r="O295" s="30" t="str">
        <f t="shared" ref="O295:O296" si="40">HYPERLINK("https://www.goshen.edu/financial-aid/scholarships/achievement/","https://www.goshen.edu/financial-aid/scholarships/achievement/")</f>
        <v>https://www.goshen.edu/financial-aid/scholarships/achievement/</v>
      </c>
      <c r="P295" s="33">
        <v>32200</v>
      </c>
      <c r="Q295" s="25">
        <v>0.66</v>
      </c>
      <c r="R295" s="34" t="s">
        <v>182</v>
      </c>
      <c r="S295" s="34" t="s">
        <v>1061</v>
      </c>
      <c r="T295" s="12"/>
      <c r="U295" s="12">
        <v>3.44</v>
      </c>
      <c r="V295" s="12"/>
      <c r="W295" s="12"/>
      <c r="X295" s="12"/>
      <c r="Y295" s="12"/>
      <c r="Z295" s="12"/>
      <c r="AA295" s="12"/>
    </row>
    <row r="296" spans="1:27" ht="15" customHeight="1" x14ac:dyDescent="0.2">
      <c r="A296" s="23" t="s">
        <v>1038</v>
      </c>
      <c r="B296" s="14" t="s">
        <v>1057</v>
      </c>
      <c r="C296" s="14" t="s">
        <v>101</v>
      </c>
      <c r="D296" s="17" t="s">
        <v>1062</v>
      </c>
      <c r="E296" s="14" t="s">
        <v>238</v>
      </c>
      <c r="F296" s="14" t="s">
        <v>72</v>
      </c>
      <c r="G296" s="12"/>
      <c r="H296" s="17" t="s">
        <v>1063</v>
      </c>
      <c r="I296" s="17" t="s">
        <v>74</v>
      </c>
      <c r="J296" s="56" t="s">
        <v>1064</v>
      </c>
      <c r="K296" s="12">
        <v>18</v>
      </c>
      <c r="L296" s="17">
        <v>940</v>
      </c>
      <c r="M296" s="17" t="s">
        <v>76</v>
      </c>
      <c r="N296" s="24">
        <v>3</v>
      </c>
      <c r="O296" s="30" t="str">
        <f t="shared" si="40"/>
        <v>https://www.goshen.edu/financial-aid/scholarships/achievement/</v>
      </c>
      <c r="P296" s="33">
        <v>32200</v>
      </c>
      <c r="Q296" s="25">
        <v>0.66</v>
      </c>
      <c r="R296" s="34" t="s">
        <v>182</v>
      </c>
      <c r="S296" s="34" t="s">
        <v>1061</v>
      </c>
      <c r="T296" s="12"/>
      <c r="U296" s="12">
        <v>3.44</v>
      </c>
      <c r="V296" s="12"/>
      <c r="W296" s="12"/>
      <c r="X296" s="12"/>
      <c r="Y296" s="12"/>
      <c r="Z296" s="12"/>
      <c r="AA296" s="12"/>
    </row>
    <row r="297" spans="1:27" ht="78" customHeight="1" x14ac:dyDescent="0.2">
      <c r="A297" s="23" t="s">
        <v>1038</v>
      </c>
      <c r="B297" s="14" t="s">
        <v>1065</v>
      </c>
      <c r="C297" s="14" t="s">
        <v>101</v>
      </c>
      <c r="D297" s="12"/>
      <c r="E297" s="14" t="s">
        <v>177</v>
      </c>
      <c r="F297" s="14" t="s">
        <v>72</v>
      </c>
      <c r="G297" s="12"/>
      <c r="H297" s="17" t="s">
        <v>950</v>
      </c>
      <c r="I297" s="17">
        <v>1</v>
      </c>
      <c r="J297" s="16" t="s">
        <v>1066</v>
      </c>
      <c r="K297" s="24"/>
      <c r="L297" s="24"/>
      <c r="M297" s="12"/>
      <c r="N297" s="24"/>
      <c r="O297" s="30" t="str">
        <f t="shared" ref="O297:O298" si="41">HYPERLINK("http://www.grace.edu/admissions/undergraduate-admissions/financial-aid-scholarships/scholarships-grants","http://www.grace.edu/admissions/undergraduate-admissions/financial-aid-scholarships/scholarships-grants")</f>
        <v>http://www.grace.edu/admissions/undergraduate-admissions/financial-aid-scholarships/scholarships-grants</v>
      </c>
      <c r="P297" s="33">
        <v>23120</v>
      </c>
      <c r="Q297" s="25">
        <v>0.78</v>
      </c>
      <c r="R297" s="12" t="s">
        <v>182</v>
      </c>
      <c r="S297" s="12" t="s">
        <v>1067</v>
      </c>
      <c r="T297" s="12"/>
      <c r="U297" s="12">
        <v>3.59</v>
      </c>
      <c r="V297" s="12"/>
      <c r="W297" s="12"/>
      <c r="X297" s="12"/>
      <c r="Y297" s="12"/>
      <c r="Z297" s="12"/>
      <c r="AA297" s="12"/>
    </row>
    <row r="298" spans="1:27" ht="95.25" customHeight="1" x14ac:dyDescent="0.2">
      <c r="A298" s="23" t="s">
        <v>1038</v>
      </c>
      <c r="B298" s="14" t="s">
        <v>1065</v>
      </c>
      <c r="C298" s="14" t="s">
        <v>101</v>
      </c>
      <c r="D298" s="12"/>
      <c r="E298" s="14" t="s">
        <v>177</v>
      </c>
      <c r="F298" s="14" t="s">
        <v>92</v>
      </c>
      <c r="G298" s="12"/>
      <c r="H298" s="17" t="s">
        <v>93</v>
      </c>
      <c r="I298" s="17" t="s">
        <v>63</v>
      </c>
      <c r="J298" s="14" t="s">
        <v>1068</v>
      </c>
      <c r="K298" s="12"/>
      <c r="L298" s="12"/>
      <c r="M298" s="12"/>
      <c r="N298" s="12"/>
      <c r="O298" s="30" t="str">
        <f t="shared" si="41"/>
        <v>http://www.grace.edu/admissions/undergraduate-admissions/financial-aid-scholarships/scholarships-grants</v>
      </c>
      <c r="P298" s="33">
        <v>23120</v>
      </c>
      <c r="Q298" s="25">
        <v>0.78</v>
      </c>
      <c r="R298" s="12" t="s">
        <v>182</v>
      </c>
      <c r="S298" s="12" t="s">
        <v>1067</v>
      </c>
      <c r="T298" s="12"/>
      <c r="U298" s="12">
        <v>3.59</v>
      </c>
      <c r="V298" s="12"/>
      <c r="W298" s="12"/>
      <c r="X298" s="12"/>
      <c r="Y298" s="12"/>
      <c r="Z298" s="12"/>
      <c r="AA298" s="12"/>
    </row>
    <row r="299" spans="1:27" ht="221.25" customHeight="1" x14ac:dyDescent="0.2">
      <c r="A299" s="23" t="s">
        <v>1038</v>
      </c>
      <c r="B299" s="14" t="s">
        <v>1069</v>
      </c>
      <c r="C299" s="14" t="s">
        <v>101</v>
      </c>
      <c r="D299" s="12"/>
      <c r="E299" s="14" t="s">
        <v>60</v>
      </c>
      <c r="F299" s="14" t="s">
        <v>72</v>
      </c>
      <c r="G299" s="12"/>
      <c r="H299" s="17" t="s">
        <v>1070</v>
      </c>
      <c r="I299" s="17" t="s">
        <v>1071</v>
      </c>
      <c r="J299" s="14" t="s">
        <v>1072</v>
      </c>
      <c r="K299" s="12"/>
      <c r="L299" s="12"/>
      <c r="M299" s="12"/>
      <c r="N299" s="12"/>
      <c r="O299" s="30" t="str">
        <f>HYPERLINK("https://www.hanover.edu/admission/financialaid/scholarships","https://www.hanover.edu/admission/financialaid/scholarships")</f>
        <v>https://www.hanover.edu/admission/financialaid/scholarships</v>
      </c>
      <c r="P299" s="33">
        <v>35514</v>
      </c>
      <c r="Q299" s="25">
        <v>0.61</v>
      </c>
      <c r="R299" s="34" t="s">
        <v>142</v>
      </c>
      <c r="S299" s="34" t="s">
        <v>1073</v>
      </c>
      <c r="T299" s="12"/>
      <c r="U299" s="12">
        <v>3.64</v>
      </c>
      <c r="V299" s="12"/>
      <c r="W299" s="12"/>
      <c r="X299" s="12"/>
      <c r="Y299" s="12"/>
      <c r="Z299" s="12"/>
      <c r="AA299" s="12"/>
    </row>
    <row r="300" spans="1:27" ht="102.75" customHeight="1" x14ac:dyDescent="0.2">
      <c r="A300" s="20" t="s">
        <v>1038</v>
      </c>
      <c r="B300" s="20" t="s">
        <v>1074</v>
      </c>
      <c r="C300" s="20" t="s">
        <v>59</v>
      </c>
      <c r="D300" s="20" t="s">
        <v>194</v>
      </c>
      <c r="E300" s="20" t="s">
        <v>177</v>
      </c>
      <c r="F300" s="20" t="s">
        <v>72</v>
      </c>
      <c r="G300" s="20"/>
      <c r="H300" s="137" t="s">
        <v>1075</v>
      </c>
      <c r="I300" s="138">
        <v>10</v>
      </c>
      <c r="J300" s="139" t="s">
        <v>1076</v>
      </c>
      <c r="K300" s="140">
        <v>27</v>
      </c>
      <c r="L300" s="141">
        <v>1270</v>
      </c>
      <c r="M300" s="142" t="s">
        <v>76</v>
      </c>
      <c r="N300" s="140">
        <v>3.5</v>
      </c>
      <c r="O300" s="143" t="s">
        <v>1077</v>
      </c>
      <c r="P300" s="131" t="s">
        <v>1078</v>
      </c>
      <c r="Q300" s="144">
        <v>0.85</v>
      </c>
      <c r="R300" s="131" t="s">
        <v>420</v>
      </c>
      <c r="S300" s="22" t="s">
        <v>1079</v>
      </c>
      <c r="T300" s="12"/>
      <c r="U300" s="12"/>
      <c r="V300" s="12"/>
      <c r="W300" s="12"/>
      <c r="X300" s="12"/>
      <c r="Y300" s="12"/>
      <c r="Z300" s="12"/>
      <c r="AA300" s="12"/>
    </row>
    <row r="301" spans="1:27" ht="102.75" customHeight="1" x14ac:dyDescent="0.2">
      <c r="A301" s="11" t="s">
        <v>1038</v>
      </c>
      <c r="B301" s="12" t="s">
        <v>1080</v>
      </c>
      <c r="C301" s="26" t="s">
        <v>59</v>
      </c>
      <c r="D301" s="26" t="s">
        <v>194</v>
      </c>
      <c r="E301" s="12" t="s">
        <v>1081</v>
      </c>
      <c r="F301" s="12" t="s">
        <v>72</v>
      </c>
      <c r="G301" s="12"/>
      <c r="H301" s="17" t="s">
        <v>62</v>
      </c>
      <c r="I301" s="17" t="s">
        <v>74</v>
      </c>
      <c r="J301" s="32" t="s">
        <v>1082</v>
      </c>
      <c r="K301" s="24">
        <v>28</v>
      </c>
      <c r="L301" s="18">
        <v>1310</v>
      </c>
      <c r="M301" s="29" t="s">
        <v>76</v>
      </c>
      <c r="N301" s="12">
        <v>3.75</v>
      </c>
      <c r="O301" s="30" t="str">
        <f t="shared" ref="O301:O304" si="42">HYPERLINK("http://scholarships.iupui.edu/freshman/inres.html","http://scholarships.iupui.edu/freshman/inres.html")</f>
        <v>http://scholarships.iupui.edu/freshman/inres.html</v>
      </c>
      <c r="P301" s="26" t="s">
        <v>1083</v>
      </c>
      <c r="Q301" s="31">
        <v>0.7</v>
      </c>
      <c r="R301" s="26" t="s">
        <v>130</v>
      </c>
      <c r="S301" s="26" t="s">
        <v>1084</v>
      </c>
      <c r="T301" s="12"/>
      <c r="U301" s="12">
        <v>3.39</v>
      </c>
      <c r="V301" s="12"/>
      <c r="W301" s="12"/>
      <c r="X301" s="12"/>
      <c r="Y301" s="12"/>
      <c r="Z301" s="12"/>
      <c r="AA301" s="12"/>
    </row>
    <row r="302" spans="1:27" ht="114" customHeight="1" x14ac:dyDescent="0.2">
      <c r="A302" s="11" t="s">
        <v>1038</v>
      </c>
      <c r="B302" s="12" t="s">
        <v>1080</v>
      </c>
      <c r="C302" s="26" t="s">
        <v>59</v>
      </c>
      <c r="D302" s="29" t="s">
        <v>194</v>
      </c>
      <c r="E302" s="12" t="s">
        <v>263</v>
      </c>
      <c r="F302" s="12" t="s">
        <v>72</v>
      </c>
      <c r="G302" s="12"/>
      <c r="H302" s="17" t="s">
        <v>1085</v>
      </c>
      <c r="I302" s="17" t="s">
        <v>74</v>
      </c>
      <c r="J302" s="64" t="s">
        <v>1086</v>
      </c>
      <c r="K302" s="12"/>
      <c r="L302" s="12"/>
      <c r="M302" s="12"/>
      <c r="N302" s="12"/>
      <c r="O302" s="30" t="str">
        <f t="shared" si="42"/>
        <v>http://scholarships.iupui.edu/freshman/inres.html</v>
      </c>
      <c r="P302" s="26" t="s">
        <v>1083</v>
      </c>
      <c r="Q302" s="31">
        <v>0.7</v>
      </c>
      <c r="R302" s="26" t="s">
        <v>130</v>
      </c>
      <c r="S302" s="26" t="s">
        <v>1084</v>
      </c>
      <c r="T302" s="12"/>
      <c r="U302" s="12">
        <v>3.39</v>
      </c>
      <c r="V302" s="12"/>
      <c r="W302" s="12"/>
      <c r="X302" s="12"/>
      <c r="Y302" s="12"/>
      <c r="Z302" s="12"/>
      <c r="AA302" s="12"/>
    </row>
    <row r="303" spans="1:27" ht="199" x14ac:dyDescent="0.2">
      <c r="A303" s="11" t="s">
        <v>1038</v>
      </c>
      <c r="B303" s="12" t="s">
        <v>1080</v>
      </c>
      <c r="C303" s="26" t="s">
        <v>59</v>
      </c>
      <c r="D303" s="26" t="s">
        <v>194</v>
      </c>
      <c r="E303" s="12" t="s">
        <v>660</v>
      </c>
      <c r="F303" s="12" t="s">
        <v>72</v>
      </c>
      <c r="G303" s="12"/>
      <c r="H303" s="17" t="s">
        <v>1087</v>
      </c>
      <c r="I303" s="17" t="s">
        <v>74</v>
      </c>
      <c r="J303" s="64" t="s">
        <v>1088</v>
      </c>
      <c r="K303" s="12"/>
      <c r="L303" s="12"/>
      <c r="M303" s="12"/>
      <c r="N303" s="12"/>
      <c r="O303" s="30" t="str">
        <f t="shared" si="42"/>
        <v>http://scholarships.iupui.edu/freshman/inres.html</v>
      </c>
      <c r="P303" s="26" t="s">
        <v>1083</v>
      </c>
      <c r="Q303" s="31">
        <v>0.7</v>
      </c>
      <c r="R303" s="26" t="s">
        <v>130</v>
      </c>
      <c r="S303" s="26" t="s">
        <v>1084</v>
      </c>
      <c r="T303" s="12"/>
      <c r="U303" s="12">
        <v>3.39</v>
      </c>
      <c r="V303" s="12"/>
      <c r="W303" s="12"/>
      <c r="X303" s="12"/>
      <c r="Y303" s="12"/>
      <c r="Z303" s="12"/>
      <c r="AA303" s="12"/>
    </row>
    <row r="304" spans="1:27" ht="78" customHeight="1" x14ac:dyDescent="0.2">
      <c r="A304" s="11" t="s">
        <v>1038</v>
      </c>
      <c r="B304" s="12" t="s">
        <v>1080</v>
      </c>
      <c r="C304" s="26" t="s">
        <v>59</v>
      </c>
      <c r="D304" s="26" t="s">
        <v>194</v>
      </c>
      <c r="E304" s="12" t="s">
        <v>263</v>
      </c>
      <c r="F304" s="12" t="s">
        <v>72</v>
      </c>
      <c r="G304" s="12"/>
      <c r="H304" s="17" t="s">
        <v>1089</v>
      </c>
      <c r="I304" s="17" t="s">
        <v>74</v>
      </c>
      <c r="J304" s="14" t="s">
        <v>1090</v>
      </c>
      <c r="K304" s="12"/>
      <c r="L304" s="12"/>
      <c r="M304" s="12"/>
      <c r="N304" s="12"/>
      <c r="O304" s="30" t="str">
        <f t="shared" si="42"/>
        <v>http://scholarships.iupui.edu/freshman/inres.html</v>
      </c>
      <c r="P304" s="26" t="s">
        <v>1083</v>
      </c>
      <c r="Q304" s="31">
        <v>0.7</v>
      </c>
      <c r="R304" s="26" t="s">
        <v>130</v>
      </c>
      <c r="S304" s="26" t="s">
        <v>1084</v>
      </c>
      <c r="T304" s="12"/>
      <c r="U304" s="12">
        <v>3.39</v>
      </c>
      <c r="V304" s="12"/>
      <c r="W304" s="12"/>
      <c r="X304" s="12"/>
      <c r="Y304" s="12"/>
      <c r="Z304" s="12"/>
      <c r="AA304" s="12"/>
    </row>
    <row r="305" spans="1:27" ht="126.75" customHeight="1" x14ac:dyDescent="0.2">
      <c r="A305" s="23" t="s">
        <v>1038</v>
      </c>
      <c r="B305" s="14" t="s">
        <v>1091</v>
      </c>
      <c r="C305" s="14" t="s">
        <v>59</v>
      </c>
      <c r="D305" s="14"/>
      <c r="E305" s="14" t="s">
        <v>789</v>
      </c>
      <c r="F305" s="14" t="s">
        <v>145</v>
      </c>
      <c r="G305" s="12"/>
      <c r="H305" s="17" t="s">
        <v>157</v>
      </c>
      <c r="I305" s="17" t="s">
        <v>74</v>
      </c>
      <c r="J305" s="14" t="s">
        <v>1092</v>
      </c>
      <c r="K305" s="12"/>
      <c r="L305" s="12"/>
      <c r="M305" s="12"/>
      <c r="N305" s="12"/>
      <c r="O305" s="30" t="str">
        <f t="shared" ref="O305:O306" si="43">HYPERLINK("https://scholarships.indiana.edu/scholarships/index.html?typeOfStudent=Incoming%20Freshman%20Student&amp;residency=In-State","https://scholarships.indiana.edu/scholarships/index.html?typeOfStudent=Incoming%20Freshman%20Student&amp;residency=In-State")</f>
        <v>https://scholarships.indiana.edu/scholarships/index.html?typeOfStudent=Incoming%20Freshman%20Student&amp;residency=In-State</v>
      </c>
      <c r="P305" s="14" t="s">
        <v>1093</v>
      </c>
      <c r="Q305" s="25">
        <v>0.78</v>
      </c>
      <c r="R305" s="14" t="s">
        <v>96</v>
      </c>
      <c r="S305" s="14" t="s">
        <v>1094</v>
      </c>
      <c r="T305" s="12"/>
      <c r="U305" s="12">
        <v>3.64</v>
      </c>
      <c r="V305" s="12"/>
      <c r="W305" s="12"/>
      <c r="X305" s="12"/>
      <c r="Y305" s="12"/>
      <c r="Z305" s="12"/>
      <c r="AA305" s="12"/>
    </row>
    <row r="306" spans="1:27" ht="142.5" customHeight="1" x14ac:dyDescent="0.2">
      <c r="A306" s="23" t="s">
        <v>1038</v>
      </c>
      <c r="B306" s="14" t="s">
        <v>1091</v>
      </c>
      <c r="C306" s="14" t="s">
        <v>59</v>
      </c>
      <c r="D306" s="14" t="s">
        <v>98</v>
      </c>
      <c r="E306" s="14" t="s">
        <v>990</v>
      </c>
      <c r="F306" s="14" t="s">
        <v>72</v>
      </c>
      <c r="G306" s="12"/>
      <c r="H306" s="17" t="s">
        <v>1089</v>
      </c>
      <c r="I306" s="17" t="s">
        <v>74</v>
      </c>
      <c r="J306" s="14" t="s">
        <v>1095</v>
      </c>
      <c r="K306" s="12"/>
      <c r="L306" s="12"/>
      <c r="M306" s="12"/>
      <c r="N306" s="12"/>
      <c r="O306" s="30" t="str">
        <f t="shared" si="43"/>
        <v>https://scholarships.indiana.edu/scholarships/index.html?typeOfStudent=Incoming%20Freshman%20Student&amp;residency=In-State</v>
      </c>
      <c r="P306" s="14" t="s">
        <v>1093</v>
      </c>
      <c r="Q306" s="25">
        <v>0.78</v>
      </c>
      <c r="R306" s="14" t="s">
        <v>96</v>
      </c>
      <c r="S306" s="14" t="s">
        <v>1094</v>
      </c>
      <c r="T306" s="12"/>
      <c r="U306" s="12">
        <v>3.64</v>
      </c>
      <c r="V306" s="12"/>
      <c r="W306" s="12"/>
      <c r="X306" s="12"/>
      <c r="Y306" s="12"/>
      <c r="Z306" s="12"/>
      <c r="AA306" s="12"/>
    </row>
    <row r="307" spans="1:27" ht="126.75" customHeight="1" x14ac:dyDescent="0.2">
      <c r="A307" s="23" t="s">
        <v>1038</v>
      </c>
      <c r="B307" s="14" t="s">
        <v>1091</v>
      </c>
      <c r="C307" s="14" t="s">
        <v>59</v>
      </c>
      <c r="D307" s="14" t="s">
        <v>98</v>
      </c>
      <c r="E307" s="14" t="s">
        <v>990</v>
      </c>
      <c r="F307" s="14" t="s">
        <v>72</v>
      </c>
      <c r="G307" s="12"/>
      <c r="H307" s="17" t="s">
        <v>1096</v>
      </c>
      <c r="I307" s="17" t="s">
        <v>74</v>
      </c>
      <c r="J307" s="145" t="s">
        <v>1097</v>
      </c>
      <c r="K307" s="17">
        <v>32</v>
      </c>
      <c r="L307" s="17">
        <v>1440</v>
      </c>
      <c r="M307" s="17" t="s">
        <v>76</v>
      </c>
      <c r="N307" s="24"/>
      <c r="O307" s="19" t="s">
        <v>1098</v>
      </c>
      <c r="P307" s="14" t="s">
        <v>1093</v>
      </c>
      <c r="Q307" s="25">
        <v>0.78</v>
      </c>
      <c r="R307" s="14" t="s">
        <v>96</v>
      </c>
      <c r="S307" s="14" t="s">
        <v>1094</v>
      </c>
      <c r="T307" s="12"/>
      <c r="U307" s="12">
        <v>3.64</v>
      </c>
      <c r="V307" s="12"/>
      <c r="W307" s="12"/>
      <c r="X307" s="12"/>
      <c r="Y307" s="12"/>
      <c r="Z307" s="12"/>
      <c r="AA307" s="12"/>
    </row>
    <row r="308" spans="1:27" ht="192" x14ac:dyDescent="0.2">
      <c r="A308" s="23" t="s">
        <v>1038</v>
      </c>
      <c r="B308" s="14" t="s">
        <v>1091</v>
      </c>
      <c r="C308" s="14" t="s">
        <v>59</v>
      </c>
      <c r="D308" s="14" t="s">
        <v>98</v>
      </c>
      <c r="E308" s="14" t="s">
        <v>82</v>
      </c>
      <c r="F308" s="14" t="s">
        <v>72</v>
      </c>
      <c r="G308" s="12"/>
      <c r="H308" s="17" t="s">
        <v>1099</v>
      </c>
      <c r="I308" s="17" t="s">
        <v>74</v>
      </c>
      <c r="J308" s="14" t="s">
        <v>1100</v>
      </c>
      <c r="K308" s="24">
        <v>32</v>
      </c>
      <c r="L308" s="18">
        <v>1410</v>
      </c>
      <c r="M308" s="16" t="s">
        <v>76</v>
      </c>
      <c r="N308" s="24">
        <v>3.5</v>
      </c>
      <c r="O308" s="30" t="str">
        <f>HYPERLINK("http://kelley.iu.edu/Ugrad/Admissions/Scholarships/page39600.html","http://kelley.iu.edu/Ugrad/Admissions/Scholarships/page39600.html")</f>
        <v>http://kelley.iu.edu/Ugrad/Admissions/Scholarships/page39600.html</v>
      </c>
      <c r="P308" s="14" t="s">
        <v>1093</v>
      </c>
      <c r="Q308" s="25">
        <v>0.78</v>
      </c>
      <c r="R308" s="14" t="s">
        <v>96</v>
      </c>
      <c r="S308" s="14" t="s">
        <v>1094</v>
      </c>
      <c r="T308" s="12"/>
      <c r="U308" s="12">
        <v>3.64</v>
      </c>
      <c r="V308" s="12"/>
      <c r="W308" s="12"/>
      <c r="X308" s="12"/>
      <c r="Y308" s="12"/>
      <c r="Z308" s="12"/>
      <c r="AA308" s="12"/>
    </row>
    <row r="309" spans="1:27" ht="145" x14ac:dyDescent="0.2">
      <c r="A309" s="23" t="s">
        <v>1038</v>
      </c>
      <c r="B309" s="14" t="s">
        <v>1091</v>
      </c>
      <c r="C309" s="14" t="s">
        <v>59</v>
      </c>
      <c r="D309" s="14"/>
      <c r="E309" s="14" t="s">
        <v>990</v>
      </c>
      <c r="F309" s="14" t="s">
        <v>72</v>
      </c>
      <c r="G309" s="12"/>
      <c r="H309" s="17" t="s">
        <v>1101</v>
      </c>
      <c r="I309" s="17" t="s">
        <v>113</v>
      </c>
      <c r="J309" s="56" t="s">
        <v>1102</v>
      </c>
      <c r="K309" s="12"/>
      <c r="L309" s="12"/>
      <c r="M309" s="12"/>
      <c r="N309" s="12"/>
      <c r="O309" s="30" t="str">
        <f t="shared" ref="O309:O310" si="44">HYPERLINK("https://scholarships.indiana.edu/scholarships/index.html?typeOfStudent=Incoming%20Freshman%20Student&amp;residency=In-State","https://scholarships.indiana.edu/scholarships/index.html?typeOfStudent=Incoming%20Freshman%20Student&amp;residency=In-State")</f>
        <v>https://scholarships.indiana.edu/scholarships/index.html?typeOfStudent=Incoming%20Freshman%20Student&amp;residency=In-State</v>
      </c>
      <c r="P309" s="14" t="s">
        <v>1093</v>
      </c>
      <c r="Q309" s="25">
        <v>0.78</v>
      </c>
      <c r="R309" s="14" t="s">
        <v>96</v>
      </c>
      <c r="S309" s="14" t="s">
        <v>1094</v>
      </c>
      <c r="T309" s="12"/>
      <c r="U309" s="12">
        <v>3.64</v>
      </c>
      <c r="V309" s="12"/>
      <c r="W309" s="12"/>
      <c r="X309" s="12"/>
      <c r="Y309" s="12"/>
      <c r="Z309" s="12"/>
      <c r="AA309" s="12"/>
    </row>
    <row r="310" spans="1:27" ht="111" customHeight="1" x14ac:dyDescent="0.2">
      <c r="A310" s="23" t="s">
        <v>1038</v>
      </c>
      <c r="B310" s="14" t="s">
        <v>1091</v>
      </c>
      <c r="C310" s="14" t="s">
        <v>59</v>
      </c>
      <c r="D310" s="14"/>
      <c r="E310" s="14" t="s">
        <v>789</v>
      </c>
      <c r="F310" s="14" t="s">
        <v>145</v>
      </c>
      <c r="G310" s="12"/>
      <c r="H310" s="17" t="s">
        <v>157</v>
      </c>
      <c r="I310" s="17" t="s">
        <v>74</v>
      </c>
      <c r="J310" s="14" t="s">
        <v>1103</v>
      </c>
      <c r="K310" s="12"/>
      <c r="L310" s="12"/>
      <c r="M310" s="12"/>
      <c r="N310" s="12"/>
      <c r="O310" s="30" t="str">
        <f t="shared" si="44"/>
        <v>https://scholarships.indiana.edu/scholarships/index.html?typeOfStudent=Incoming%20Freshman%20Student&amp;residency=In-State</v>
      </c>
      <c r="P310" s="14" t="s">
        <v>1093</v>
      </c>
      <c r="Q310" s="25">
        <v>0.78</v>
      </c>
      <c r="R310" s="14" t="s">
        <v>96</v>
      </c>
      <c r="S310" s="14" t="s">
        <v>1094</v>
      </c>
      <c r="T310" s="12"/>
      <c r="U310" s="12">
        <v>3.64</v>
      </c>
      <c r="V310" s="12"/>
      <c r="W310" s="12"/>
      <c r="X310" s="12"/>
      <c r="Y310" s="12"/>
      <c r="Z310" s="12"/>
      <c r="AA310" s="12"/>
    </row>
    <row r="311" spans="1:27" ht="182" x14ac:dyDescent="0.2">
      <c r="A311" s="109" t="s">
        <v>1038</v>
      </c>
      <c r="B311" s="128" t="s">
        <v>1080</v>
      </c>
      <c r="C311" s="110" t="s">
        <v>59</v>
      </c>
      <c r="D311" s="112"/>
      <c r="E311" s="110" t="s">
        <v>60</v>
      </c>
      <c r="F311" s="110" t="s">
        <v>72</v>
      </c>
      <c r="G311" s="112"/>
      <c r="H311" s="117" t="s">
        <v>1104</v>
      </c>
      <c r="I311" s="117" t="s">
        <v>74</v>
      </c>
      <c r="J311" s="118" t="s">
        <v>1105</v>
      </c>
      <c r="K311" s="119">
        <v>21</v>
      </c>
      <c r="L311" s="119">
        <v>1000</v>
      </c>
      <c r="M311" s="128" t="s">
        <v>76</v>
      </c>
      <c r="N311" s="112"/>
      <c r="O311" s="113" t="str">
        <f>HYPERLINK("http://scholarships.iupui.edu/freshman/inmajorspecific.html","http://scholarships.iupui.edu/freshman/inmajorspecific.html")</f>
        <v>http://scholarships.iupui.edu/freshman/inmajorspecific.html</v>
      </c>
      <c r="P311" s="110" t="s">
        <v>1083</v>
      </c>
      <c r="Q311" s="114">
        <v>0.7</v>
      </c>
      <c r="R311" s="110" t="s">
        <v>130</v>
      </c>
      <c r="S311" s="110" t="s">
        <v>1106</v>
      </c>
      <c r="T311" s="112"/>
      <c r="U311" s="112">
        <v>3.39</v>
      </c>
      <c r="V311" s="112"/>
      <c r="W311" s="112"/>
      <c r="X311" s="112"/>
      <c r="Y311" s="112"/>
      <c r="Z311" s="112"/>
      <c r="AA311" s="112"/>
    </row>
    <row r="312" spans="1:27" ht="15" customHeight="1" x14ac:dyDescent="0.2">
      <c r="A312" s="109" t="s">
        <v>1038</v>
      </c>
      <c r="B312" s="128" t="s">
        <v>1080</v>
      </c>
      <c r="C312" s="110" t="s">
        <v>59</v>
      </c>
      <c r="D312" s="17" t="s">
        <v>1107</v>
      </c>
      <c r="E312" s="16" t="s">
        <v>1108</v>
      </c>
      <c r="F312" s="16" t="s">
        <v>72</v>
      </c>
      <c r="G312" s="12"/>
      <c r="H312" s="17" t="s">
        <v>1109</v>
      </c>
      <c r="I312" s="17" t="s">
        <v>74</v>
      </c>
      <c r="J312" s="122" t="s">
        <v>1110</v>
      </c>
      <c r="K312" s="24"/>
      <c r="L312" s="24"/>
      <c r="M312" s="12"/>
      <c r="N312" s="18">
        <v>2.7</v>
      </c>
      <c r="O312" s="19" t="s">
        <v>1111</v>
      </c>
      <c r="P312" s="110" t="s">
        <v>1083</v>
      </c>
      <c r="Q312" s="114">
        <v>0.7</v>
      </c>
      <c r="R312" s="110" t="s">
        <v>130</v>
      </c>
      <c r="S312" s="110" t="s">
        <v>1106</v>
      </c>
      <c r="T312" s="112"/>
      <c r="U312" s="112">
        <v>3.39</v>
      </c>
      <c r="V312" s="12"/>
      <c r="W312" s="12"/>
      <c r="X312" s="12"/>
      <c r="Y312" s="12"/>
      <c r="Z312" s="12"/>
      <c r="AA312" s="12"/>
    </row>
    <row r="313" spans="1:27" ht="15" customHeight="1" x14ac:dyDescent="0.2">
      <c r="A313" s="109" t="s">
        <v>1038</v>
      </c>
      <c r="B313" s="128" t="s">
        <v>1080</v>
      </c>
      <c r="C313" s="110" t="s">
        <v>59</v>
      </c>
      <c r="D313" s="17" t="s">
        <v>1107</v>
      </c>
      <c r="E313" s="16" t="s">
        <v>1108</v>
      </c>
      <c r="F313" s="16" t="s">
        <v>72</v>
      </c>
      <c r="G313" s="12"/>
      <c r="H313" s="17" t="s">
        <v>1112</v>
      </c>
      <c r="I313" s="17" t="s">
        <v>74</v>
      </c>
      <c r="J313" s="122" t="s">
        <v>1113</v>
      </c>
      <c r="K313" s="18">
        <v>23</v>
      </c>
      <c r="L313" s="18">
        <v>1140</v>
      </c>
      <c r="M313" s="17" t="s">
        <v>76</v>
      </c>
      <c r="N313" s="18">
        <v>3</v>
      </c>
      <c r="O313" s="19" t="s">
        <v>1111</v>
      </c>
      <c r="P313" s="110" t="s">
        <v>1083</v>
      </c>
      <c r="Q313" s="114">
        <v>0.7</v>
      </c>
      <c r="R313" s="110" t="s">
        <v>67</v>
      </c>
      <c r="S313" s="110" t="s">
        <v>1106</v>
      </c>
      <c r="T313" s="112"/>
      <c r="U313" s="112">
        <v>3.39</v>
      </c>
      <c r="V313" s="12"/>
      <c r="W313" s="12"/>
      <c r="X313" s="12"/>
      <c r="Y313" s="12"/>
      <c r="Z313" s="12"/>
      <c r="AA313" s="12"/>
    </row>
    <row r="314" spans="1:27" ht="15" customHeight="1" x14ac:dyDescent="0.2">
      <c r="A314" s="23" t="s">
        <v>1038</v>
      </c>
      <c r="B314" s="14" t="s">
        <v>1114</v>
      </c>
      <c r="C314" s="14" t="s">
        <v>101</v>
      </c>
      <c r="D314" s="12"/>
      <c r="E314" s="14" t="s">
        <v>177</v>
      </c>
      <c r="F314" s="14" t="s">
        <v>72</v>
      </c>
      <c r="G314" s="12"/>
      <c r="H314" s="17" t="s">
        <v>1115</v>
      </c>
      <c r="I314" s="17" t="s">
        <v>74</v>
      </c>
      <c r="J314" s="56" t="s">
        <v>1116</v>
      </c>
      <c r="K314" s="24">
        <v>27</v>
      </c>
      <c r="L314" s="18">
        <v>1270</v>
      </c>
      <c r="M314" s="17" t="s">
        <v>76</v>
      </c>
      <c r="N314" s="24">
        <v>3.75</v>
      </c>
      <c r="O314" s="30" t="str">
        <f>HYPERLINK("http://www.marian.edu/admissions/financial-aid/academic-scholarships/saint-mary-academic-scholarship","http://www.marian.edu/admissions/financial-aid/academic-scholarships/saint-mary-academic-scholarship")</f>
        <v>http://www.marian.edu/admissions/financial-aid/academic-scholarships/saint-mary-academic-scholarship</v>
      </c>
      <c r="P314" s="33">
        <v>31500</v>
      </c>
      <c r="Q314" s="25">
        <v>0.55000000000000004</v>
      </c>
      <c r="R314" s="12" t="s">
        <v>126</v>
      </c>
      <c r="S314" s="12" t="s">
        <v>1117</v>
      </c>
      <c r="T314" s="12"/>
      <c r="U314" s="12">
        <v>3.45</v>
      </c>
      <c r="V314" s="12"/>
      <c r="W314" s="12"/>
      <c r="X314" s="12"/>
      <c r="Y314" s="12"/>
      <c r="Z314" s="12"/>
      <c r="AA314" s="12"/>
    </row>
    <row r="315" spans="1:27" ht="155" x14ac:dyDescent="0.2">
      <c r="A315" s="11" t="s">
        <v>1038</v>
      </c>
      <c r="B315" s="12" t="s">
        <v>1118</v>
      </c>
      <c r="C315" s="26" t="s">
        <v>59</v>
      </c>
      <c r="D315" s="12"/>
      <c r="E315" s="12" t="s">
        <v>88</v>
      </c>
      <c r="F315" s="12" t="s">
        <v>72</v>
      </c>
      <c r="G315" s="12"/>
      <c r="H315" s="17" t="s">
        <v>939</v>
      </c>
      <c r="I315" s="17" t="s">
        <v>74</v>
      </c>
      <c r="J315" s="64" t="s">
        <v>1119</v>
      </c>
      <c r="K315" s="12"/>
      <c r="L315" s="12"/>
      <c r="M315" s="12"/>
      <c r="N315" s="12"/>
      <c r="O315" s="30" t="str">
        <f>HYPERLINK("http://www.stampsfoundation.org/2012/11/01/purdue-university-west-lafayette-in/","http://www.stampsfoundation.org/2012/11/01/purdue-university-west-lafayette-in/")</f>
        <v>http://www.stampsfoundation.org/2012/11/01/purdue-university-west-lafayette-in/</v>
      </c>
      <c r="P315" s="26" t="s">
        <v>1120</v>
      </c>
      <c r="Q315" s="31">
        <v>0.59</v>
      </c>
      <c r="R315" s="26" t="s">
        <v>231</v>
      </c>
      <c r="S315" s="26" t="s">
        <v>1121</v>
      </c>
      <c r="T315" s="12"/>
      <c r="U315" s="12">
        <v>3.72</v>
      </c>
      <c r="V315" s="12"/>
      <c r="W315" s="12"/>
      <c r="X315" s="12"/>
      <c r="Y315" s="12"/>
      <c r="Z315" s="12"/>
      <c r="AA315" s="12"/>
    </row>
    <row r="316" spans="1:27" ht="221.25" customHeight="1" x14ac:dyDescent="0.2">
      <c r="A316" s="23" t="s">
        <v>1038</v>
      </c>
      <c r="B316" s="16" t="s">
        <v>1122</v>
      </c>
      <c r="C316" s="14" t="s">
        <v>59</v>
      </c>
      <c r="D316" s="16" t="s">
        <v>194</v>
      </c>
      <c r="E316" s="16" t="s">
        <v>82</v>
      </c>
      <c r="F316" s="14" t="s">
        <v>72</v>
      </c>
      <c r="G316" s="12"/>
      <c r="H316" s="17" t="s">
        <v>1123</v>
      </c>
      <c r="I316" s="17">
        <v>4</v>
      </c>
      <c r="J316" s="14" t="s">
        <v>1124</v>
      </c>
      <c r="K316" s="12"/>
      <c r="L316" s="12"/>
      <c r="M316" s="12"/>
      <c r="N316" s="12"/>
      <c r="O316" s="30" t="str">
        <f>HYPERLINK("http://www.ipfw.edu/offices/chapman/chapman-scholars-program/","http://www.ipfw.edu/offices/chapman/chapman-scholars-program/")</f>
        <v>http://www.ipfw.edu/offices/chapman/chapman-scholars-program/</v>
      </c>
      <c r="P316" s="14" t="s">
        <v>1125</v>
      </c>
      <c r="Q316" s="25">
        <v>0.91</v>
      </c>
      <c r="R316" s="14" t="s">
        <v>130</v>
      </c>
      <c r="S316" s="14" t="s">
        <v>1126</v>
      </c>
      <c r="T316" s="12"/>
      <c r="U316" s="12">
        <v>3.2</v>
      </c>
      <c r="V316" s="12"/>
      <c r="W316" s="12"/>
      <c r="X316" s="12"/>
      <c r="Y316" s="12"/>
      <c r="Z316" s="12"/>
      <c r="AA316" s="12"/>
    </row>
    <row r="317" spans="1:27" ht="111" customHeight="1" x14ac:dyDescent="0.2">
      <c r="A317" s="23" t="s">
        <v>1038</v>
      </c>
      <c r="B317" s="16" t="s">
        <v>1122</v>
      </c>
      <c r="C317" s="14" t="s">
        <v>59</v>
      </c>
      <c r="D317" s="14"/>
      <c r="E317" s="14" t="s">
        <v>111</v>
      </c>
      <c r="F317" s="14" t="s">
        <v>72</v>
      </c>
      <c r="G317" s="12"/>
      <c r="H317" s="17" t="s">
        <v>1127</v>
      </c>
      <c r="I317" s="17">
        <v>1</v>
      </c>
      <c r="J317" s="14" t="s">
        <v>1128</v>
      </c>
      <c r="K317" s="12"/>
      <c r="L317" s="12"/>
      <c r="M317" s="12"/>
      <c r="N317" s="12"/>
      <c r="O317" s="30" t="str">
        <f>HYPERLINK("http://www.ipfw.edu/offices/chapman/doermer-distinguished-scholars-program/","http://www.ipfw.edu/offices/chapman/doermer-distinguished-scholars-program/")</f>
        <v>http://www.ipfw.edu/offices/chapman/doermer-distinguished-scholars-program/</v>
      </c>
      <c r="P317" s="14" t="s">
        <v>1125</v>
      </c>
      <c r="Q317" s="25">
        <v>0.91</v>
      </c>
      <c r="R317" s="14" t="s">
        <v>130</v>
      </c>
      <c r="S317" s="14" t="s">
        <v>1126</v>
      </c>
      <c r="T317" s="12"/>
      <c r="U317" s="12">
        <v>3.2</v>
      </c>
      <c r="V317" s="12"/>
      <c r="W317" s="12"/>
      <c r="X317" s="12"/>
      <c r="Y317" s="12"/>
      <c r="Z317" s="12"/>
      <c r="AA317" s="12"/>
    </row>
    <row r="318" spans="1:27" ht="111" customHeight="1" x14ac:dyDescent="0.2">
      <c r="A318" s="23" t="s">
        <v>1038</v>
      </c>
      <c r="B318" s="16" t="s">
        <v>1122</v>
      </c>
      <c r="C318" s="14" t="s">
        <v>59</v>
      </c>
      <c r="D318" s="14"/>
      <c r="E318" s="14" t="s">
        <v>111</v>
      </c>
      <c r="F318" s="14" t="s">
        <v>72</v>
      </c>
      <c r="G318" s="12"/>
      <c r="H318" s="17" t="s">
        <v>1129</v>
      </c>
      <c r="I318" s="17" t="s">
        <v>74</v>
      </c>
      <c r="J318" s="14" t="s">
        <v>1130</v>
      </c>
      <c r="K318" s="12"/>
      <c r="L318" s="12"/>
      <c r="M318" s="12"/>
      <c r="N318" s="12"/>
      <c r="O318" s="30" t="str">
        <f>HYPERLINK("http://www.ipfw.edu/offices/chapman/weitzman-scholars-program","http://www.ipfw.edu/offices/chapman/weitzman-scholars-program")</f>
        <v>http://www.ipfw.edu/offices/chapman/weitzman-scholars-program</v>
      </c>
      <c r="P318" s="14" t="s">
        <v>1125</v>
      </c>
      <c r="Q318" s="25">
        <v>0.91</v>
      </c>
      <c r="R318" s="14" t="s">
        <v>130</v>
      </c>
      <c r="S318" s="14" t="s">
        <v>1126</v>
      </c>
      <c r="T318" s="12"/>
      <c r="U318" s="12">
        <v>3.2</v>
      </c>
      <c r="V318" s="12"/>
      <c r="W318" s="12"/>
      <c r="X318" s="12"/>
      <c r="Y318" s="12"/>
      <c r="Z318" s="12"/>
      <c r="AA318" s="12"/>
    </row>
    <row r="319" spans="1:27" ht="157" x14ac:dyDescent="0.2">
      <c r="A319" s="23" t="s">
        <v>1038</v>
      </c>
      <c r="B319" s="14" t="s">
        <v>1131</v>
      </c>
      <c r="C319" s="14" t="s">
        <v>101</v>
      </c>
      <c r="D319" s="12"/>
      <c r="E319" s="16" t="s">
        <v>88</v>
      </c>
      <c r="F319" s="14" t="s">
        <v>72</v>
      </c>
      <c r="G319" s="12"/>
      <c r="H319" s="17" t="s">
        <v>239</v>
      </c>
      <c r="I319" s="17">
        <v>4</v>
      </c>
      <c r="J319" s="122" t="s">
        <v>1132</v>
      </c>
      <c r="K319" s="12"/>
      <c r="L319" s="12"/>
      <c r="M319" s="12"/>
      <c r="N319" s="12"/>
      <c r="O319" s="30" t="str">
        <f>HYPERLINK("http://www.smwc.edu/resources/financial-aid/scholarships/campus-scholarships","http://www.smwc.edu/resources/financial-aid/scholarships/campus-scholarships")</f>
        <v>http://www.smwc.edu/resources/financial-aid/scholarships/campus-scholarships</v>
      </c>
      <c r="P319" s="33">
        <v>28932</v>
      </c>
      <c r="Q319" s="58">
        <v>1</v>
      </c>
      <c r="R319" s="12" t="s">
        <v>534</v>
      </c>
      <c r="S319" s="12" t="s">
        <v>1133</v>
      </c>
      <c r="T319" s="12"/>
      <c r="U319" s="12" t="s">
        <v>81</v>
      </c>
      <c r="V319" s="12"/>
      <c r="W319" s="12"/>
      <c r="X319" s="12"/>
      <c r="Y319" s="12"/>
      <c r="Z319" s="12"/>
      <c r="AA319" s="12"/>
    </row>
    <row r="320" spans="1:27" ht="78" customHeight="1" x14ac:dyDescent="0.2">
      <c r="A320" s="23" t="s">
        <v>1038</v>
      </c>
      <c r="B320" s="14" t="s">
        <v>1134</v>
      </c>
      <c r="C320" s="14" t="s">
        <v>101</v>
      </c>
      <c r="D320" s="12"/>
      <c r="E320" s="14" t="s">
        <v>177</v>
      </c>
      <c r="F320" s="14" t="s">
        <v>72</v>
      </c>
      <c r="G320" s="12"/>
      <c r="H320" s="17" t="s">
        <v>1123</v>
      </c>
      <c r="I320" s="17">
        <v>1</v>
      </c>
      <c r="J320" s="16" t="s">
        <v>1135</v>
      </c>
      <c r="K320" s="17">
        <v>31</v>
      </c>
      <c r="L320" s="17">
        <v>1380</v>
      </c>
      <c r="M320" s="17" t="s">
        <v>76</v>
      </c>
      <c r="N320" s="17">
        <v>4</v>
      </c>
      <c r="O320" s="19" t="s">
        <v>1136</v>
      </c>
      <c r="P320" s="33">
        <v>30960</v>
      </c>
      <c r="Q320" s="58">
        <v>0.78</v>
      </c>
      <c r="R320" s="12" t="s">
        <v>182</v>
      </c>
      <c r="S320" s="12" t="s">
        <v>1137</v>
      </c>
      <c r="T320" s="12"/>
      <c r="U320" s="12">
        <v>3.53</v>
      </c>
      <c r="V320" s="12"/>
      <c r="W320" s="12"/>
      <c r="X320" s="12"/>
      <c r="Y320" s="12"/>
      <c r="Z320" s="12"/>
      <c r="AA320" s="12"/>
    </row>
    <row r="321" spans="1:27" ht="112" x14ac:dyDescent="0.2">
      <c r="A321" s="23" t="s">
        <v>1038</v>
      </c>
      <c r="B321" s="14" t="s">
        <v>1138</v>
      </c>
      <c r="C321" s="14" t="s">
        <v>101</v>
      </c>
      <c r="D321" s="12"/>
      <c r="E321" s="16" t="s">
        <v>1139</v>
      </c>
      <c r="F321" s="14" t="s">
        <v>72</v>
      </c>
      <c r="G321" s="12"/>
      <c r="H321" s="17" t="s">
        <v>1140</v>
      </c>
      <c r="I321" s="17" t="s">
        <v>74</v>
      </c>
      <c r="J321" s="17" t="s">
        <v>1141</v>
      </c>
      <c r="K321" s="12"/>
      <c r="L321" s="12"/>
      <c r="M321" s="12"/>
      <c r="N321" s="12"/>
      <c r="O321" s="30" t="str">
        <f t="shared" ref="O321:O322" si="45">HYPERLINK("https://www.evansville.edu/tuitionandaid/scholarships.cfm","https://www.evansville.edu/tuitionandaid/scholarships.cfm")</f>
        <v>https://www.evansville.edu/tuitionandaid/scholarships.cfm</v>
      </c>
      <c r="P321" s="33">
        <v>33966</v>
      </c>
      <c r="Q321" s="25">
        <v>0.7</v>
      </c>
      <c r="R321" s="14" t="s">
        <v>266</v>
      </c>
      <c r="S321" s="14" t="s">
        <v>1142</v>
      </c>
      <c r="T321" s="12"/>
      <c r="U321" s="12">
        <v>3.66</v>
      </c>
      <c r="V321" s="12"/>
      <c r="W321" s="12"/>
      <c r="X321" s="12"/>
      <c r="Y321" s="12"/>
      <c r="Z321" s="12"/>
      <c r="AA321" s="12"/>
    </row>
    <row r="322" spans="1:27" ht="112" x14ac:dyDescent="0.2">
      <c r="A322" s="23" t="s">
        <v>1038</v>
      </c>
      <c r="B322" s="14" t="s">
        <v>1138</v>
      </c>
      <c r="C322" s="14" t="s">
        <v>101</v>
      </c>
      <c r="D322" s="12"/>
      <c r="E322" s="14" t="s">
        <v>177</v>
      </c>
      <c r="F322" s="14" t="s">
        <v>92</v>
      </c>
      <c r="G322" s="12"/>
      <c r="H322" s="17" t="s">
        <v>93</v>
      </c>
      <c r="I322" s="17" t="s">
        <v>63</v>
      </c>
      <c r="J322" s="16" t="s">
        <v>1143</v>
      </c>
      <c r="K322" s="12"/>
      <c r="L322" s="12"/>
      <c r="M322" s="12"/>
      <c r="N322" s="12"/>
      <c r="O322" s="30" t="str">
        <f t="shared" si="45"/>
        <v>https://www.evansville.edu/tuitionandaid/scholarships.cfm</v>
      </c>
      <c r="P322" s="33">
        <v>33966</v>
      </c>
      <c r="Q322" s="25">
        <v>0.7</v>
      </c>
      <c r="R322" s="14" t="s">
        <v>266</v>
      </c>
      <c r="S322" s="14" t="s">
        <v>1142</v>
      </c>
      <c r="T322" s="12"/>
      <c r="U322" s="12">
        <v>3.66</v>
      </c>
      <c r="V322" s="12"/>
      <c r="W322" s="12"/>
      <c r="X322" s="12"/>
      <c r="Y322" s="12"/>
      <c r="Z322" s="12"/>
      <c r="AA322" s="12"/>
    </row>
    <row r="323" spans="1:27" ht="174" customHeight="1" x14ac:dyDescent="0.2">
      <c r="A323" s="23" t="s">
        <v>1038</v>
      </c>
      <c r="B323" s="14" t="s">
        <v>1144</v>
      </c>
      <c r="C323" s="14" t="s">
        <v>101</v>
      </c>
      <c r="D323" s="12"/>
      <c r="E323" s="14" t="s">
        <v>238</v>
      </c>
      <c r="F323" s="14" t="s">
        <v>72</v>
      </c>
      <c r="G323" s="12"/>
      <c r="H323" s="17" t="s">
        <v>1123</v>
      </c>
      <c r="I323" s="17" t="s">
        <v>74</v>
      </c>
      <c r="J323" s="14" t="s">
        <v>1145</v>
      </c>
      <c r="K323" s="12"/>
      <c r="L323" s="12"/>
      <c r="M323" s="12"/>
      <c r="N323" s="12"/>
      <c r="O323" s="30" t="str">
        <f>HYPERLINK("http://www.uindy.edu/financial-aid-for-new-students/grants-and-scholarships","http://www.uindy.edu/financial-aid-for-new-students/grants-and-scholarships")</f>
        <v>http://www.uindy.edu/financial-aid-for-new-students/grants-and-scholarships</v>
      </c>
      <c r="P323" s="33">
        <v>27420</v>
      </c>
      <c r="Q323" s="31">
        <v>0.66</v>
      </c>
      <c r="R323" s="26" t="s">
        <v>130</v>
      </c>
      <c r="S323" s="26" t="s">
        <v>1146</v>
      </c>
      <c r="T323" s="12"/>
      <c r="U323" s="12">
        <v>3.5</v>
      </c>
      <c r="V323" s="12"/>
      <c r="W323" s="12"/>
      <c r="X323" s="12"/>
      <c r="Y323" s="12"/>
      <c r="Z323" s="12"/>
      <c r="AA323" s="12"/>
    </row>
    <row r="324" spans="1:27" ht="284.25" customHeight="1" x14ac:dyDescent="0.2">
      <c r="A324" s="23" t="s">
        <v>1038</v>
      </c>
      <c r="B324" s="14" t="s">
        <v>1144</v>
      </c>
      <c r="C324" s="14" t="s">
        <v>101</v>
      </c>
      <c r="D324" s="12"/>
      <c r="E324" s="14" t="s">
        <v>789</v>
      </c>
      <c r="F324" s="14" t="s">
        <v>72</v>
      </c>
      <c r="G324" s="12"/>
      <c r="H324" s="17" t="s">
        <v>1147</v>
      </c>
      <c r="I324" s="17" t="s">
        <v>74</v>
      </c>
      <c r="J324" s="14" t="s">
        <v>1148</v>
      </c>
      <c r="K324" s="12"/>
      <c r="L324" s="12"/>
      <c r="M324" s="12"/>
      <c r="N324" s="12"/>
      <c r="O324" s="30" t="str">
        <f>HYPERLINK("http://www.uindy.edu/financial-aid-for-new-students/uindy-freedom-award","http://www.uindy.edu/financial-aid-for-new-students/uindy-freedom-award")</f>
        <v>http://www.uindy.edu/financial-aid-for-new-students/uindy-freedom-award</v>
      </c>
      <c r="P324" s="33">
        <v>27420</v>
      </c>
      <c r="Q324" s="31">
        <v>0.66</v>
      </c>
      <c r="R324" s="26" t="s">
        <v>130</v>
      </c>
      <c r="S324" s="26" t="s">
        <v>1146</v>
      </c>
      <c r="T324" s="12"/>
      <c r="U324" s="12">
        <v>3.5</v>
      </c>
      <c r="V324" s="12"/>
      <c r="W324" s="12"/>
      <c r="X324" s="12"/>
      <c r="Y324" s="12"/>
      <c r="Z324" s="12"/>
      <c r="AA324" s="12"/>
    </row>
    <row r="325" spans="1:27" ht="15" customHeight="1" x14ac:dyDescent="0.2">
      <c r="A325" s="11" t="s">
        <v>1038</v>
      </c>
      <c r="B325" s="12" t="s">
        <v>1149</v>
      </c>
      <c r="C325" s="26" t="s">
        <v>101</v>
      </c>
      <c r="D325" s="12"/>
      <c r="E325" s="17" t="s">
        <v>88</v>
      </c>
      <c r="F325" s="11" t="s">
        <v>72</v>
      </c>
      <c r="G325" s="12"/>
      <c r="H325" s="17" t="s">
        <v>1150</v>
      </c>
      <c r="I325" s="17" t="s">
        <v>74</v>
      </c>
      <c r="J325" s="146" t="s">
        <v>1151</v>
      </c>
      <c r="K325" s="12"/>
      <c r="L325" s="12"/>
      <c r="M325" s="12"/>
      <c r="N325" s="12"/>
      <c r="O325" s="19" t="s">
        <v>1152</v>
      </c>
      <c r="P325" s="38">
        <v>49685</v>
      </c>
      <c r="Q325" s="31">
        <v>0.21</v>
      </c>
      <c r="R325" s="26" t="s">
        <v>1153</v>
      </c>
      <c r="S325" s="26" t="s">
        <v>1154</v>
      </c>
      <c r="T325" s="12"/>
      <c r="U325" s="12" t="s">
        <v>81</v>
      </c>
      <c r="V325" s="12"/>
      <c r="W325" s="12"/>
      <c r="X325" s="12"/>
      <c r="Y325" s="12"/>
      <c r="Z325" s="12"/>
      <c r="AA325" s="12"/>
    </row>
    <row r="326" spans="1:27" ht="189.75" customHeight="1" x14ac:dyDescent="0.2">
      <c r="A326" s="15" t="s">
        <v>1038</v>
      </c>
      <c r="B326" s="16" t="s">
        <v>1149</v>
      </c>
      <c r="C326" s="16" t="s">
        <v>1155</v>
      </c>
      <c r="D326" s="147" t="s">
        <v>1156</v>
      </c>
      <c r="E326" s="16" t="s">
        <v>191</v>
      </c>
      <c r="F326" s="16" t="s">
        <v>72</v>
      </c>
      <c r="G326" s="17" t="s">
        <v>186</v>
      </c>
      <c r="H326" s="17" t="s">
        <v>1157</v>
      </c>
      <c r="I326" s="17">
        <v>1</v>
      </c>
      <c r="J326" s="16" t="s">
        <v>1158</v>
      </c>
      <c r="K326" s="12"/>
      <c r="L326" s="12"/>
      <c r="M326" s="12"/>
      <c r="N326" s="12"/>
      <c r="O326" s="19" t="s">
        <v>1159</v>
      </c>
      <c r="P326" s="38">
        <v>49685</v>
      </c>
      <c r="Q326" s="31">
        <v>0.21</v>
      </c>
      <c r="R326" s="26" t="s">
        <v>1160</v>
      </c>
      <c r="S326" s="26" t="s">
        <v>1154</v>
      </c>
      <c r="T326" s="12"/>
      <c r="U326" s="12" t="s">
        <v>81</v>
      </c>
      <c r="V326" s="12"/>
      <c r="W326" s="12"/>
      <c r="X326" s="12"/>
      <c r="Y326" s="12"/>
      <c r="Z326" s="12"/>
      <c r="AA326" s="12"/>
    </row>
    <row r="327" spans="1:27" ht="189.75" customHeight="1" x14ac:dyDescent="0.2">
      <c r="A327" s="23" t="s">
        <v>1038</v>
      </c>
      <c r="B327" s="14" t="s">
        <v>1161</v>
      </c>
      <c r="C327" s="14" t="s">
        <v>101</v>
      </c>
      <c r="D327" s="12"/>
      <c r="E327" s="14" t="s">
        <v>88</v>
      </c>
      <c r="F327" s="14" t="s">
        <v>145</v>
      </c>
      <c r="G327" s="12"/>
      <c r="H327" s="17" t="s">
        <v>157</v>
      </c>
      <c r="I327" s="17" t="s">
        <v>74</v>
      </c>
      <c r="J327" s="14" t="s">
        <v>1162</v>
      </c>
      <c r="K327" s="12"/>
      <c r="L327" s="12"/>
      <c r="M327" s="12"/>
      <c r="N327" s="12"/>
      <c r="O327" s="30" t="str">
        <f t="shared" ref="O327:O328" si="46">HYPERLINK("http://www.valpo.edu/student-financial-services/planning/scholarships/other/","http://www.valpo.edu/student-financial-services/planning/scholarships/other/")</f>
        <v>http://www.valpo.edu/student-financial-services/planning/scholarships/other/</v>
      </c>
      <c r="P327" s="33">
        <v>37450</v>
      </c>
      <c r="Q327" s="25">
        <v>0.82</v>
      </c>
      <c r="R327" s="14" t="s">
        <v>105</v>
      </c>
      <c r="S327" s="14" t="s">
        <v>1163</v>
      </c>
      <c r="T327" s="12"/>
      <c r="U327" s="12">
        <v>3.72</v>
      </c>
      <c r="V327" s="12"/>
      <c r="W327" s="12"/>
      <c r="X327" s="12"/>
      <c r="Y327" s="12"/>
      <c r="Z327" s="12"/>
      <c r="AA327" s="12"/>
    </row>
    <row r="328" spans="1:27" ht="174" customHeight="1" x14ac:dyDescent="0.2">
      <c r="A328" s="23" t="s">
        <v>1038</v>
      </c>
      <c r="B328" s="14" t="s">
        <v>1161</v>
      </c>
      <c r="C328" s="14" t="s">
        <v>101</v>
      </c>
      <c r="D328" s="12"/>
      <c r="E328" s="14" t="s">
        <v>88</v>
      </c>
      <c r="F328" s="14" t="s">
        <v>145</v>
      </c>
      <c r="G328" s="12"/>
      <c r="H328" s="17" t="s">
        <v>157</v>
      </c>
      <c r="I328" s="17" t="s">
        <v>74</v>
      </c>
      <c r="J328" s="14" t="s">
        <v>1164</v>
      </c>
      <c r="K328" s="12"/>
      <c r="L328" s="12"/>
      <c r="M328" s="12"/>
      <c r="N328" s="12"/>
      <c r="O328" s="30" t="str">
        <f t="shared" si="46"/>
        <v>http://www.valpo.edu/student-financial-services/planning/scholarships/other/</v>
      </c>
      <c r="P328" s="33">
        <v>37450</v>
      </c>
      <c r="Q328" s="25">
        <v>0.82</v>
      </c>
      <c r="R328" s="14" t="s">
        <v>105</v>
      </c>
      <c r="S328" s="14" t="s">
        <v>1163</v>
      </c>
      <c r="T328" s="12"/>
      <c r="U328" s="12">
        <v>3.72</v>
      </c>
      <c r="V328" s="12"/>
      <c r="W328" s="12"/>
      <c r="X328" s="12"/>
      <c r="Y328" s="12"/>
      <c r="Z328" s="12"/>
      <c r="AA328" s="12"/>
    </row>
    <row r="329" spans="1:27" ht="221.25" customHeight="1" x14ac:dyDescent="0.2">
      <c r="A329" s="23" t="s">
        <v>1038</v>
      </c>
      <c r="B329" s="14" t="s">
        <v>1161</v>
      </c>
      <c r="C329" s="14" t="s">
        <v>101</v>
      </c>
      <c r="D329" s="12"/>
      <c r="E329" s="16" t="s">
        <v>243</v>
      </c>
      <c r="F329" s="14" t="s">
        <v>461</v>
      </c>
      <c r="G329" s="12"/>
      <c r="H329" s="17" t="s">
        <v>1165</v>
      </c>
      <c r="I329" s="17" t="s">
        <v>74</v>
      </c>
      <c r="J329" s="14" t="s">
        <v>1166</v>
      </c>
      <c r="K329" s="12"/>
      <c r="L329" s="12"/>
      <c r="M329" s="12"/>
      <c r="N329" s="12"/>
      <c r="O329" s="30" t="str">
        <f>HYPERLINK("http://www.valpo.edu/music/admissions/scholarships/","http://www.valpo.edu/music/admissions/scholarships/")</f>
        <v>http://www.valpo.edu/music/admissions/scholarships/</v>
      </c>
      <c r="P329" s="33">
        <v>37450</v>
      </c>
      <c r="Q329" s="25">
        <v>0.82</v>
      </c>
      <c r="R329" s="14" t="s">
        <v>105</v>
      </c>
      <c r="S329" s="14" t="s">
        <v>1163</v>
      </c>
      <c r="T329" s="12"/>
      <c r="U329" s="12">
        <v>3.72</v>
      </c>
      <c r="V329" s="12"/>
      <c r="W329" s="12"/>
      <c r="X329" s="12"/>
      <c r="Y329" s="12"/>
      <c r="Z329" s="12"/>
      <c r="AA329" s="12"/>
    </row>
    <row r="330" spans="1:27" ht="15" customHeight="1" x14ac:dyDescent="0.2">
      <c r="A330" s="23" t="s">
        <v>1038</v>
      </c>
      <c r="B330" s="14" t="s">
        <v>1167</v>
      </c>
      <c r="C330" s="14" t="s">
        <v>101</v>
      </c>
      <c r="D330" s="12"/>
      <c r="E330" s="14" t="s">
        <v>238</v>
      </c>
      <c r="F330" s="14" t="s">
        <v>72</v>
      </c>
      <c r="G330" s="12"/>
      <c r="H330" s="17" t="s">
        <v>1123</v>
      </c>
      <c r="I330" s="17" t="s">
        <v>74</v>
      </c>
      <c r="J330" s="16" t="s">
        <v>1168</v>
      </c>
      <c r="K330" s="12"/>
      <c r="L330" s="12"/>
      <c r="M330" s="12"/>
      <c r="N330" s="12"/>
      <c r="O330" s="30" t="str">
        <f>HYPERLINK("http://www.wabash.edu/admissions/finances/sources","http://www.wabash.edu/admissions/finances/sources")</f>
        <v>http://www.wabash.edu/admissions/finances/sources</v>
      </c>
      <c r="P330" s="33">
        <v>41050</v>
      </c>
      <c r="Q330" s="58">
        <v>0.61</v>
      </c>
      <c r="R330" s="34" t="s">
        <v>224</v>
      </c>
      <c r="S330" s="34" t="s">
        <v>1169</v>
      </c>
      <c r="T330" s="12"/>
      <c r="U330" s="12">
        <v>3.67</v>
      </c>
      <c r="V330" s="12"/>
      <c r="W330" s="12"/>
      <c r="X330" s="12"/>
      <c r="Y330" s="12"/>
      <c r="Z330" s="12"/>
      <c r="AA330" s="12"/>
    </row>
    <row r="331" spans="1:27" ht="176" x14ac:dyDescent="0.2">
      <c r="A331" s="109" t="s">
        <v>1170</v>
      </c>
      <c r="B331" s="110" t="s">
        <v>1171</v>
      </c>
      <c r="C331" s="110" t="s">
        <v>101</v>
      </c>
      <c r="D331" s="112"/>
      <c r="E331" s="110" t="s">
        <v>60</v>
      </c>
      <c r="F331" s="110" t="s">
        <v>72</v>
      </c>
      <c r="G331" s="112"/>
      <c r="H331" s="117" t="s">
        <v>1172</v>
      </c>
      <c r="I331" s="148">
        <v>42771</v>
      </c>
      <c r="J331" s="110" t="s">
        <v>1173</v>
      </c>
      <c r="K331" s="112"/>
      <c r="L331" s="112"/>
      <c r="M331" s="112"/>
      <c r="N331" s="112"/>
      <c r="O331" s="113" t="str">
        <f>HYPERLINK("http://www.bakeru.edu/academic-scholarships/","http://www.bakeru.edu/academic-scholarships/")</f>
        <v>http://www.bakeru.edu/academic-scholarships/</v>
      </c>
      <c r="P331" s="124">
        <v>28030</v>
      </c>
      <c r="Q331" s="114">
        <v>0.82</v>
      </c>
      <c r="R331" s="110" t="s">
        <v>124</v>
      </c>
      <c r="S331" s="110" t="s">
        <v>1174</v>
      </c>
      <c r="T331" s="112"/>
      <c r="U331" s="112">
        <v>3.45</v>
      </c>
      <c r="V331" s="112"/>
      <c r="W331" s="112"/>
      <c r="X331" s="112"/>
      <c r="Y331" s="112"/>
      <c r="Z331" s="112"/>
      <c r="AA331" s="112"/>
    </row>
    <row r="332" spans="1:27" ht="252.75" customHeight="1" x14ac:dyDescent="0.2">
      <c r="A332" s="23" t="s">
        <v>1170</v>
      </c>
      <c r="B332" s="14" t="s">
        <v>1175</v>
      </c>
      <c r="C332" s="14" t="s">
        <v>101</v>
      </c>
      <c r="D332" s="12"/>
      <c r="E332" s="14" t="s">
        <v>177</v>
      </c>
      <c r="F332" s="14" t="s">
        <v>72</v>
      </c>
      <c r="G332" s="12"/>
      <c r="H332" s="17" t="s">
        <v>250</v>
      </c>
      <c r="I332" s="17">
        <v>10</v>
      </c>
      <c r="J332" s="14" t="s">
        <v>1176</v>
      </c>
      <c r="K332" s="24">
        <v>27</v>
      </c>
      <c r="L332" s="24">
        <v>1210</v>
      </c>
      <c r="M332" s="17" t="s">
        <v>76</v>
      </c>
      <c r="N332" s="24">
        <v>3.5</v>
      </c>
      <c r="O332" s="30" t="str">
        <f t="shared" ref="O332:O334" si="47">HYPERLINK("http://www.benedictine.edu/admission/financial-aid/scholarships/index#Scholarship","http://www.benedictine.edu/admission/financial-aid/scholarships/index#Scholarship")</f>
        <v>http://www.benedictine.edu/admission/financial-aid/scholarships/index#Scholarship</v>
      </c>
      <c r="P332" s="33">
        <v>27480</v>
      </c>
      <c r="Q332" s="25">
        <v>0.99</v>
      </c>
      <c r="R332" s="12" t="s">
        <v>364</v>
      </c>
      <c r="S332" s="12" t="s">
        <v>1177</v>
      </c>
      <c r="T332" s="12"/>
      <c r="U332" s="12">
        <v>3.55</v>
      </c>
      <c r="V332" s="12"/>
      <c r="W332" s="12"/>
      <c r="X332" s="12"/>
      <c r="Y332" s="12"/>
      <c r="Z332" s="12"/>
      <c r="AA332" s="12"/>
    </row>
    <row r="333" spans="1:27" ht="15" customHeight="1" x14ac:dyDescent="0.2">
      <c r="A333" s="23" t="s">
        <v>1170</v>
      </c>
      <c r="B333" s="14" t="s">
        <v>1175</v>
      </c>
      <c r="C333" s="14" t="s">
        <v>101</v>
      </c>
      <c r="D333" s="12"/>
      <c r="E333" s="14" t="s">
        <v>177</v>
      </c>
      <c r="F333" s="14" t="s">
        <v>145</v>
      </c>
      <c r="G333" s="12"/>
      <c r="H333" s="17" t="s">
        <v>157</v>
      </c>
      <c r="I333" s="17" t="s">
        <v>74</v>
      </c>
      <c r="J333" s="56" t="s">
        <v>1178</v>
      </c>
      <c r="K333" s="12"/>
      <c r="L333" s="12"/>
      <c r="M333" s="12"/>
      <c r="N333" s="12"/>
      <c r="O333" s="30" t="str">
        <f t="shared" si="47"/>
        <v>http://www.benedictine.edu/admission/financial-aid/scholarships/index#Scholarship</v>
      </c>
      <c r="P333" s="33">
        <v>27480</v>
      </c>
      <c r="Q333" s="25">
        <v>0.99</v>
      </c>
      <c r="R333" s="12" t="s">
        <v>364</v>
      </c>
      <c r="S333" s="12" t="s">
        <v>1177</v>
      </c>
      <c r="T333" s="12"/>
      <c r="U333" s="12">
        <v>3.55</v>
      </c>
      <c r="V333" s="12"/>
      <c r="W333" s="12"/>
      <c r="X333" s="12"/>
      <c r="Y333" s="12"/>
      <c r="Z333" s="12"/>
      <c r="AA333" s="12"/>
    </row>
    <row r="334" spans="1:27" ht="189.75" customHeight="1" x14ac:dyDescent="0.2">
      <c r="A334" s="23" t="s">
        <v>1170</v>
      </c>
      <c r="B334" s="14" t="s">
        <v>1175</v>
      </c>
      <c r="C334" s="14" t="s">
        <v>101</v>
      </c>
      <c r="D334" s="12"/>
      <c r="E334" s="14" t="s">
        <v>177</v>
      </c>
      <c r="F334" s="14" t="s">
        <v>92</v>
      </c>
      <c r="G334" s="12"/>
      <c r="H334" s="17" t="s">
        <v>93</v>
      </c>
      <c r="I334" s="17" t="s">
        <v>74</v>
      </c>
      <c r="J334" s="14" t="s">
        <v>1179</v>
      </c>
      <c r="K334" s="12"/>
      <c r="L334" s="12"/>
      <c r="M334" s="12"/>
      <c r="N334" s="12"/>
      <c r="O334" s="30" t="str">
        <f t="shared" si="47"/>
        <v>http://www.benedictine.edu/admission/financial-aid/scholarships/index#Scholarship</v>
      </c>
      <c r="P334" s="33">
        <v>27480</v>
      </c>
      <c r="Q334" s="25">
        <v>0.99</v>
      </c>
      <c r="R334" s="12" t="s">
        <v>364</v>
      </c>
      <c r="S334" s="12" t="s">
        <v>1177</v>
      </c>
      <c r="T334" s="12"/>
      <c r="U334" s="12">
        <v>3.55</v>
      </c>
      <c r="V334" s="12"/>
      <c r="W334" s="12"/>
      <c r="X334" s="12"/>
      <c r="Y334" s="12"/>
      <c r="Z334" s="12"/>
      <c r="AA334" s="12"/>
    </row>
    <row r="335" spans="1:27" ht="192.75" customHeight="1" x14ac:dyDescent="0.2">
      <c r="A335" s="11" t="s">
        <v>1170</v>
      </c>
      <c r="B335" s="12" t="s">
        <v>1180</v>
      </c>
      <c r="C335" s="26" t="s">
        <v>59</v>
      </c>
      <c r="D335" s="26"/>
      <c r="E335" s="12" t="s">
        <v>111</v>
      </c>
      <c r="F335" s="11" t="s">
        <v>72</v>
      </c>
      <c r="G335" s="12"/>
      <c r="H335" s="17" t="s">
        <v>1181</v>
      </c>
      <c r="I335" s="17" t="s">
        <v>74</v>
      </c>
      <c r="J335" s="64" t="s">
        <v>1182</v>
      </c>
      <c r="K335" s="28">
        <v>32</v>
      </c>
      <c r="L335" s="28">
        <v>1420</v>
      </c>
      <c r="M335" s="29" t="s">
        <v>76</v>
      </c>
      <c r="N335" s="26">
        <v>3.7</v>
      </c>
      <c r="O335" s="30" t="str">
        <f t="shared" ref="O335:O336" si="48">HYPERLINK("http://www.fhsu.edu/honors/scholarships/","http://www.fhsu.edu/honors/scholarships/")</f>
        <v>http://www.fhsu.edu/honors/scholarships/</v>
      </c>
      <c r="P335" s="26" t="s">
        <v>1183</v>
      </c>
      <c r="Q335" s="31">
        <v>0.879</v>
      </c>
      <c r="R335" s="26" t="s">
        <v>259</v>
      </c>
      <c r="S335" s="26" t="s">
        <v>1184</v>
      </c>
      <c r="T335" s="12"/>
      <c r="U335" s="12">
        <v>3.37</v>
      </c>
      <c r="V335" s="12"/>
      <c r="W335" s="12"/>
      <c r="X335" s="12"/>
      <c r="Y335" s="12"/>
      <c r="Z335" s="12"/>
      <c r="AA335" s="12"/>
    </row>
    <row r="336" spans="1:27" ht="192.75" customHeight="1" x14ac:dyDescent="0.2">
      <c r="A336" s="11" t="s">
        <v>1170</v>
      </c>
      <c r="B336" s="12" t="s">
        <v>1180</v>
      </c>
      <c r="C336" s="26" t="s">
        <v>59</v>
      </c>
      <c r="D336" s="26"/>
      <c r="E336" s="12" t="s">
        <v>1185</v>
      </c>
      <c r="F336" s="11" t="s">
        <v>72</v>
      </c>
      <c r="G336" s="12"/>
      <c r="H336" s="17" t="s">
        <v>1186</v>
      </c>
      <c r="I336" s="17">
        <v>7</v>
      </c>
      <c r="J336" s="64" t="s">
        <v>1187</v>
      </c>
      <c r="K336" s="76">
        <v>31</v>
      </c>
      <c r="L336" s="76">
        <v>1380</v>
      </c>
      <c r="M336" s="29" t="s">
        <v>76</v>
      </c>
      <c r="N336" s="26">
        <v>3.5</v>
      </c>
      <c r="O336" s="30" t="str">
        <f t="shared" si="48"/>
        <v>http://www.fhsu.edu/honors/scholarships/</v>
      </c>
      <c r="P336" s="26" t="s">
        <v>1183</v>
      </c>
      <c r="Q336" s="31">
        <v>0.879</v>
      </c>
      <c r="R336" s="26" t="s">
        <v>259</v>
      </c>
      <c r="S336" s="26" t="s">
        <v>1184</v>
      </c>
      <c r="T336" s="12"/>
      <c r="U336" s="12">
        <v>3.37</v>
      </c>
      <c r="V336" s="12"/>
      <c r="W336" s="12"/>
      <c r="X336" s="12"/>
      <c r="Y336" s="12"/>
      <c r="Z336" s="12"/>
      <c r="AA336" s="12"/>
    </row>
    <row r="337" spans="1:27" ht="126.75" customHeight="1" x14ac:dyDescent="0.2">
      <c r="A337" s="23" t="s">
        <v>1170</v>
      </c>
      <c r="B337" s="14" t="s">
        <v>1188</v>
      </c>
      <c r="C337" s="14" t="s">
        <v>101</v>
      </c>
      <c r="D337" s="12"/>
      <c r="E337" s="14" t="s">
        <v>177</v>
      </c>
      <c r="F337" s="14" t="s">
        <v>72</v>
      </c>
      <c r="G337" s="12"/>
      <c r="H337" s="17" t="s">
        <v>1189</v>
      </c>
      <c r="I337" s="17" t="s">
        <v>74</v>
      </c>
      <c r="J337" s="14" t="s">
        <v>1190</v>
      </c>
      <c r="K337" s="12"/>
      <c r="L337" s="12"/>
      <c r="M337" s="12"/>
      <c r="N337" s="12"/>
      <c r="O337" s="30" t="str">
        <f>HYPERLINK("http://www.ottawa.edu/tuition-and-financial-aid/residential-students/scholarships","http://www.ottawa.edu/tuition-and-financial-aid/residential-students/scholarships")</f>
        <v>http://www.ottawa.edu/tuition-and-financial-aid/residential-students/scholarships</v>
      </c>
      <c r="P337" s="33">
        <v>27096</v>
      </c>
      <c r="Q337" s="25">
        <v>0.7</v>
      </c>
      <c r="R337" s="12" t="s">
        <v>834</v>
      </c>
      <c r="S337" s="12" t="s">
        <v>1191</v>
      </c>
      <c r="T337" s="12"/>
      <c r="U337" s="12">
        <v>3.28</v>
      </c>
      <c r="V337" s="12"/>
      <c r="W337" s="12"/>
      <c r="X337" s="12"/>
      <c r="Y337" s="12"/>
      <c r="Z337" s="12"/>
      <c r="AA337" s="12"/>
    </row>
    <row r="338" spans="1:27" ht="90.75" customHeight="1" x14ac:dyDescent="0.2">
      <c r="A338" s="149" t="s">
        <v>1170</v>
      </c>
      <c r="B338" s="112" t="s">
        <v>1192</v>
      </c>
      <c r="C338" s="150" t="s">
        <v>59</v>
      </c>
      <c r="D338" s="150"/>
      <c r="E338" s="112" t="s">
        <v>1193</v>
      </c>
      <c r="F338" s="112" t="s">
        <v>680</v>
      </c>
      <c r="G338" s="112"/>
      <c r="H338" s="117" t="s">
        <v>93</v>
      </c>
      <c r="I338" s="117" t="s">
        <v>63</v>
      </c>
      <c r="J338" s="112" t="s">
        <v>1194</v>
      </c>
      <c r="K338" s="112"/>
      <c r="L338" s="112"/>
      <c r="M338" s="112"/>
      <c r="N338" s="112"/>
      <c r="O338" s="121" t="s">
        <v>1195</v>
      </c>
      <c r="P338" s="150" t="s">
        <v>1196</v>
      </c>
      <c r="Q338" s="151">
        <v>0.93</v>
      </c>
      <c r="R338" s="150" t="s">
        <v>224</v>
      </c>
      <c r="S338" s="150" t="s">
        <v>878</v>
      </c>
      <c r="T338" s="112"/>
      <c r="U338" s="112">
        <v>3.5</v>
      </c>
      <c r="V338" s="112"/>
      <c r="W338" s="112"/>
      <c r="X338" s="112"/>
      <c r="Y338" s="112"/>
      <c r="Z338" s="112"/>
      <c r="AA338" s="112"/>
    </row>
    <row r="339" spans="1:27" ht="231" customHeight="1" x14ac:dyDescent="0.2">
      <c r="A339" s="11" t="s">
        <v>1170</v>
      </c>
      <c r="B339" s="12" t="s">
        <v>1197</v>
      </c>
      <c r="C339" s="26" t="s">
        <v>59</v>
      </c>
      <c r="D339" s="26"/>
      <c r="E339" s="12" t="s">
        <v>82</v>
      </c>
      <c r="F339" s="12" t="s">
        <v>680</v>
      </c>
      <c r="G339" s="12"/>
      <c r="H339" s="17" t="s">
        <v>93</v>
      </c>
      <c r="I339" s="17" t="s">
        <v>63</v>
      </c>
      <c r="J339" s="12" t="s">
        <v>1198</v>
      </c>
      <c r="K339" s="12"/>
      <c r="L339" s="12"/>
      <c r="M339" s="12"/>
      <c r="N339" s="12"/>
      <c r="O339" s="30" t="str">
        <f>HYPERLINK("http://webs.wichita.edu/?u=merit_scholarships&amp;p=/national_merit/","http://webs.wichita.edu/?u=merit_scholarships&amp;p=/national_merit/")</f>
        <v>http://webs.wichita.edu/?u=merit_scholarships&amp;p=/national_merit/</v>
      </c>
      <c r="P339" s="26" t="s">
        <v>1199</v>
      </c>
      <c r="Q339" s="31">
        <v>0.95</v>
      </c>
      <c r="R339" s="26" t="s">
        <v>565</v>
      </c>
      <c r="S339" s="26" t="s">
        <v>1200</v>
      </c>
      <c r="T339" s="12"/>
      <c r="U339" s="12">
        <v>3.38</v>
      </c>
      <c r="V339" s="12"/>
      <c r="W339" s="12"/>
      <c r="X339" s="12"/>
      <c r="Y339" s="12"/>
      <c r="Z339" s="12"/>
      <c r="AA339" s="12"/>
    </row>
    <row r="340" spans="1:27" ht="284.25" customHeight="1" x14ac:dyDescent="0.2">
      <c r="A340" s="23" t="s">
        <v>1201</v>
      </c>
      <c r="B340" s="14" t="s">
        <v>1202</v>
      </c>
      <c r="C340" s="14" t="s">
        <v>101</v>
      </c>
      <c r="D340" s="17" t="s">
        <v>1203</v>
      </c>
      <c r="E340" s="14" t="s">
        <v>60</v>
      </c>
      <c r="F340" s="14" t="s">
        <v>61</v>
      </c>
      <c r="G340" s="12"/>
      <c r="H340" s="17" t="s">
        <v>1204</v>
      </c>
      <c r="I340" s="17" t="s">
        <v>74</v>
      </c>
      <c r="J340" s="14" t="s">
        <v>1205</v>
      </c>
      <c r="K340" s="24">
        <v>17</v>
      </c>
      <c r="L340" s="12"/>
      <c r="M340" s="12"/>
      <c r="N340" s="24">
        <v>2.25</v>
      </c>
      <c r="O340" s="30" t="str">
        <f t="shared" ref="O340:O343" si="49">HYPERLINK("http://www.alc.edu/admissions/financial-aid/scholarships-awards/","http://www.alc.edu/admissions/financial-aid/scholarships-awards/")</f>
        <v>http://www.alc.edu/admissions/financial-aid/scholarships-awards/</v>
      </c>
      <c r="P340" s="33">
        <v>11550</v>
      </c>
      <c r="Q340" s="25">
        <v>0.36199999999999999</v>
      </c>
      <c r="R340" s="14" t="s">
        <v>385</v>
      </c>
      <c r="S340" s="14" t="s">
        <v>1206</v>
      </c>
      <c r="T340" s="12"/>
      <c r="U340" s="12">
        <v>3.57</v>
      </c>
      <c r="V340" s="12"/>
      <c r="W340" s="12"/>
      <c r="X340" s="12"/>
      <c r="Y340" s="12"/>
      <c r="Z340" s="12"/>
      <c r="AA340" s="12"/>
    </row>
    <row r="341" spans="1:27" ht="252.75" customHeight="1" x14ac:dyDescent="0.2">
      <c r="A341" s="23" t="s">
        <v>1201</v>
      </c>
      <c r="B341" s="14" t="s">
        <v>1202</v>
      </c>
      <c r="C341" s="14" t="s">
        <v>101</v>
      </c>
      <c r="D341" s="12"/>
      <c r="E341" s="14" t="s">
        <v>60</v>
      </c>
      <c r="F341" s="14" t="s">
        <v>72</v>
      </c>
      <c r="G341" s="12"/>
      <c r="H341" s="17" t="s">
        <v>62</v>
      </c>
      <c r="I341" s="17" t="s">
        <v>74</v>
      </c>
      <c r="J341" s="14" t="s">
        <v>1207</v>
      </c>
      <c r="K341" s="24">
        <v>28</v>
      </c>
      <c r="L341" s="24">
        <v>1880</v>
      </c>
      <c r="M341" s="12"/>
      <c r="N341" s="24">
        <v>3.5</v>
      </c>
      <c r="O341" s="30" t="str">
        <f t="shared" si="49"/>
        <v>http://www.alc.edu/admissions/financial-aid/scholarships-awards/</v>
      </c>
      <c r="P341" s="33">
        <v>11550</v>
      </c>
      <c r="Q341" s="25">
        <v>0.36199999999999999</v>
      </c>
      <c r="R341" s="14" t="s">
        <v>385</v>
      </c>
      <c r="S341" s="14" t="s">
        <v>1206</v>
      </c>
      <c r="T341" s="12"/>
      <c r="U341" s="12">
        <v>3.57</v>
      </c>
      <c r="V341" s="12"/>
      <c r="W341" s="12"/>
      <c r="X341" s="12"/>
      <c r="Y341" s="12"/>
      <c r="Z341" s="12"/>
      <c r="AA341" s="12"/>
    </row>
    <row r="342" spans="1:27" ht="252.75" customHeight="1" x14ac:dyDescent="0.2">
      <c r="A342" s="23" t="s">
        <v>1201</v>
      </c>
      <c r="B342" s="14" t="s">
        <v>1202</v>
      </c>
      <c r="C342" s="14" t="s">
        <v>101</v>
      </c>
      <c r="D342" s="12"/>
      <c r="E342" s="14" t="s">
        <v>60</v>
      </c>
      <c r="F342" s="14" t="s">
        <v>72</v>
      </c>
      <c r="G342" s="12"/>
      <c r="H342" s="17" t="s">
        <v>62</v>
      </c>
      <c r="I342" s="17" t="s">
        <v>74</v>
      </c>
      <c r="J342" s="14" t="s">
        <v>1208</v>
      </c>
      <c r="K342" s="24">
        <v>27</v>
      </c>
      <c r="L342" s="24">
        <v>1820</v>
      </c>
      <c r="M342" s="12"/>
      <c r="N342" s="24">
        <v>3.5</v>
      </c>
      <c r="O342" s="30" t="str">
        <f t="shared" si="49"/>
        <v>http://www.alc.edu/admissions/financial-aid/scholarships-awards/</v>
      </c>
      <c r="P342" s="33">
        <v>11550</v>
      </c>
      <c r="Q342" s="25">
        <v>0.36199999999999999</v>
      </c>
      <c r="R342" s="14" t="s">
        <v>385</v>
      </c>
      <c r="S342" s="14" t="s">
        <v>1206</v>
      </c>
      <c r="T342" s="12"/>
      <c r="U342" s="12">
        <v>3.57</v>
      </c>
      <c r="V342" s="12"/>
      <c r="W342" s="12"/>
      <c r="X342" s="12"/>
      <c r="Y342" s="12"/>
      <c r="Z342" s="12"/>
      <c r="AA342" s="12"/>
    </row>
    <row r="343" spans="1:27" ht="174" customHeight="1" x14ac:dyDescent="0.2">
      <c r="A343" s="23" t="s">
        <v>1201</v>
      </c>
      <c r="B343" s="14" t="s">
        <v>1202</v>
      </c>
      <c r="C343" s="14" t="s">
        <v>101</v>
      </c>
      <c r="D343" s="12"/>
      <c r="E343" s="14" t="s">
        <v>111</v>
      </c>
      <c r="F343" s="14" t="s">
        <v>72</v>
      </c>
      <c r="G343" s="12"/>
      <c r="H343" s="17" t="s">
        <v>62</v>
      </c>
      <c r="I343" s="17" t="s">
        <v>74</v>
      </c>
      <c r="J343" s="14" t="s">
        <v>1209</v>
      </c>
      <c r="K343" s="24">
        <v>30</v>
      </c>
      <c r="L343" s="24">
        <v>1980</v>
      </c>
      <c r="M343" s="12"/>
      <c r="N343" s="24">
        <v>3.5</v>
      </c>
      <c r="O343" s="30" t="str">
        <f t="shared" si="49"/>
        <v>http://www.alc.edu/admissions/financial-aid/scholarships-awards/</v>
      </c>
      <c r="P343" s="33">
        <v>11550</v>
      </c>
      <c r="Q343" s="25">
        <v>0.36199999999999999</v>
      </c>
      <c r="R343" s="14" t="s">
        <v>385</v>
      </c>
      <c r="S343" s="14" t="s">
        <v>1206</v>
      </c>
      <c r="T343" s="12"/>
      <c r="U343" s="12">
        <v>3.57</v>
      </c>
      <c r="V343" s="12"/>
      <c r="W343" s="12"/>
      <c r="X343" s="12"/>
      <c r="Y343" s="12"/>
      <c r="Z343" s="12"/>
      <c r="AA343" s="12"/>
    </row>
    <row r="344" spans="1:27" ht="112" x14ac:dyDescent="0.2">
      <c r="A344" s="23" t="s">
        <v>1201</v>
      </c>
      <c r="B344" s="14" t="s">
        <v>1210</v>
      </c>
      <c r="C344" s="14" t="s">
        <v>101</v>
      </c>
      <c r="D344" s="12"/>
      <c r="E344" s="14" t="s">
        <v>60</v>
      </c>
      <c r="F344" s="14" t="s">
        <v>72</v>
      </c>
      <c r="G344" s="12"/>
      <c r="H344" s="17" t="s">
        <v>1211</v>
      </c>
      <c r="I344" s="17">
        <v>4</v>
      </c>
      <c r="J344" s="16" t="s">
        <v>1212</v>
      </c>
      <c r="K344" s="12"/>
      <c r="L344" s="12"/>
      <c r="M344" s="12"/>
      <c r="N344" s="17">
        <v>3.6</v>
      </c>
      <c r="O344" s="30" t="str">
        <f>HYPERLINK("https://www.asbury.edu/offices/financial-aid/types-aid/scholarships-and-grants","https://www.asbury.edu/offices/financial-aid/types-aid/scholarships-and-grants")</f>
        <v>https://www.asbury.edu/offices/financial-aid/types-aid/scholarships-and-grants</v>
      </c>
      <c r="P344" s="33">
        <v>28829</v>
      </c>
      <c r="Q344" s="25">
        <v>0.56999999999999995</v>
      </c>
      <c r="R344" s="14" t="s">
        <v>182</v>
      </c>
      <c r="S344" s="14" t="s">
        <v>1213</v>
      </c>
      <c r="T344" s="12"/>
      <c r="U344" s="12">
        <v>3.61</v>
      </c>
      <c r="V344" s="12"/>
      <c r="W344" s="12"/>
      <c r="X344" s="12"/>
      <c r="Y344" s="12"/>
      <c r="Z344" s="12"/>
      <c r="AA344" s="12"/>
    </row>
    <row r="345" spans="1:27" ht="224" x14ac:dyDescent="0.2">
      <c r="A345" s="23" t="s">
        <v>1201</v>
      </c>
      <c r="B345" s="14" t="s">
        <v>1214</v>
      </c>
      <c r="C345" s="14" t="s">
        <v>101</v>
      </c>
      <c r="D345" s="12"/>
      <c r="E345" s="14" t="s">
        <v>88</v>
      </c>
      <c r="F345" s="14" t="s">
        <v>72</v>
      </c>
      <c r="G345" s="12"/>
      <c r="H345" s="17" t="s">
        <v>1215</v>
      </c>
      <c r="I345" s="17" t="s">
        <v>74</v>
      </c>
      <c r="J345" s="14" t="s">
        <v>1216</v>
      </c>
      <c r="K345" s="24">
        <v>30</v>
      </c>
      <c r="L345" s="24">
        <v>1330</v>
      </c>
      <c r="M345" s="16" t="s">
        <v>76</v>
      </c>
      <c r="N345" s="24">
        <v>3.4</v>
      </c>
      <c r="O345" s="30" t="str">
        <f>HYPERLINK("http://www.bellarmine.edu/financialaid/institutional/","http://www.bellarmine.edu/financialaid/institutional/")</f>
        <v>http://www.bellarmine.edu/financialaid/institutional/</v>
      </c>
      <c r="P345" s="33">
        <v>39350</v>
      </c>
      <c r="Q345" s="25">
        <v>0.84</v>
      </c>
      <c r="R345" s="14" t="s">
        <v>142</v>
      </c>
      <c r="S345" s="14" t="s">
        <v>1217</v>
      </c>
      <c r="T345" s="12"/>
      <c r="U345" s="12">
        <v>3.52</v>
      </c>
      <c r="V345" s="12"/>
      <c r="W345" s="12"/>
      <c r="X345" s="12"/>
      <c r="Y345" s="12"/>
      <c r="Z345" s="12"/>
      <c r="AA345" s="12"/>
    </row>
    <row r="346" spans="1:27" ht="15" customHeight="1" x14ac:dyDescent="0.2">
      <c r="A346" s="23" t="s">
        <v>1201</v>
      </c>
      <c r="B346" s="14" t="s">
        <v>1218</v>
      </c>
      <c r="C346" s="14" t="s">
        <v>101</v>
      </c>
      <c r="D346" s="12"/>
      <c r="E346" s="14" t="s">
        <v>238</v>
      </c>
      <c r="F346" s="14" t="s">
        <v>61</v>
      </c>
      <c r="G346" s="12"/>
      <c r="H346" s="17" t="s">
        <v>1219</v>
      </c>
      <c r="I346" s="17" t="s">
        <v>63</v>
      </c>
      <c r="J346" s="56" t="s">
        <v>1220</v>
      </c>
      <c r="K346" s="12"/>
      <c r="L346" s="12"/>
      <c r="M346" s="12"/>
      <c r="N346" s="12"/>
      <c r="O346" s="30" t="str">
        <f>HYPERLINK("https://www.berea.edu/admissions/tuition-promise/","https://www.berea.edu/admissions/tuition-promise/")</f>
        <v>https://www.berea.edu/admissions/tuition-promise/</v>
      </c>
      <c r="P346" s="33">
        <v>25470</v>
      </c>
      <c r="Q346" s="25">
        <v>0.34</v>
      </c>
      <c r="R346" s="34" t="s">
        <v>142</v>
      </c>
      <c r="S346" s="34" t="s">
        <v>1221</v>
      </c>
      <c r="T346" s="12"/>
      <c r="U346" s="12">
        <v>3.45</v>
      </c>
      <c r="V346" s="12"/>
      <c r="W346" s="12"/>
      <c r="X346" s="12"/>
      <c r="Y346" s="12"/>
      <c r="Z346" s="12"/>
      <c r="AA346" s="12"/>
    </row>
    <row r="347" spans="1:27" ht="111" customHeight="1" x14ac:dyDescent="0.2">
      <c r="A347" s="23" t="s">
        <v>1201</v>
      </c>
      <c r="B347" s="14" t="s">
        <v>1222</v>
      </c>
      <c r="C347" s="14" t="s">
        <v>101</v>
      </c>
      <c r="D347" s="12"/>
      <c r="E347" s="14" t="s">
        <v>191</v>
      </c>
      <c r="F347" s="14" t="s">
        <v>72</v>
      </c>
      <c r="G347" s="12"/>
      <c r="H347" s="17" t="s">
        <v>62</v>
      </c>
      <c r="I347" s="17">
        <v>1</v>
      </c>
      <c r="J347" s="14" t="s">
        <v>1223</v>
      </c>
      <c r="K347" s="24">
        <v>33</v>
      </c>
      <c r="L347" s="24">
        <v>2170</v>
      </c>
      <c r="M347" s="14" t="s">
        <v>647</v>
      </c>
      <c r="N347" s="24">
        <v>3.5</v>
      </c>
      <c r="O347" s="30" t="str">
        <f>HYPERLINK("https://www.campbellsville.edu/admissions/financial-aid/campbellsville-university-aid/#Presidential%20Excellence","https://www.campbellsville.edu/admissions/financial-aid/campbellsville-university-aid/#Presidential%20Excellence")</f>
        <v>https://www.campbellsville.edu/admissions/financial-aid/campbellsville-university-aid/#Presidential%20Excellence</v>
      </c>
      <c r="P347" s="33">
        <v>24596</v>
      </c>
      <c r="Q347" s="25">
        <v>0.76</v>
      </c>
      <c r="R347" s="14" t="s">
        <v>259</v>
      </c>
      <c r="S347" s="14" t="s">
        <v>1224</v>
      </c>
      <c r="T347" s="12"/>
      <c r="U347" s="12">
        <v>3.35</v>
      </c>
      <c r="V347" s="12"/>
      <c r="W347" s="12"/>
      <c r="X347" s="12"/>
      <c r="Y347" s="12"/>
      <c r="Z347" s="12"/>
      <c r="AA347" s="12"/>
    </row>
    <row r="348" spans="1:27" ht="111" customHeight="1" x14ac:dyDescent="0.2">
      <c r="A348" s="23" t="s">
        <v>1201</v>
      </c>
      <c r="B348" s="14" t="s">
        <v>1222</v>
      </c>
      <c r="C348" s="14" t="s">
        <v>101</v>
      </c>
      <c r="D348" s="12"/>
      <c r="E348" s="14" t="s">
        <v>243</v>
      </c>
      <c r="F348" s="14" t="s">
        <v>72</v>
      </c>
      <c r="G348" s="12"/>
      <c r="H348" s="17" t="s">
        <v>62</v>
      </c>
      <c r="I348" s="17" t="s">
        <v>1225</v>
      </c>
      <c r="J348" s="14" t="s">
        <v>1226</v>
      </c>
      <c r="K348" s="24">
        <v>30</v>
      </c>
      <c r="L348" s="24">
        <v>1980</v>
      </c>
      <c r="M348" s="14" t="s">
        <v>647</v>
      </c>
      <c r="N348" s="24">
        <v>3.5</v>
      </c>
      <c r="O348" s="30" t="str">
        <f>HYPERLINK("https://www.campbellsville.edu/admissions/financial-aid/campbellsville-university-aid/#Presidential%20Scholarship","https://www.campbellsville.edu/admissions/financial-aid/campbellsville-university-aid/#Presidential%20Scholarship")</f>
        <v>https://www.campbellsville.edu/admissions/financial-aid/campbellsville-university-aid/#Presidential%20Scholarship</v>
      </c>
      <c r="P348" s="33">
        <v>24596</v>
      </c>
      <c r="Q348" s="25">
        <v>0.76</v>
      </c>
      <c r="R348" s="14" t="s">
        <v>259</v>
      </c>
      <c r="S348" s="14" t="s">
        <v>1224</v>
      </c>
      <c r="T348" s="12"/>
      <c r="U348" s="12">
        <v>3.35</v>
      </c>
      <c r="V348" s="12"/>
      <c r="W348" s="12"/>
      <c r="X348" s="12"/>
      <c r="Y348" s="12"/>
      <c r="Z348" s="12"/>
      <c r="AA348" s="12"/>
    </row>
    <row r="349" spans="1:27" ht="221.25" customHeight="1" x14ac:dyDescent="0.2">
      <c r="A349" s="23" t="s">
        <v>1201</v>
      </c>
      <c r="B349" s="14" t="s">
        <v>1222</v>
      </c>
      <c r="C349" s="14" t="s">
        <v>101</v>
      </c>
      <c r="D349" s="17" t="s">
        <v>194</v>
      </c>
      <c r="E349" s="14" t="s">
        <v>243</v>
      </c>
      <c r="F349" s="14" t="s">
        <v>72</v>
      </c>
      <c r="G349" s="12"/>
      <c r="H349" s="17" t="s">
        <v>1227</v>
      </c>
      <c r="I349" s="17" t="s">
        <v>1228</v>
      </c>
      <c r="J349" s="14" t="s">
        <v>1229</v>
      </c>
      <c r="K349" s="24">
        <v>25</v>
      </c>
      <c r="L349" s="24">
        <v>1720</v>
      </c>
      <c r="M349" s="14" t="s">
        <v>647</v>
      </c>
      <c r="N349" s="24">
        <v>3.5</v>
      </c>
      <c r="O349" s="30" t="str">
        <f>HYPERLINK("https://www.campbellsville.edu/admissions/financial-aid/campbellsville-university-aid/#Governor%E2%80%99s%20Scholar%20Scholarship","https://www.campbellsville.edu/admissions/financial-aid/campbellsville-university-aid/#Governor%E2%80%99s%20Scholar%20Scholarship")</f>
        <v>https://www.campbellsville.edu/admissions/financial-aid/campbellsville-university-aid/#Governor%E2%80%99s%20Scholar%20Scholarship</v>
      </c>
      <c r="P349" s="33">
        <v>24596</v>
      </c>
      <c r="Q349" s="25">
        <v>0.76</v>
      </c>
      <c r="R349" s="14" t="s">
        <v>259</v>
      </c>
      <c r="S349" s="14" t="s">
        <v>1224</v>
      </c>
      <c r="T349" s="12"/>
      <c r="U349" s="12">
        <v>3.35</v>
      </c>
      <c r="V349" s="12"/>
      <c r="W349" s="12"/>
      <c r="X349" s="12"/>
      <c r="Y349" s="12"/>
      <c r="Z349" s="12"/>
      <c r="AA349" s="12"/>
    </row>
    <row r="350" spans="1:27" ht="158.25" customHeight="1" x14ac:dyDescent="0.2">
      <c r="A350" s="23" t="s">
        <v>1201</v>
      </c>
      <c r="B350" s="14" t="s">
        <v>1222</v>
      </c>
      <c r="C350" s="14" t="s">
        <v>101</v>
      </c>
      <c r="D350" s="17" t="s">
        <v>194</v>
      </c>
      <c r="E350" s="14" t="s">
        <v>238</v>
      </c>
      <c r="F350" s="14" t="s">
        <v>461</v>
      </c>
      <c r="G350" s="12"/>
      <c r="H350" s="17" t="s">
        <v>1227</v>
      </c>
      <c r="I350" s="17" t="s">
        <v>1230</v>
      </c>
      <c r="J350" s="14" t="s">
        <v>1231</v>
      </c>
      <c r="K350" s="18">
        <v>25</v>
      </c>
      <c r="L350" s="12"/>
      <c r="M350" s="12"/>
      <c r="N350" s="24">
        <v>3</v>
      </c>
      <c r="O350" s="30" t="str">
        <f>HYPERLINK("https://www.campbellsville.edu/admissions/financial-aid/campbellsville-university-aid/#Governor's%20Scholar%20for%20the%20Arts","https://www.campbellsville.edu/admissions/financial-aid/campbellsville-university-aid/#Governor's%20Scholar%20for%20the%20Arts")</f>
        <v>https://www.campbellsville.edu/admissions/financial-aid/campbellsville-university-aid/#Governor's%20Scholar%20for%20the%20Arts</v>
      </c>
      <c r="P350" s="33">
        <v>24596</v>
      </c>
      <c r="Q350" s="25">
        <v>0.76</v>
      </c>
      <c r="R350" s="14" t="s">
        <v>259</v>
      </c>
      <c r="S350" s="14" t="s">
        <v>1224</v>
      </c>
      <c r="T350" s="12"/>
      <c r="U350" s="12">
        <v>3.35</v>
      </c>
      <c r="V350" s="12"/>
      <c r="W350" s="12"/>
      <c r="X350" s="12"/>
      <c r="Y350" s="12"/>
      <c r="Z350" s="12"/>
      <c r="AA350" s="12"/>
    </row>
    <row r="351" spans="1:27" ht="189.75" customHeight="1" x14ac:dyDescent="0.2">
      <c r="A351" s="23" t="s">
        <v>1201</v>
      </c>
      <c r="B351" s="14" t="s">
        <v>1232</v>
      </c>
      <c r="C351" s="14" t="s">
        <v>101</v>
      </c>
      <c r="D351" s="12"/>
      <c r="E351" s="14" t="s">
        <v>82</v>
      </c>
      <c r="F351" s="14" t="s">
        <v>72</v>
      </c>
      <c r="G351" s="12"/>
      <c r="H351" s="17" t="s">
        <v>250</v>
      </c>
      <c r="I351" s="17">
        <v>10</v>
      </c>
      <c r="J351" s="14" t="s">
        <v>1233</v>
      </c>
      <c r="K351" s="12">
        <v>32</v>
      </c>
      <c r="L351" s="12">
        <v>1360</v>
      </c>
      <c r="M351" s="17" t="s">
        <v>197</v>
      </c>
      <c r="N351" s="12">
        <v>3.95</v>
      </c>
      <c r="O351" s="30" t="str">
        <f>HYPERLINK("http://www.centre.edu/admission-aid/cost-aid/scholarships/brown-fellows-program/","http://www.centre.edu/admission-aid/cost-aid/scholarships/brown-fellows-program/")</f>
        <v>http://www.centre.edu/admission-aid/cost-aid/scholarships/brown-fellows-program/</v>
      </c>
      <c r="P351" s="33">
        <v>39300</v>
      </c>
      <c r="Q351" s="25">
        <v>0.71</v>
      </c>
      <c r="R351" s="34" t="s">
        <v>379</v>
      </c>
      <c r="S351" s="34" t="s">
        <v>1234</v>
      </c>
      <c r="T351" s="12"/>
      <c r="U351" s="12">
        <v>3.58</v>
      </c>
      <c r="V351" s="12"/>
      <c r="W351" s="12"/>
      <c r="X351" s="12"/>
      <c r="Y351" s="12"/>
      <c r="Z351" s="12"/>
      <c r="AA351" s="12"/>
    </row>
    <row r="352" spans="1:27" ht="142.5" customHeight="1" x14ac:dyDescent="0.2">
      <c r="A352" s="23" t="s">
        <v>1201</v>
      </c>
      <c r="B352" s="14" t="s">
        <v>1232</v>
      </c>
      <c r="C352" s="14" t="s">
        <v>101</v>
      </c>
      <c r="D352" s="12"/>
      <c r="E352" s="14" t="s">
        <v>88</v>
      </c>
      <c r="F352" s="14" t="s">
        <v>72</v>
      </c>
      <c r="G352" s="12"/>
      <c r="H352" s="17" t="s">
        <v>1235</v>
      </c>
      <c r="I352" s="17">
        <v>10</v>
      </c>
      <c r="J352" s="14" t="s">
        <v>1236</v>
      </c>
      <c r="K352" s="12"/>
      <c r="L352" s="12"/>
      <c r="M352" s="12"/>
      <c r="N352" s="14"/>
      <c r="O352" s="30" t="str">
        <f>HYPERLINK("http://www.centre.edu/admission-aid/cost-aid/scholarships/grissom-scholars-program/","http://www.centre.edu/admission-aid/cost-aid/scholarships/grissom-scholars-program/")</f>
        <v>http://www.centre.edu/admission-aid/cost-aid/scholarships/grissom-scholars-program/</v>
      </c>
      <c r="P352" s="33">
        <v>39300</v>
      </c>
      <c r="Q352" s="25">
        <v>0.71</v>
      </c>
      <c r="R352" s="34" t="s">
        <v>379</v>
      </c>
      <c r="S352" s="34" t="s">
        <v>1234</v>
      </c>
      <c r="T352" s="12"/>
      <c r="U352" s="12">
        <v>3.58</v>
      </c>
      <c r="V352" s="12"/>
      <c r="W352" s="12"/>
      <c r="X352" s="12"/>
      <c r="Y352" s="12"/>
      <c r="Z352" s="12"/>
      <c r="AA352" s="12"/>
    </row>
    <row r="353" spans="1:27" ht="353" x14ac:dyDescent="0.2">
      <c r="A353" s="23" t="s">
        <v>1201</v>
      </c>
      <c r="B353" s="14" t="s">
        <v>1232</v>
      </c>
      <c r="C353" s="14" t="s">
        <v>101</v>
      </c>
      <c r="D353" s="12"/>
      <c r="E353" s="14" t="s">
        <v>82</v>
      </c>
      <c r="F353" s="14" t="s">
        <v>72</v>
      </c>
      <c r="G353" s="12"/>
      <c r="H353" s="17" t="s">
        <v>1237</v>
      </c>
      <c r="I353" s="17">
        <v>10</v>
      </c>
      <c r="J353" s="74" t="s">
        <v>1238</v>
      </c>
      <c r="K353" s="12"/>
      <c r="L353" s="12"/>
      <c r="M353" s="12"/>
      <c r="N353" s="12"/>
      <c r="O353" s="30" t="str">
        <f>HYPERLINK("http://www.centre.edu/admission-aid/cost-aid/scholarships/lincoln-scholars-program/","http://www.centre.edu/admission-aid/cost-aid/scholarships/lincoln-scholars-program/")</f>
        <v>http://www.centre.edu/admission-aid/cost-aid/scholarships/lincoln-scholars-program/</v>
      </c>
      <c r="P353" s="33">
        <v>39300</v>
      </c>
      <c r="Q353" s="25">
        <v>0.71</v>
      </c>
      <c r="R353" s="34" t="s">
        <v>379</v>
      </c>
      <c r="S353" s="34" t="s">
        <v>1234</v>
      </c>
      <c r="T353" s="12"/>
      <c r="U353" s="12">
        <v>3.58</v>
      </c>
      <c r="V353" s="12"/>
      <c r="W353" s="12"/>
      <c r="X353" s="12"/>
      <c r="Y353" s="12"/>
      <c r="Z353" s="12"/>
      <c r="AA353" s="12"/>
    </row>
    <row r="354" spans="1:27" ht="174" customHeight="1" x14ac:dyDescent="0.2">
      <c r="A354" s="23" t="s">
        <v>1201</v>
      </c>
      <c r="B354" s="14" t="s">
        <v>1239</v>
      </c>
      <c r="C354" s="14" t="s">
        <v>59</v>
      </c>
      <c r="D354" s="14" t="s">
        <v>194</v>
      </c>
      <c r="E354" s="14" t="s">
        <v>60</v>
      </c>
      <c r="F354" s="14" t="s">
        <v>61</v>
      </c>
      <c r="G354" s="12"/>
      <c r="H354" s="17" t="s">
        <v>1227</v>
      </c>
      <c r="I354" s="17" t="s">
        <v>74</v>
      </c>
      <c r="J354" s="14" t="s">
        <v>1240</v>
      </c>
      <c r="K354" s="18">
        <v>25</v>
      </c>
      <c r="L354" s="17"/>
      <c r="M354" s="12"/>
      <c r="N354" s="24">
        <v>3.75</v>
      </c>
      <c r="O354" s="30" t="str">
        <f>HYPERLINK("http://scholarships.eku.edu/governors-scholars-program","http://scholarships.eku.edu/governors-scholars-program")</f>
        <v>http://scholarships.eku.edu/governors-scholars-program</v>
      </c>
      <c r="P354" s="14" t="s">
        <v>1241</v>
      </c>
      <c r="Q354" s="25">
        <v>0.71</v>
      </c>
      <c r="R354" s="14" t="s">
        <v>385</v>
      </c>
      <c r="S354" s="14" t="s">
        <v>1242</v>
      </c>
      <c r="T354" s="12"/>
      <c r="U354" s="12">
        <v>3.29</v>
      </c>
      <c r="V354" s="12"/>
      <c r="W354" s="12"/>
      <c r="X354" s="12"/>
      <c r="Y354" s="12"/>
      <c r="Z354" s="12"/>
      <c r="AA354" s="12"/>
    </row>
    <row r="355" spans="1:27" ht="79.5" customHeight="1" x14ac:dyDescent="0.2">
      <c r="A355" s="109" t="s">
        <v>1201</v>
      </c>
      <c r="B355" s="110" t="s">
        <v>1243</v>
      </c>
      <c r="C355" s="110" t="s">
        <v>101</v>
      </c>
      <c r="D355" s="112"/>
      <c r="E355" s="110" t="s">
        <v>60</v>
      </c>
      <c r="F355" s="110" t="s">
        <v>72</v>
      </c>
      <c r="G355" s="112"/>
      <c r="H355" s="117" t="s">
        <v>1172</v>
      </c>
      <c r="I355" s="117" t="s">
        <v>74</v>
      </c>
      <c r="J355" s="110" t="s">
        <v>1244</v>
      </c>
      <c r="K355" s="117">
        <v>26</v>
      </c>
      <c r="L355" s="117">
        <v>1240</v>
      </c>
      <c r="M355" s="117" t="s">
        <v>197</v>
      </c>
      <c r="N355" s="117">
        <v>3.2</v>
      </c>
      <c r="O355" s="113" t="str">
        <f>HYPERLINK("http://kwc.edu/admissions/financial-aid/scholarships/","http://kwc.edu/admissions/financial-aid/scholarships/")</f>
        <v>http://kwc.edu/admissions/financial-aid/scholarships/</v>
      </c>
      <c r="P355" s="124">
        <v>24300</v>
      </c>
      <c r="Q355" s="114">
        <v>0.61</v>
      </c>
      <c r="R355" s="110" t="s">
        <v>130</v>
      </c>
      <c r="S355" s="110" t="s">
        <v>1245</v>
      </c>
      <c r="T355" s="112"/>
      <c r="U355" s="112">
        <v>3.3</v>
      </c>
      <c r="V355" s="112"/>
      <c r="W355" s="112"/>
      <c r="X355" s="112"/>
      <c r="Y355" s="112"/>
      <c r="Z355" s="112"/>
      <c r="AA355" s="112"/>
    </row>
    <row r="356" spans="1:27" ht="189.75" customHeight="1" x14ac:dyDescent="0.2">
      <c r="A356" s="23" t="s">
        <v>1201</v>
      </c>
      <c r="B356" s="14" t="s">
        <v>1246</v>
      </c>
      <c r="C356" s="14" t="s">
        <v>59</v>
      </c>
      <c r="D356" s="14" t="s">
        <v>194</v>
      </c>
      <c r="E356" s="14" t="s">
        <v>60</v>
      </c>
      <c r="F356" s="14" t="s">
        <v>61</v>
      </c>
      <c r="G356" s="12"/>
      <c r="H356" s="17" t="s">
        <v>1247</v>
      </c>
      <c r="I356" s="17" t="s">
        <v>74</v>
      </c>
      <c r="J356" s="14" t="s">
        <v>1248</v>
      </c>
      <c r="K356" s="24">
        <v>18</v>
      </c>
      <c r="L356" s="12"/>
      <c r="M356" s="12"/>
      <c r="N356" s="12"/>
      <c r="O356" s="30" t="str">
        <f t="shared" ref="O356:O357" si="50">HYPERLINK("http://www.moreheadstate.edu/Affording-College/Scholarships/In-State-Scholarships","http://www.moreheadstate.edu/Affording-College/Scholarships/In-State-Scholarships")</f>
        <v>http://www.moreheadstate.edu/Affording-College/Scholarships/In-State-Scholarships</v>
      </c>
      <c r="P356" s="14" t="s">
        <v>1249</v>
      </c>
      <c r="Q356" s="25">
        <v>0.85</v>
      </c>
      <c r="R356" s="14" t="s">
        <v>124</v>
      </c>
      <c r="S356" s="14" t="s">
        <v>1250</v>
      </c>
      <c r="T356" s="12"/>
      <c r="U356" s="12" t="s">
        <v>81</v>
      </c>
      <c r="V356" s="12"/>
      <c r="W356" s="12"/>
      <c r="X356" s="12"/>
      <c r="Y356" s="12"/>
      <c r="Z356" s="12"/>
      <c r="AA356" s="12"/>
    </row>
    <row r="357" spans="1:27" ht="158.25" customHeight="1" x14ac:dyDescent="0.2">
      <c r="A357" s="23" t="s">
        <v>1201</v>
      </c>
      <c r="B357" s="14" t="s">
        <v>1246</v>
      </c>
      <c r="C357" s="14" t="s">
        <v>59</v>
      </c>
      <c r="D357" s="14" t="s">
        <v>194</v>
      </c>
      <c r="E357" s="14" t="s">
        <v>60</v>
      </c>
      <c r="F357" s="14" t="s">
        <v>61</v>
      </c>
      <c r="G357" s="12"/>
      <c r="H357" s="17" t="s">
        <v>1251</v>
      </c>
      <c r="I357" s="17" t="s">
        <v>74</v>
      </c>
      <c r="J357" s="14" t="s">
        <v>1252</v>
      </c>
      <c r="K357" s="24">
        <v>18</v>
      </c>
      <c r="L357" s="12"/>
      <c r="M357" s="12"/>
      <c r="N357" s="12"/>
      <c r="O357" s="30" t="str">
        <f t="shared" si="50"/>
        <v>http://www.moreheadstate.edu/Affording-College/Scholarships/In-State-Scholarships</v>
      </c>
      <c r="P357" s="14" t="s">
        <v>1249</v>
      </c>
      <c r="Q357" s="25">
        <v>0.85</v>
      </c>
      <c r="R357" s="14" t="s">
        <v>124</v>
      </c>
      <c r="S357" s="14" t="s">
        <v>1250</v>
      </c>
      <c r="T357" s="12"/>
      <c r="U357" s="12" t="s">
        <v>81</v>
      </c>
      <c r="V357" s="12"/>
      <c r="W357" s="12"/>
      <c r="X357" s="12"/>
      <c r="Y357" s="12"/>
      <c r="Z357" s="12"/>
      <c r="AA357" s="12"/>
    </row>
    <row r="358" spans="1:27" ht="237" customHeight="1" x14ac:dyDescent="0.2">
      <c r="A358" s="23" t="s">
        <v>1201</v>
      </c>
      <c r="B358" s="14" t="s">
        <v>1246</v>
      </c>
      <c r="C358" s="14" t="s">
        <v>59</v>
      </c>
      <c r="D358" s="14" t="s">
        <v>194</v>
      </c>
      <c r="E358" s="14" t="s">
        <v>82</v>
      </c>
      <c r="F358" s="14" t="s">
        <v>72</v>
      </c>
      <c r="G358" s="12"/>
      <c r="H358" s="17" t="s">
        <v>1253</v>
      </c>
      <c r="I358" s="17" t="s">
        <v>74</v>
      </c>
      <c r="J358" s="14" t="s">
        <v>1254</v>
      </c>
      <c r="K358" s="12"/>
      <c r="L358" s="12"/>
      <c r="M358" s="12"/>
      <c r="N358" s="12"/>
      <c r="O358" s="30" t="str">
        <f t="shared" ref="O358:O359" si="51">HYPERLINK("http://www.moreheadstate.edu/scholarships/","http://www.moreheadstate.edu/scholarships/")</f>
        <v>http://www.moreheadstate.edu/scholarships/</v>
      </c>
      <c r="P358" s="14" t="s">
        <v>1249</v>
      </c>
      <c r="Q358" s="25">
        <v>0.85</v>
      </c>
      <c r="R358" s="14" t="s">
        <v>124</v>
      </c>
      <c r="S358" s="14" t="s">
        <v>1250</v>
      </c>
      <c r="T358" s="12"/>
      <c r="U358" s="12" t="s">
        <v>81</v>
      </c>
      <c r="V358" s="12"/>
      <c r="W358" s="12"/>
      <c r="X358" s="12"/>
      <c r="Y358" s="12"/>
      <c r="Z358" s="12"/>
      <c r="AA358" s="12"/>
    </row>
    <row r="359" spans="1:27" ht="237" customHeight="1" x14ac:dyDescent="0.2">
      <c r="A359" s="23" t="s">
        <v>1201</v>
      </c>
      <c r="B359" s="14" t="s">
        <v>1246</v>
      </c>
      <c r="C359" s="14" t="s">
        <v>59</v>
      </c>
      <c r="D359" s="14" t="s">
        <v>334</v>
      </c>
      <c r="E359" s="14" t="s">
        <v>82</v>
      </c>
      <c r="F359" s="14" t="s">
        <v>72</v>
      </c>
      <c r="G359" s="12"/>
      <c r="H359" s="17" t="s">
        <v>1253</v>
      </c>
      <c r="I359" s="17" t="s">
        <v>74</v>
      </c>
      <c r="J359" s="14" t="s">
        <v>1254</v>
      </c>
      <c r="K359" s="12"/>
      <c r="L359" s="12"/>
      <c r="M359" s="12"/>
      <c r="N359" s="12"/>
      <c r="O359" s="30" t="str">
        <f t="shared" si="51"/>
        <v>http://www.moreheadstate.edu/scholarships/</v>
      </c>
      <c r="P359" s="14" t="s">
        <v>1249</v>
      </c>
      <c r="Q359" s="25">
        <v>0.85</v>
      </c>
      <c r="R359" s="14" t="s">
        <v>124</v>
      </c>
      <c r="S359" s="14" t="s">
        <v>1250</v>
      </c>
      <c r="T359" s="12"/>
      <c r="U359" s="12" t="s">
        <v>81</v>
      </c>
      <c r="V359" s="12"/>
      <c r="W359" s="12"/>
      <c r="X359" s="12"/>
      <c r="Y359" s="12"/>
      <c r="Z359" s="12"/>
      <c r="AA359" s="12"/>
    </row>
    <row r="360" spans="1:27" ht="189.75" customHeight="1" x14ac:dyDescent="0.2">
      <c r="A360" s="23" t="s">
        <v>1201</v>
      </c>
      <c r="B360" s="14" t="s">
        <v>1255</v>
      </c>
      <c r="C360" s="14" t="s">
        <v>59</v>
      </c>
      <c r="D360" s="14" t="s">
        <v>194</v>
      </c>
      <c r="E360" s="14" t="s">
        <v>60</v>
      </c>
      <c r="F360" s="14" t="s">
        <v>61</v>
      </c>
      <c r="G360" s="12"/>
      <c r="H360" s="17" t="s">
        <v>1227</v>
      </c>
      <c r="I360" s="17" t="s">
        <v>74</v>
      </c>
      <c r="J360" s="14" t="s">
        <v>1256</v>
      </c>
      <c r="K360" s="24">
        <v>25</v>
      </c>
      <c r="L360" s="12"/>
      <c r="M360" s="12"/>
      <c r="N360" s="24">
        <v>3.5</v>
      </c>
      <c r="O360" s="30" t="str">
        <f t="shared" ref="O360:O365" si="52">HYPERLINK("http://www.murraystate.edu/admissions/scholarships/newfreshmen.aspx","http://www.murraystate.edu/admissions/scholarships/newfreshmen.aspx")</f>
        <v>http://www.murraystate.edu/admissions/scholarships/newfreshmen.aspx</v>
      </c>
      <c r="P360" s="14" t="s">
        <v>1257</v>
      </c>
      <c r="Q360" s="58">
        <v>0.91</v>
      </c>
      <c r="R360" s="14" t="s">
        <v>126</v>
      </c>
      <c r="S360" s="14" t="s">
        <v>1258</v>
      </c>
      <c r="T360" s="12"/>
      <c r="U360" s="12">
        <v>3.48</v>
      </c>
      <c r="V360" s="12"/>
      <c r="W360" s="12"/>
      <c r="X360" s="12"/>
      <c r="Y360" s="12"/>
      <c r="Z360" s="12"/>
      <c r="AA360" s="12"/>
    </row>
    <row r="361" spans="1:27" ht="268.5" customHeight="1" x14ac:dyDescent="0.2">
      <c r="A361" s="23" t="s">
        <v>1201</v>
      </c>
      <c r="B361" s="14" t="s">
        <v>1255</v>
      </c>
      <c r="C361" s="14" t="s">
        <v>59</v>
      </c>
      <c r="D361" s="12"/>
      <c r="E361" s="14" t="s">
        <v>111</v>
      </c>
      <c r="F361" s="14" t="s">
        <v>72</v>
      </c>
      <c r="G361" s="12"/>
      <c r="H361" s="17" t="s">
        <v>1253</v>
      </c>
      <c r="I361" s="17" t="s">
        <v>74</v>
      </c>
      <c r="J361" s="14" t="s">
        <v>1259</v>
      </c>
      <c r="K361" s="24">
        <v>28</v>
      </c>
      <c r="L361" s="24">
        <v>1250</v>
      </c>
      <c r="M361" s="16" t="s">
        <v>76</v>
      </c>
      <c r="N361" s="24">
        <v>3.7</v>
      </c>
      <c r="O361" s="30" t="str">
        <f t="shared" si="52"/>
        <v>http://www.murraystate.edu/admissions/scholarships/newfreshmen.aspx</v>
      </c>
      <c r="P361" s="14" t="s">
        <v>1257</v>
      </c>
      <c r="Q361" s="58">
        <v>0.91</v>
      </c>
      <c r="R361" s="14" t="s">
        <v>126</v>
      </c>
      <c r="S361" s="14" t="s">
        <v>1258</v>
      </c>
      <c r="T361" s="12"/>
      <c r="U361" s="12">
        <v>3.48</v>
      </c>
      <c r="V361" s="12"/>
      <c r="W361" s="12"/>
      <c r="X361" s="12"/>
      <c r="Y361" s="12"/>
      <c r="Z361" s="12"/>
      <c r="AA361" s="12"/>
    </row>
    <row r="362" spans="1:27" ht="111" customHeight="1" x14ac:dyDescent="0.2">
      <c r="A362" s="109" t="s">
        <v>1201</v>
      </c>
      <c r="B362" s="110" t="s">
        <v>1255</v>
      </c>
      <c r="C362" s="110" t="s">
        <v>59</v>
      </c>
      <c r="D362" s="110"/>
      <c r="E362" s="110" t="s">
        <v>88</v>
      </c>
      <c r="F362" s="110" t="s">
        <v>61</v>
      </c>
      <c r="G362" s="112"/>
      <c r="H362" s="117" t="s">
        <v>62</v>
      </c>
      <c r="I362" s="117" t="s">
        <v>63</v>
      </c>
      <c r="J362" s="110" t="s">
        <v>1260</v>
      </c>
      <c r="K362" s="119">
        <v>33</v>
      </c>
      <c r="L362" s="120">
        <v>1490</v>
      </c>
      <c r="M362" s="128" t="s">
        <v>76</v>
      </c>
      <c r="N362" s="119">
        <v>3.7</v>
      </c>
      <c r="O362" s="113" t="str">
        <f t="shared" si="52"/>
        <v>http://www.murraystate.edu/admissions/scholarships/newfreshmen.aspx</v>
      </c>
      <c r="P362" s="110" t="s">
        <v>1257</v>
      </c>
      <c r="Q362" s="125">
        <v>0.91</v>
      </c>
      <c r="R362" s="110" t="s">
        <v>126</v>
      </c>
      <c r="S362" s="110" t="s">
        <v>1258</v>
      </c>
      <c r="T362" s="112"/>
      <c r="U362" s="112">
        <v>3.48</v>
      </c>
      <c r="V362" s="112"/>
      <c r="W362" s="112"/>
      <c r="X362" s="112"/>
      <c r="Y362" s="112"/>
      <c r="Z362" s="112"/>
      <c r="AA362" s="112"/>
    </row>
    <row r="363" spans="1:27" ht="111" customHeight="1" x14ac:dyDescent="0.2">
      <c r="A363" s="109" t="s">
        <v>1201</v>
      </c>
      <c r="B363" s="110" t="s">
        <v>1255</v>
      </c>
      <c r="C363" s="110" t="s">
        <v>59</v>
      </c>
      <c r="D363" s="110"/>
      <c r="E363" s="110" t="s">
        <v>1261</v>
      </c>
      <c r="F363" s="110" t="s">
        <v>61</v>
      </c>
      <c r="G363" s="112"/>
      <c r="H363" s="117" t="s">
        <v>62</v>
      </c>
      <c r="I363" s="117" t="s">
        <v>63</v>
      </c>
      <c r="J363" s="110" t="s">
        <v>1262</v>
      </c>
      <c r="K363" s="119">
        <v>30</v>
      </c>
      <c r="L363" s="120">
        <v>1390</v>
      </c>
      <c r="M363" s="128" t="s">
        <v>76</v>
      </c>
      <c r="N363" s="119">
        <v>3.6</v>
      </c>
      <c r="O363" s="113" t="str">
        <f t="shared" si="52"/>
        <v>http://www.murraystate.edu/admissions/scholarships/newfreshmen.aspx</v>
      </c>
      <c r="P363" s="110" t="s">
        <v>1257</v>
      </c>
      <c r="Q363" s="125">
        <v>0.91</v>
      </c>
      <c r="R363" s="110" t="s">
        <v>126</v>
      </c>
      <c r="S363" s="110" t="s">
        <v>1258</v>
      </c>
      <c r="T363" s="112"/>
      <c r="U363" s="112">
        <v>3.48</v>
      </c>
      <c r="V363" s="112"/>
      <c r="W363" s="112"/>
      <c r="X363" s="112"/>
      <c r="Y363" s="112"/>
      <c r="Z363" s="112"/>
      <c r="AA363" s="112"/>
    </row>
    <row r="364" spans="1:27" ht="192" x14ac:dyDescent="0.2">
      <c r="A364" s="23" t="s">
        <v>1201</v>
      </c>
      <c r="B364" s="14" t="s">
        <v>1255</v>
      </c>
      <c r="C364" s="14" t="s">
        <v>59</v>
      </c>
      <c r="D364" s="14"/>
      <c r="E364" s="14" t="s">
        <v>111</v>
      </c>
      <c r="F364" s="14" t="s">
        <v>92</v>
      </c>
      <c r="G364" s="12"/>
      <c r="H364" s="17" t="s">
        <v>93</v>
      </c>
      <c r="I364" s="17" t="s">
        <v>63</v>
      </c>
      <c r="J364" s="16" t="s">
        <v>1263</v>
      </c>
      <c r="K364" s="12"/>
      <c r="L364" s="12"/>
      <c r="M364" s="12"/>
      <c r="N364" s="12"/>
      <c r="O364" s="30" t="str">
        <f t="shared" si="52"/>
        <v>http://www.murraystate.edu/admissions/scholarships/newfreshmen.aspx</v>
      </c>
      <c r="P364" s="14" t="s">
        <v>1257</v>
      </c>
      <c r="Q364" s="58">
        <v>0.91</v>
      </c>
      <c r="R364" s="14" t="s">
        <v>126</v>
      </c>
      <c r="S364" s="14" t="s">
        <v>1258</v>
      </c>
      <c r="T364" s="12"/>
      <c r="U364" s="12">
        <v>3.48</v>
      </c>
      <c r="V364" s="12"/>
      <c r="W364" s="12"/>
      <c r="X364" s="12"/>
      <c r="Y364" s="12"/>
      <c r="Z364" s="12"/>
      <c r="AA364" s="12"/>
    </row>
    <row r="365" spans="1:27" ht="189.75" customHeight="1" x14ac:dyDescent="0.2">
      <c r="A365" s="23" t="s">
        <v>1201</v>
      </c>
      <c r="B365" s="14" t="s">
        <v>1255</v>
      </c>
      <c r="C365" s="14" t="s">
        <v>59</v>
      </c>
      <c r="D365" s="17" t="s">
        <v>194</v>
      </c>
      <c r="E365" s="14" t="s">
        <v>60</v>
      </c>
      <c r="F365" s="14" t="s">
        <v>461</v>
      </c>
      <c r="G365" s="12"/>
      <c r="H365" s="17" t="s">
        <v>1227</v>
      </c>
      <c r="I365" s="17">
        <v>6</v>
      </c>
      <c r="J365" s="14" t="s">
        <v>1264</v>
      </c>
      <c r="K365" s="17">
        <v>25</v>
      </c>
      <c r="L365" s="12"/>
      <c r="M365" s="12"/>
      <c r="N365" s="17">
        <v>3.5</v>
      </c>
      <c r="O365" s="30" t="str">
        <f t="shared" si="52"/>
        <v>http://www.murraystate.edu/admissions/scholarships/newfreshmen.aspx</v>
      </c>
      <c r="P365" s="14" t="s">
        <v>1257</v>
      </c>
      <c r="Q365" s="58">
        <v>0.91</v>
      </c>
      <c r="R365" s="14" t="s">
        <v>126</v>
      </c>
      <c r="S365" s="14" t="s">
        <v>1258</v>
      </c>
      <c r="T365" s="12"/>
      <c r="U365" s="12">
        <v>3.48</v>
      </c>
      <c r="V365" s="12"/>
      <c r="W365" s="12"/>
      <c r="X365" s="12"/>
      <c r="Y365" s="12"/>
      <c r="Z365" s="12"/>
      <c r="AA365" s="12"/>
    </row>
    <row r="366" spans="1:27" ht="142.5" customHeight="1" x14ac:dyDescent="0.2">
      <c r="A366" s="109" t="s">
        <v>1201</v>
      </c>
      <c r="B366" s="110" t="s">
        <v>1265</v>
      </c>
      <c r="C366" s="110" t="s">
        <v>59</v>
      </c>
      <c r="D366" s="112"/>
      <c r="E366" s="110" t="s">
        <v>60</v>
      </c>
      <c r="F366" s="110" t="s">
        <v>61</v>
      </c>
      <c r="G366" s="112"/>
      <c r="H366" s="117" t="s">
        <v>1227</v>
      </c>
      <c r="I366" s="117" t="s">
        <v>74</v>
      </c>
      <c r="J366" s="110" t="s">
        <v>1266</v>
      </c>
      <c r="K366" s="119">
        <v>24</v>
      </c>
      <c r="L366" s="112">
        <v>1160</v>
      </c>
      <c r="M366" s="117" t="s">
        <v>197</v>
      </c>
      <c r="N366" s="119">
        <v>3</v>
      </c>
      <c r="O366" s="121" t="s">
        <v>1267</v>
      </c>
      <c r="P366" s="110" t="s">
        <v>1268</v>
      </c>
      <c r="Q366" s="114">
        <v>0.92</v>
      </c>
      <c r="R366" s="110" t="s">
        <v>126</v>
      </c>
      <c r="S366" s="110" t="s">
        <v>1269</v>
      </c>
      <c r="T366" s="112"/>
      <c r="U366" s="112">
        <v>3.34</v>
      </c>
      <c r="V366" s="112"/>
      <c r="W366" s="112"/>
      <c r="X366" s="112"/>
      <c r="Y366" s="112"/>
      <c r="Z366" s="112"/>
      <c r="AA366" s="112"/>
    </row>
    <row r="367" spans="1:27" ht="111" customHeight="1" x14ac:dyDescent="0.2">
      <c r="A367" s="109" t="s">
        <v>1201</v>
      </c>
      <c r="B367" s="110" t="s">
        <v>1265</v>
      </c>
      <c r="C367" s="110" t="s">
        <v>59</v>
      </c>
      <c r="D367" s="112"/>
      <c r="E367" s="110" t="s">
        <v>88</v>
      </c>
      <c r="F367" s="110" t="s">
        <v>61</v>
      </c>
      <c r="G367" s="112"/>
      <c r="H367" s="117" t="s">
        <v>62</v>
      </c>
      <c r="I367" s="117" t="s">
        <v>63</v>
      </c>
      <c r="J367" s="110" t="s">
        <v>1270</v>
      </c>
      <c r="K367" s="119">
        <v>34</v>
      </c>
      <c r="L367" s="119">
        <v>1520</v>
      </c>
      <c r="M367" s="110" t="s">
        <v>197</v>
      </c>
      <c r="N367" s="119">
        <v>3.75</v>
      </c>
      <c r="O367" s="121" t="s">
        <v>1271</v>
      </c>
      <c r="P367" s="110" t="s">
        <v>1268</v>
      </c>
      <c r="Q367" s="114">
        <v>0.92</v>
      </c>
      <c r="R367" s="110" t="s">
        <v>126</v>
      </c>
      <c r="S367" s="110" t="s">
        <v>1269</v>
      </c>
      <c r="T367" s="112"/>
      <c r="U367" s="112">
        <v>3.34</v>
      </c>
      <c r="V367" s="112"/>
      <c r="W367" s="112"/>
      <c r="X367" s="112"/>
      <c r="Y367" s="112"/>
      <c r="Z367" s="112"/>
      <c r="AA367" s="112"/>
    </row>
    <row r="368" spans="1:27" ht="165" x14ac:dyDescent="0.2">
      <c r="A368" s="152" t="s">
        <v>1201</v>
      </c>
      <c r="B368" s="153" t="s">
        <v>1265</v>
      </c>
      <c r="C368" s="152" t="s">
        <v>59</v>
      </c>
      <c r="D368" s="152" t="s">
        <v>74</v>
      </c>
      <c r="E368" s="152" t="s">
        <v>1272</v>
      </c>
      <c r="F368" s="152" t="s">
        <v>72</v>
      </c>
      <c r="G368" s="152"/>
      <c r="H368" s="154" t="s">
        <v>1273</v>
      </c>
      <c r="I368" s="155" t="s">
        <v>74</v>
      </c>
      <c r="J368" s="154" t="s">
        <v>1274</v>
      </c>
      <c r="K368" s="156"/>
      <c r="L368" s="156"/>
      <c r="M368" s="152"/>
      <c r="N368" s="156"/>
      <c r="O368" s="157" t="s">
        <v>1275</v>
      </c>
      <c r="P368" s="153" t="s">
        <v>1276</v>
      </c>
      <c r="Q368" s="156">
        <v>0.93300000000000005</v>
      </c>
      <c r="R368" s="152" t="s">
        <v>124</v>
      </c>
      <c r="S368" s="153" t="s">
        <v>1277</v>
      </c>
      <c r="T368" s="112"/>
      <c r="U368" s="112">
        <v>3.34</v>
      </c>
      <c r="V368" s="112"/>
      <c r="W368" s="112"/>
      <c r="X368" s="112"/>
      <c r="Y368" s="112"/>
      <c r="Z368" s="112"/>
      <c r="AA368" s="112"/>
    </row>
    <row r="369" spans="1:27" ht="120" x14ac:dyDescent="0.2">
      <c r="A369" s="39" t="s">
        <v>1201</v>
      </c>
      <c r="B369" s="40" t="s">
        <v>1265</v>
      </c>
      <c r="C369" s="39" t="s">
        <v>59</v>
      </c>
      <c r="D369" s="39" t="s">
        <v>74</v>
      </c>
      <c r="E369" s="39" t="s">
        <v>1272</v>
      </c>
      <c r="F369" s="39" t="s">
        <v>72</v>
      </c>
      <c r="G369" s="39"/>
      <c r="H369" s="69" t="s">
        <v>1278</v>
      </c>
      <c r="I369" s="158" t="s">
        <v>74</v>
      </c>
      <c r="J369" s="40" t="s">
        <v>1279</v>
      </c>
      <c r="K369" s="159">
        <v>25</v>
      </c>
      <c r="L369" s="159"/>
      <c r="M369" s="39"/>
      <c r="N369" s="159">
        <v>0</v>
      </c>
      <c r="O369" s="160" t="str">
        <f>HYPERLINK("https://artscience.nku.edu/departments/biology/about/awards/scholarships.html","https://artscience.nku.edu/departments/biology/about/awards/scholarships.html")</f>
        <v>https://artscience.nku.edu/departments/biology/about/awards/scholarships.html</v>
      </c>
      <c r="P369" s="40" t="s">
        <v>1276</v>
      </c>
      <c r="Q369" s="159">
        <v>0.93300000000000005</v>
      </c>
      <c r="R369" s="39" t="s">
        <v>124</v>
      </c>
      <c r="S369" s="40" t="s">
        <v>1277</v>
      </c>
      <c r="T369" s="12"/>
      <c r="U369" s="12">
        <v>3.34</v>
      </c>
      <c r="V369" s="12"/>
      <c r="W369" s="12"/>
      <c r="X369" s="12"/>
      <c r="Y369" s="12"/>
      <c r="Z369" s="12"/>
      <c r="AA369" s="12"/>
    </row>
    <row r="370" spans="1:27" ht="105.75" customHeight="1" x14ac:dyDescent="0.2">
      <c r="A370" s="152" t="s">
        <v>1201</v>
      </c>
      <c r="B370" s="153" t="s">
        <v>1265</v>
      </c>
      <c r="C370" s="152" t="s">
        <v>59</v>
      </c>
      <c r="D370" s="152" t="s">
        <v>74</v>
      </c>
      <c r="E370" s="152" t="s">
        <v>243</v>
      </c>
      <c r="F370" s="152" t="s">
        <v>72</v>
      </c>
      <c r="G370" s="152"/>
      <c r="H370" s="154" t="s">
        <v>1280</v>
      </c>
      <c r="I370" s="155" t="s">
        <v>74</v>
      </c>
      <c r="J370" s="153" t="s">
        <v>1281</v>
      </c>
      <c r="K370" s="156"/>
      <c r="L370" s="156"/>
      <c r="M370" s="152"/>
      <c r="N370" s="156">
        <v>2.5</v>
      </c>
      <c r="O370" s="157" t="s">
        <v>1282</v>
      </c>
      <c r="P370" s="153" t="s">
        <v>1276</v>
      </c>
      <c r="Q370" s="156">
        <v>0.93300000000000005</v>
      </c>
      <c r="R370" s="152" t="s">
        <v>124</v>
      </c>
      <c r="S370" s="153" t="s">
        <v>1277</v>
      </c>
      <c r="T370" s="112"/>
      <c r="U370" s="112">
        <v>3.34</v>
      </c>
      <c r="V370" s="112"/>
      <c r="W370" s="112"/>
      <c r="X370" s="112"/>
      <c r="Y370" s="112"/>
      <c r="Z370" s="112"/>
      <c r="AA370" s="112"/>
    </row>
    <row r="371" spans="1:27" ht="221.25" customHeight="1" x14ac:dyDescent="0.2">
      <c r="A371" s="23" t="s">
        <v>1201</v>
      </c>
      <c r="B371" s="14" t="s">
        <v>1283</v>
      </c>
      <c r="C371" s="14" t="s">
        <v>101</v>
      </c>
      <c r="D371" s="12"/>
      <c r="E371" s="14" t="s">
        <v>60</v>
      </c>
      <c r="F371" s="14" t="s">
        <v>72</v>
      </c>
      <c r="G371" s="12"/>
      <c r="H371" s="17" t="s">
        <v>1284</v>
      </c>
      <c r="I371" s="17">
        <v>1</v>
      </c>
      <c r="J371" s="14" t="s">
        <v>1285</v>
      </c>
      <c r="K371" s="24">
        <v>23</v>
      </c>
      <c r="L371" s="18">
        <v>1130</v>
      </c>
      <c r="M371" s="16" t="s">
        <v>76</v>
      </c>
      <c r="N371" s="24">
        <v>3</v>
      </c>
      <c r="O371" s="30" t="str">
        <f t="shared" ref="O371:O372" si="53">HYPERLINK("http://www.thomasmore.edu/financial_aid/scholarships_freshman.cfm?id=1","http://www.thomasmore.edu/financial_aid/scholarships_freshman.cfm?id=1")</f>
        <v>http://www.thomasmore.edu/financial_aid/scholarships_freshman.cfm?id=1</v>
      </c>
      <c r="P371" s="33">
        <v>29450</v>
      </c>
      <c r="Q371" s="25">
        <v>0.88</v>
      </c>
      <c r="R371" s="14" t="s">
        <v>120</v>
      </c>
      <c r="S371" s="14" t="s">
        <v>1286</v>
      </c>
      <c r="T371" s="12"/>
      <c r="U371" s="12">
        <v>3.26</v>
      </c>
      <c r="V371" s="12"/>
      <c r="W371" s="12"/>
      <c r="X371" s="12"/>
      <c r="Y371" s="12"/>
      <c r="Z371" s="12"/>
      <c r="AA371" s="12"/>
    </row>
    <row r="372" spans="1:27" ht="126.75" customHeight="1" x14ac:dyDescent="0.2">
      <c r="A372" s="23" t="s">
        <v>1201</v>
      </c>
      <c r="B372" s="14" t="s">
        <v>1283</v>
      </c>
      <c r="C372" s="14" t="s">
        <v>101</v>
      </c>
      <c r="D372" s="12"/>
      <c r="E372" s="14" t="s">
        <v>60</v>
      </c>
      <c r="F372" s="14" t="s">
        <v>72</v>
      </c>
      <c r="G372" s="12"/>
      <c r="H372" s="17" t="s">
        <v>950</v>
      </c>
      <c r="I372" s="17" t="s">
        <v>74</v>
      </c>
      <c r="J372" s="14" t="s">
        <v>1287</v>
      </c>
      <c r="K372" s="24">
        <v>28</v>
      </c>
      <c r="L372" s="18">
        <v>1340</v>
      </c>
      <c r="M372" s="16" t="s">
        <v>76</v>
      </c>
      <c r="N372" s="24">
        <v>3.6</v>
      </c>
      <c r="O372" s="30" t="str">
        <f t="shared" si="53"/>
        <v>http://www.thomasmore.edu/financial_aid/scholarships_freshman.cfm?id=1</v>
      </c>
      <c r="P372" s="33">
        <v>29450</v>
      </c>
      <c r="Q372" s="25">
        <v>0.88</v>
      </c>
      <c r="R372" s="14" t="s">
        <v>120</v>
      </c>
      <c r="S372" s="14" t="s">
        <v>1286</v>
      </c>
      <c r="T372" s="12"/>
      <c r="U372" s="12">
        <v>3.26</v>
      </c>
      <c r="V372" s="12"/>
      <c r="W372" s="12"/>
      <c r="X372" s="12"/>
      <c r="Y372" s="12"/>
      <c r="Z372" s="12"/>
      <c r="AA372" s="12"/>
    </row>
    <row r="373" spans="1:27" ht="142.5" customHeight="1" x14ac:dyDescent="0.2">
      <c r="A373" s="23" t="s">
        <v>1201</v>
      </c>
      <c r="B373" s="14" t="s">
        <v>1288</v>
      </c>
      <c r="C373" s="14" t="s">
        <v>101</v>
      </c>
      <c r="D373" s="12"/>
      <c r="E373" s="14" t="s">
        <v>177</v>
      </c>
      <c r="F373" s="14" t="s">
        <v>72</v>
      </c>
      <c r="G373" s="12"/>
      <c r="H373" s="17" t="s">
        <v>239</v>
      </c>
      <c r="I373" s="17" t="s">
        <v>74</v>
      </c>
      <c r="J373" s="14" t="s">
        <v>1289</v>
      </c>
      <c r="K373" s="12"/>
      <c r="L373" s="12"/>
      <c r="M373" s="12"/>
      <c r="N373" s="12"/>
      <c r="O373" s="30" t="str">
        <f>HYPERLINK("http://www.transy.edu/admissions/aid/academic_scholarships.htm","http://www.transy.edu/admissions/aid/academic_scholarships.htm")</f>
        <v>http://www.transy.edu/admissions/aid/academic_scholarships.htm</v>
      </c>
      <c r="P373" s="33">
        <v>35830</v>
      </c>
      <c r="Q373" s="25">
        <v>0.93</v>
      </c>
      <c r="R373" s="34" t="s">
        <v>96</v>
      </c>
      <c r="S373" s="34" t="s">
        <v>1290</v>
      </c>
      <c r="T373" s="12"/>
      <c r="U373" s="12">
        <v>3.76</v>
      </c>
      <c r="V373" s="12"/>
      <c r="W373" s="12"/>
      <c r="X373" s="12"/>
      <c r="Y373" s="12"/>
      <c r="Z373" s="12"/>
      <c r="AA373" s="12"/>
    </row>
    <row r="374" spans="1:27" ht="189.75" customHeight="1" x14ac:dyDescent="0.2">
      <c r="A374" s="23" t="s">
        <v>1201</v>
      </c>
      <c r="B374" s="14" t="s">
        <v>1291</v>
      </c>
      <c r="C374" s="14" t="s">
        <v>101</v>
      </c>
      <c r="D374" s="14" t="s">
        <v>194</v>
      </c>
      <c r="E374" s="14" t="s">
        <v>243</v>
      </c>
      <c r="F374" s="14" t="s">
        <v>61</v>
      </c>
      <c r="G374" s="12"/>
      <c r="H374" s="17" t="s">
        <v>1247</v>
      </c>
      <c r="I374" s="17" t="s">
        <v>74</v>
      </c>
      <c r="J374" s="14" t="s">
        <v>1292</v>
      </c>
      <c r="K374" s="24">
        <v>24</v>
      </c>
      <c r="L374" s="12"/>
      <c r="M374" s="12"/>
      <c r="N374" s="24">
        <v>3</v>
      </c>
      <c r="O374" s="30" t="str">
        <f t="shared" ref="O374:O375" si="54">HYPERLINK("http://www.unionky.edu/admissions-financial-aid/financial-aid/scholarships-and-financial-aid/scholarships","http://www.unionky.edu/admissions-financial-aid/financial-aid/scholarships-and-financial-aid/scholarships")</f>
        <v>http://www.unionky.edu/admissions-financial-aid/financial-aid/scholarships-and-financial-aid/scholarships</v>
      </c>
      <c r="P374" s="33">
        <v>25135</v>
      </c>
      <c r="Q374" s="25">
        <v>0.69</v>
      </c>
      <c r="R374" s="14" t="s">
        <v>550</v>
      </c>
      <c r="S374" s="14" t="s">
        <v>1293</v>
      </c>
      <c r="T374" s="12"/>
      <c r="U374" s="12">
        <v>3.17</v>
      </c>
      <c r="V374" s="12"/>
      <c r="W374" s="12"/>
      <c r="X374" s="12"/>
      <c r="Y374" s="12"/>
      <c r="Z374" s="12"/>
      <c r="AA374" s="12"/>
    </row>
    <row r="375" spans="1:27" ht="111" customHeight="1" x14ac:dyDescent="0.2">
      <c r="A375" s="23" t="s">
        <v>1201</v>
      </c>
      <c r="B375" s="14" t="s">
        <v>1291</v>
      </c>
      <c r="C375" s="14" t="s">
        <v>101</v>
      </c>
      <c r="D375" s="12" t="s">
        <v>194</v>
      </c>
      <c r="E375" s="14" t="s">
        <v>243</v>
      </c>
      <c r="F375" s="14" t="s">
        <v>61</v>
      </c>
      <c r="G375" s="12"/>
      <c r="H375" s="17" t="s">
        <v>1247</v>
      </c>
      <c r="I375" s="17" t="s">
        <v>74</v>
      </c>
      <c r="J375" s="14" t="s">
        <v>1294</v>
      </c>
      <c r="K375" s="24">
        <v>24</v>
      </c>
      <c r="L375" s="12"/>
      <c r="M375" s="12"/>
      <c r="N375" s="24">
        <v>3</v>
      </c>
      <c r="O375" s="30" t="str">
        <f t="shared" si="54"/>
        <v>http://www.unionky.edu/admissions-financial-aid/financial-aid/scholarships-and-financial-aid/scholarships</v>
      </c>
      <c r="P375" s="33">
        <v>25135</v>
      </c>
      <c r="Q375" s="25">
        <v>0.69</v>
      </c>
      <c r="R375" s="14" t="s">
        <v>550</v>
      </c>
      <c r="S375" s="14" t="s">
        <v>1293</v>
      </c>
      <c r="T375" s="12"/>
      <c r="U375" s="12">
        <v>3.17</v>
      </c>
      <c r="V375" s="12"/>
      <c r="W375" s="12"/>
      <c r="X375" s="12"/>
      <c r="Y375" s="12"/>
      <c r="Z375" s="12"/>
      <c r="AA375" s="12"/>
    </row>
    <row r="376" spans="1:27" ht="205.5" customHeight="1" x14ac:dyDescent="0.2">
      <c r="A376" s="23" t="s">
        <v>1201</v>
      </c>
      <c r="B376" s="14" t="s">
        <v>1295</v>
      </c>
      <c r="C376" s="14" t="s">
        <v>59</v>
      </c>
      <c r="D376" s="14" t="s">
        <v>194</v>
      </c>
      <c r="E376" s="14" t="s">
        <v>60</v>
      </c>
      <c r="F376" s="14" t="s">
        <v>61</v>
      </c>
      <c r="G376" s="12"/>
      <c r="H376" s="17" t="s">
        <v>1247</v>
      </c>
      <c r="I376" s="17" t="s">
        <v>74</v>
      </c>
      <c r="J376" s="14" t="s">
        <v>1296</v>
      </c>
      <c r="K376" s="24">
        <v>31</v>
      </c>
      <c r="L376" s="24">
        <v>1420</v>
      </c>
      <c r="M376" s="16" t="s">
        <v>76</v>
      </c>
      <c r="N376" s="24">
        <v>3.5</v>
      </c>
      <c r="O376" s="30" t="str">
        <f t="shared" ref="O376:O379" si="55">HYPERLINK("http://www.uky.edu/financialaid/scholarship-incoming-freshmen","http://www.uky.edu/financialaid/scholarship-incoming-freshmen")</f>
        <v>http://www.uky.edu/financialaid/scholarship-incoming-freshmen</v>
      </c>
      <c r="P376" s="14" t="s">
        <v>1297</v>
      </c>
      <c r="Q376" s="25">
        <v>0.89</v>
      </c>
      <c r="R376" s="14" t="s">
        <v>224</v>
      </c>
      <c r="S376" s="14" t="s">
        <v>1298</v>
      </c>
      <c r="T376" s="12"/>
      <c r="U376" s="12">
        <v>3.68</v>
      </c>
      <c r="V376" s="12"/>
      <c r="W376" s="12"/>
      <c r="X376" s="12"/>
      <c r="Y376" s="12"/>
      <c r="Z376" s="12"/>
      <c r="AA376" s="12"/>
    </row>
    <row r="377" spans="1:27" ht="111" customHeight="1" x14ac:dyDescent="0.2">
      <c r="A377" s="23" t="s">
        <v>1201</v>
      </c>
      <c r="B377" s="14" t="s">
        <v>1295</v>
      </c>
      <c r="C377" s="14" t="s">
        <v>59</v>
      </c>
      <c r="D377" s="12"/>
      <c r="E377" s="14" t="s">
        <v>60</v>
      </c>
      <c r="F377" s="14" t="s">
        <v>72</v>
      </c>
      <c r="G377" s="12"/>
      <c r="H377" s="17" t="s">
        <v>62</v>
      </c>
      <c r="I377" s="17" t="s">
        <v>74</v>
      </c>
      <c r="J377" s="16" t="s">
        <v>1299</v>
      </c>
      <c r="K377" s="24">
        <v>31</v>
      </c>
      <c r="L377" s="24">
        <v>1420</v>
      </c>
      <c r="M377" s="16" t="s">
        <v>76</v>
      </c>
      <c r="N377" s="24">
        <v>3.5</v>
      </c>
      <c r="O377" s="30" t="str">
        <f t="shared" si="55"/>
        <v>http://www.uky.edu/financialaid/scholarship-incoming-freshmen</v>
      </c>
      <c r="P377" s="14" t="s">
        <v>1297</v>
      </c>
      <c r="Q377" s="25">
        <v>0.89</v>
      </c>
      <c r="R377" s="14" t="s">
        <v>224</v>
      </c>
      <c r="S377" s="14" t="s">
        <v>1298</v>
      </c>
      <c r="T377" s="12"/>
      <c r="U377" s="12">
        <v>3.68</v>
      </c>
      <c r="V377" s="12"/>
      <c r="W377" s="12"/>
      <c r="X377" s="12"/>
      <c r="Y377" s="12"/>
      <c r="Z377" s="12"/>
      <c r="AA377" s="12"/>
    </row>
    <row r="378" spans="1:27" ht="142.5" customHeight="1" x14ac:dyDescent="0.2">
      <c r="A378" s="23" t="s">
        <v>1201</v>
      </c>
      <c r="B378" s="14" t="s">
        <v>1295</v>
      </c>
      <c r="C378" s="14" t="s">
        <v>59</v>
      </c>
      <c r="D378" s="14"/>
      <c r="E378" s="14" t="s">
        <v>88</v>
      </c>
      <c r="F378" s="14" t="s">
        <v>72</v>
      </c>
      <c r="G378" s="12"/>
      <c r="H378" s="17" t="s">
        <v>62</v>
      </c>
      <c r="I378" s="17" t="s">
        <v>74</v>
      </c>
      <c r="J378" s="14" t="s">
        <v>1300</v>
      </c>
      <c r="K378" s="24">
        <v>33</v>
      </c>
      <c r="L378" s="24">
        <v>1490</v>
      </c>
      <c r="M378" s="16" t="s">
        <v>76</v>
      </c>
      <c r="N378" s="24">
        <v>3.8</v>
      </c>
      <c r="O378" s="30" t="str">
        <f t="shared" si="55"/>
        <v>http://www.uky.edu/financialaid/scholarship-incoming-freshmen</v>
      </c>
      <c r="P378" s="14" t="s">
        <v>1297</v>
      </c>
      <c r="Q378" s="25">
        <v>0.89</v>
      </c>
      <c r="R378" s="14" t="s">
        <v>224</v>
      </c>
      <c r="S378" s="14" t="s">
        <v>1298</v>
      </c>
      <c r="T378" s="12"/>
      <c r="U378" s="12">
        <v>3.68</v>
      </c>
      <c r="V378" s="12"/>
      <c r="W378" s="12"/>
      <c r="X378" s="12"/>
      <c r="Y378" s="12"/>
      <c r="Z378" s="12"/>
      <c r="AA378" s="12"/>
    </row>
    <row r="379" spans="1:27" ht="142.5" customHeight="1" x14ac:dyDescent="0.2">
      <c r="A379" s="23" t="s">
        <v>1201</v>
      </c>
      <c r="B379" s="14" t="s">
        <v>1295</v>
      </c>
      <c r="C379" s="14" t="s">
        <v>59</v>
      </c>
      <c r="D379" s="12"/>
      <c r="E379" s="14" t="s">
        <v>111</v>
      </c>
      <c r="F379" s="14" t="s">
        <v>92</v>
      </c>
      <c r="G379" s="12"/>
      <c r="H379" s="17" t="s">
        <v>93</v>
      </c>
      <c r="I379" s="17" t="s">
        <v>63</v>
      </c>
      <c r="J379" s="14" t="s">
        <v>1301</v>
      </c>
      <c r="K379" s="12"/>
      <c r="L379" s="12"/>
      <c r="M379" s="12"/>
      <c r="N379" s="12"/>
      <c r="O379" s="30" t="str">
        <f t="shared" si="55"/>
        <v>http://www.uky.edu/financialaid/scholarship-incoming-freshmen</v>
      </c>
      <c r="P379" s="14" t="s">
        <v>1297</v>
      </c>
      <c r="Q379" s="25">
        <v>0.89</v>
      </c>
      <c r="R379" s="14" t="s">
        <v>224</v>
      </c>
      <c r="S379" s="14" t="s">
        <v>1298</v>
      </c>
      <c r="T379" s="12"/>
      <c r="U379" s="12">
        <v>3.68</v>
      </c>
      <c r="V379" s="12"/>
      <c r="W379" s="12"/>
      <c r="X379" s="12"/>
      <c r="Y379" s="12"/>
      <c r="Z379" s="12"/>
      <c r="AA379" s="12"/>
    </row>
    <row r="380" spans="1:27" ht="111" customHeight="1" x14ac:dyDescent="0.2">
      <c r="A380" s="109" t="s">
        <v>1201</v>
      </c>
      <c r="B380" s="110" t="s">
        <v>1302</v>
      </c>
      <c r="C380" s="110" t="s">
        <v>59</v>
      </c>
      <c r="D380" s="110" t="s">
        <v>98</v>
      </c>
      <c r="E380" s="110" t="s">
        <v>60</v>
      </c>
      <c r="F380" s="110" t="s">
        <v>61</v>
      </c>
      <c r="G380" s="112"/>
      <c r="H380" s="117" t="s">
        <v>1247</v>
      </c>
      <c r="I380" s="117" t="s">
        <v>74</v>
      </c>
      <c r="J380" s="128" t="s">
        <v>1303</v>
      </c>
      <c r="K380" s="119">
        <v>29</v>
      </c>
      <c r="L380" s="120">
        <v>1200</v>
      </c>
      <c r="M380" s="128" t="s">
        <v>76</v>
      </c>
      <c r="N380" s="119">
        <v>3.5</v>
      </c>
      <c r="O380" s="113" t="str">
        <f t="shared" ref="O380:O381" si="56">HYPERLINK("http://louisville.edu/admissions/aid/scholarships/guaranteed-scholarships","http://louisville.edu/admissions/aid/scholarships/guaranteed-scholarships")</f>
        <v>http://louisville.edu/admissions/aid/scholarships/guaranteed-scholarships</v>
      </c>
      <c r="P380" s="110" t="s">
        <v>1304</v>
      </c>
      <c r="Q380" s="114">
        <v>0.72</v>
      </c>
      <c r="R380" s="110" t="s">
        <v>1305</v>
      </c>
      <c r="S380" s="110" t="s">
        <v>1306</v>
      </c>
      <c r="T380" s="112"/>
      <c r="U380" s="112">
        <v>3.6</v>
      </c>
      <c r="V380" s="112"/>
      <c r="W380" s="112"/>
      <c r="X380" s="112"/>
      <c r="Y380" s="112"/>
      <c r="Z380" s="112"/>
      <c r="AA380" s="112"/>
    </row>
    <row r="381" spans="1:27" ht="111" customHeight="1" x14ac:dyDescent="0.2">
      <c r="A381" s="23" t="s">
        <v>1201</v>
      </c>
      <c r="B381" s="14" t="s">
        <v>1302</v>
      </c>
      <c r="C381" s="14" t="s">
        <v>59</v>
      </c>
      <c r="D381" s="14" t="s">
        <v>98</v>
      </c>
      <c r="E381" s="14" t="s">
        <v>60</v>
      </c>
      <c r="F381" s="14" t="s">
        <v>61</v>
      </c>
      <c r="G381" s="12"/>
      <c r="H381" s="117" t="s">
        <v>1247</v>
      </c>
      <c r="I381" s="117" t="s">
        <v>74</v>
      </c>
      <c r="J381" s="14" t="s">
        <v>1307</v>
      </c>
      <c r="K381" s="24">
        <v>29</v>
      </c>
      <c r="L381" s="18">
        <v>1350</v>
      </c>
      <c r="M381" s="16" t="s">
        <v>76</v>
      </c>
      <c r="N381" s="24">
        <v>3.5</v>
      </c>
      <c r="O381" s="30" t="str">
        <f t="shared" si="56"/>
        <v>http://louisville.edu/admissions/aid/scholarships/guaranteed-scholarships</v>
      </c>
      <c r="P381" s="14" t="s">
        <v>1304</v>
      </c>
      <c r="Q381" s="25">
        <v>0.72</v>
      </c>
      <c r="R381" s="14" t="s">
        <v>1305</v>
      </c>
      <c r="S381" s="14" t="s">
        <v>1306</v>
      </c>
      <c r="T381" s="12"/>
      <c r="U381" s="12">
        <v>3.6</v>
      </c>
      <c r="V381" s="12"/>
      <c r="W381" s="12"/>
      <c r="X381" s="12"/>
      <c r="Y381" s="12"/>
      <c r="Z381" s="12"/>
      <c r="AA381" s="12"/>
    </row>
    <row r="382" spans="1:27" ht="158.25" customHeight="1" x14ac:dyDescent="0.2">
      <c r="A382" s="23" t="s">
        <v>1201</v>
      </c>
      <c r="B382" s="14" t="s">
        <v>1302</v>
      </c>
      <c r="C382" s="14" t="s">
        <v>59</v>
      </c>
      <c r="D382" s="14"/>
      <c r="E382" s="14" t="s">
        <v>82</v>
      </c>
      <c r="F382" s="14" t="s">
        <v>72</v>
      </c>
      <c r="G382" s="12"/>
      <c r="H382" s="17" t="s">
        <v>1308</v>
      </c>
      <c r="I382" s="17">
        <v>10</v>
      </c>
      <c r="J382" s="14" t="s">
        <v>1309</v>
      </c>
      <c r="K382" s="24">
        <v>31</v>
      </c>
      <c r="L382" s="24">
        <v>1420</v>
      </c>
      <c r="M382" s="16" t="s">
        <v>76</v>
      </c>
      <c r="N382" s="24">
        <v>3.5</v>
      </c>
      <c r="O382" s="30" t="str">
        <f t="shared" ref="O382:O383" si="57">HYPERLINK("http://louisville.edu/admissions/aid/scholarships/mentored","http://louisville.edu/admissions/aid/scholarships/mentored")</f>
        <v>http://louisville.edu/admissions/aid/scholarships/mentored</v>
      </c>
      <c r="P382" s="14" t="s">
        <v>1304</v>
      </c>
      <c r="Q382" s="25">
        <v>0.72</v>
      </c>
      <c r="R382" s="14" t="s">
        <v>1305</v>
      </c>
      <c r="S382" s="14" t="s">
        <v>1306</v>
      </c>
      <c r="T382" s="12"/>
      <c r="U382" s="12">
        <v>3.6</v>
      </c>
      <c r="V382" s="12"/>
      <c r="W382" s="12"/>
      <c r="X382" s="12"/>
      <c r="Y382" s="12"/>
      <c r="Z382" s="12"/>
      <c r="AA382" s="12"/>
    </row>
    <row r="383" spans="1:27" ht="174" customHeight="1" x14ac:dyDescent="0.2">
      <c r="A383" s="23" t="s">
        <v>1201</v>
      </c>
      <c r="B383" s="14" t="s">
        <v>1302</v>
      </c>
      <c r="C383" s="14" t="s">
        <v>59</v>
      </c>
      <c r="D383" s="14"/>
      <c r="E383" s="14" t="s">
        <v>88</v>
      </c>
      <c r="F383" s="14" t="s">
        <v>72</v>
      </c>
      <c r="G383" s="12"/>
      <c r="H383" s="17" t="s">
        <v>1308</v>
      </c>
      <c r="I383" s="17">
        <v>10</v>
      </c>
      <c r="J383" s="16" t="s">
        <v>1310</v>
      </c>
      <c r="K383" s="24">
        <v>31</v>
      </c>
      <c r="L383" s="24">
        <v>1420</v>
      </c>
      <c r="M383" s="16" t="s">
        <v>76</v>
      </c>
      <c r="N383" s="24">
        <v>3.75</v>
      </c>
      <c r="O383" s="30" t="str">
        <f t="shared" si="57"/>
        <v>http://louisville.edu/admissions/aid/scholarships/mentored</v>
      </c>
      <c r="P383" s="14" t="s">
        <v>1304</v>
      </c>
      <c r="Q383" s="25">
        <v>0.72</v>
      </c>
      <c r="R383" s="14" t="s">
        <v>1305</v>
      </c>
      <c r="S383" s="14" t="s">
        <v>1306</v>
      </c>
      <c r="T383" s="12"/>
      <c r="U383" s="12">
        <v>3.6</v>
      </c>
      <c r="V383" s="12"/>
      <c r="W383" s="12"/>
      <c r="X383" s="12"/>
      <c r="Y383" s="12"/>
      <c r="Z383" s="12"/>
      <c r="AA383" s="12"/>
    </row>
    <row r="384" spans="1:27" ht="111" customHeight="1" x14ac:dyDescent="0.2">
      <c r="A384" s="23" t="s">
        <v>1201</v>
      </c>
      <c r="B384" s="14" t="s">
        <v>1302</v>
      </c>
      <c r="C384" s="14" t="s">
        <v>59</v>
      </c>
      <c r="D384" s="16" t="s">
        <v>1311</v>
      </c>
      <c r="E384" s="14" t="s">
        <v>88</v>
      </c>
      <c r="F384" s="14" t="s">
        <v>72</v>
      </c>
      <c r="G384" s="12"/>
      <c r="H384" s="17" t="s">
        <v>62</v>
      </c>
      <c r="I384" s="17" t="s">
        <v>1312</v>
      </c>
      <c r="J384" s="14" t="s">
        <v>1313</v>
      </c>
      <c r="K384" s="24">
        <v>31</v>
      </c>
      <c r="L384" s="24">
        <v>1420</v>
      </c>
      <c r="M384" s="16" t="s">
        <v>76</v>
      </c>
      <c r="N384" s="24">
        <v>3.75</v>
      </c>
      <c r="O384" s="19" t="s">
        <v>1314</v>
      </c>
      <c r="P384" s="14" t="s">
        <v>1304</v>
      </c>
      <c r="Q384" s="25">
        <v>0.72</v>
      </c>
      <c r="R384" s="14" t="s">
        <v>1305</v>
      </c>
      <c r="S384" s="14" t="s">
        <v>1306</v>
      </c>
      <c r="T384" s="12"/>
      <c r="U384" s="12">
        <v>3.6</v>
      </c>
      <c r="V384" s="12"/>
      <c r="W384" s="12"/>
      <c r="X384" s="12"/>
      <c r="Y384" s="12"/>
      <c r="Z384" s="12"/>
      <c r="AA384" s="12"/>
    </row>
    <row r="385" spans="1:27" ht="126.75" customHeight="1" x14ac:dyDescent="0.2">
      <c r="A385" s="23" t="s">
        <v>1201</v>
      </c>
      <c r="B385" s="14" t="s">
        <v>1302</v>
      </c>
      <c r="C385" s="14" t="s">
        <v>59</v>
      </c>
      <c r="D385" s="16" t="s">
        <v>1311</v>
      </c>
      <c r="E385" s="14" t="s">
        <v>88</v>
      </c>
      <c r="F385" s="14" t="s">
        <v>72</v>
      </c>
      <c r="G385" s="12"/>
      <c r="H385" s="17" t="s">
        <v>1315</v>
      </c>
      <c r="I385" s="17">
        <v>10</v>
      </c>
      <c r="J385" s="14" t="s">
        <v>1316</v>
      </c>
      <c r="K385" s="24">
        <v>26</v>
      </c>
      <c r="L385" s="24">
        <v>1240</v>
      </c>
      <c r="M385" s="16" t="s">
        <v>76</v>
      </c>
      <c r="N385" s="24">
        <v>3.5</v>
      </c>
      <c r="O385" s="30" t="str">
        <f>HYPERLINK("http://louisville.edu/admissions/aid/scholarships/mentored","http://louisville.edu/admissions/aid/scholarships/mentored")</f>
        <v>http://louisville.edu/admissions/aid/scholarships/mentored</v>
      </c>
      <c r="P385" s="14" t="s">
        <v>1304</v>
      </c>
      <c r="Q385" s="25">
        <v>0.72</v>
      </c>
      <c r="R385" s="14" t="s">
        <v>1305</v>
      </c>
      <c r="S385" s="14" t="s">
        <v>1306</v>
      </c>
      <c r="T385" s="12"/>
      <c r="U385" s="12">
        <v>3.6</v>
      </c>
      <c r="V385" s="12"/>
      <c r="W385" s="12"/>
      <c r="X385" s="12"/>
      <c r="Y385" s="12"/>
      <c r="Z385" s="12"/>
      <c r="AA385" s="12"/>
    </row>
    <row r="386" spans="1:27" ht="142.5" customHeight="1" x14ac:dyDescent="0.2">
      <c r="A386" s="23" t="s">
        <v>1201</v>
      </c>
      <c r="B386" s="14" t="s">
        <v>1302</v>
      </c>
      <c r="C386" s="14" t="s">
        <v>59</v>
      </c>
      <c r="D386" s="14" t="s">
        <v>194</v>
      </c>
      <c r="E386" s="14" t="s">
        <v>724</v>
      </c>
      <c r="F386" s="14" t="s">
        <v>72</v>
      </c>
      <c r="G386" s="12"/>
      <c r="H386" s="17" t="s">
        <v>1317</v>
      </c>
      <c r="I386" s="17">
        <v>10</v>
      </c>
      <c r="J386" s="14" t="s">
        <v>1318</v>
      </c>
      <c r="K386" s="12"/>
      <c r="L386" s="12"/>
      <c r="M386" s="12"/>
      <c r="N386" s="12">
        <v>3.5</v>
      </c>
      <c r="O386" s="30" t="str">
        <f>HYPERLINK("http://louisville.edu/admissions/aid/scholarships/mcconnell","http://louisville.edu/admissions/aid/scholarships/mcconnell")</f>
        <v>http://louisville.edu/admissions/aid/scholarships/mcconnell</v>
      </c>
      <c r="P386" s="14" t="s">
        <v>1304</v>
      </c>
      <c r="Q386" s="25">
        <v>0.72</v>
      </c>
      <c r="R386" s="14" t="s">
        <v>1305</v>
      </c>
      <c r="S386" s="14" t="s">
        <v>1306</v>
      </c>
      <c r="T386" s="12"/>
      <c r="U386" s="12">
        <v>3.6</v>
      </c>
      <c r="V386" s="12"/>
      <c r="W386" s="12"/>
      <c r="X386" s="12"/>
      <c r="Y386" s="12"/>
      <c r="Z386" s="12"/>
      <c r="AA386" s="12"/>
    </row>
    <row r="387" spans="1:27" ht="111" customHeight="1" x14ac:dyDescent="0.2">
      <c r="A387" s="23" t="s">
        <v>1201</v>
      </c>
      <c r="B387" s="14" t="s">
        <v>1302</v>
      </c>
      <c r="C387" s="14" t="s">
        <v>59</v>
      </c>
      <c r="D387" s="14" t="s">
        <v>98</v>
      </c>
      <c r="E387" s="14" t="s">
        <v>88</v>
      </c>
      <c r="F387" s="14" t="s">
        <v>92</v>
      </c>
      <c r="G387" s="12"/>
      <c r="H387" s="17" t="s">
        <v>93</v>
      </c>
      <c r="I387" s="17" t="s">
        <v>63</v>
      </c>
      <c r="J387" s="16" t="s">
        <v>1319</v>
      </c>
      <c r="K387" s="12"/>
      <c r="L387" s="12"/>
      <c r="M387" s="12"/>
      <c r="N387" s="12"/>
      <c r="O387" s="30" t="str">
        <f t="shared" ref="O387:O388" si="58">HYPERLINK("http://louisville.edu/admissions/aid/scholarships/guaranteed-scholarships","http://louisville.edu/admissions/aid/scholarships/guaranteed-scholarships")</f>
        <v>http://louisville.edu/admissions/aid/scholarships/guaranteed-scholarships</v>
      </c>
      <c r="P387" s="14" t="s">
        <v>1304</v>
      </c>
      <c r="Q387" s="25">
        <v>0.72</v>
      </c>
      <c r="R387" s="14" t="s">
        <v>1305</v>
      </c>
      <c r="S387" s="14" t="s">
        <v>1306</v>
      </c>
      <c r="T387" s="12"/>
      <c r="U387" s="12">
        <v>3.6</v>
      </c>
      <c r="V387" s="12"/>
      <c r="W387" s="12"/>
      <c r="X387" s="12"/>
      <c r="Y387" s="12"/>
      <c r="Z387" s="12"/>
      <c r="AA387" s="12"/>
    </row>
    <row r="388" spans="1:27" ht="90.75" customHeight="1" x14ac:dyDescent="0.2">
      <c r="A388" s="39" t="s">
        <v>1201</v>
      </c>
      <c r="B388" s="40" t="s">
        <v>1302</v>
      </c>
      <c r="C388" s="40" t="s">
        <v>59</v>
      </c>
      <c r="D388" s="40" t="s">
        <v>98</v>
      </c>
      <c r="E388" s="40" t="s">
        <v>60</v>
      </c>
      <c r="F388" s="40" t="s">
        <v>92</v>
      </c>
      <c r="G388" s="40"/>
      <c r="H388" s="69" t="s">
        <v>93</v>
      </c>
      <c r="I388" s="69" t="s">
        <v>63</v>
      </c>
      <c r="J388" s="40" t="s">
        <v>1320</v>
      </c>
      <c r="K388" s="40"/>
      <c r="L388" s="40"/>
      <c r="M388" s="40"/>
      <c r="N388" s="69">
        <v>3.35</v>
      </c>
      <c r="O388" s="30" t="str">
        <f t="shared" si="58"/>
        <v>http://louisville.edu/admissions/aid/scholarships/guaranteed-scholarships</v>
      </c>
      <c r="P388" s="40" t="s">
        <v>1304</v>
      </c>
      <c r="Q388" s="42">
        <v>0.72</v>
      </c>
      <c r="R388" s="40" t="s">
        <v>1305</v>
      </c>
      <c r="S388" s="40" t="s">
        <v>1306</v>
      </c>
      <c r="T388" s="40"/>
      <c r="U388" s="40">
        <v>3.6</v>
      </c>
      <c r="V388" s="40"/>
      <c r="W388" s="40"/>
      <c r="X388" s="40"/>
      <c r="Y388" s="40"/>
      <c r="Z388" s="40"/>
      <c r="AA388" s="40"/>
    </row>
    <row r="389" spans="1:27" ht="142.5" customHeight="1" x14ac:dyDescent="0.2">
      <c r="A389" s="23" t="s">
        <v>1201</v>
      </c>
      <c r="B389" s="14" t="s">
        <v>1321</v>
      </c>
      <c r="C389" s="14" t="s">
        <v>101</v>
      </c>
      <c r="D389" s="12"/>
      <c r="E389" s="14" t="s">
        <v>60</v>
      </c>
      <c r="F389" s="14" t="s">
        <v>72</v>
      </c>
      <c r="G389" s="12"/>
      <c r="H389" s="17" t="s">
        <v>1247</v>
      </c>
      <c r="I389" s="17" t="s">
        <v>74</v>
      </c>
      <c r="J389" s="14" t="s">
        <v>1322</v>
      </c>
      <c r="K389" s="24">
        <v>24</v>
      </c>
      <c r="L389" s="12"/>
      <c r="M389" s="12"/>
      <c r="N389" s="24">
        <v>3.4</v>
      </c>
      <c r="O389" s="30" t="str">
        <f t="shared" ref="O389:O390" si="59">HYPERLINK("http://www.ucumberlands.edu/admissions/aid/scholarships","http://www.ucumberlands.edu/admissions/aid/scholarships")</f>
        <v>http://www.ucumberlands.edu/admissions/aid/scholarships</v>
      </c>
      <c r="P389" s="33">
        <v>23000</v>
      </c>
      <c r="Q389" s="25">
        <v>0.68</v>
      </c>
      <c r="R389" s="14" t="s">
        <v>130</v>
      </c>
      <c r="S389" s="14" t="s">
        <v>1323</v>
      </c>
      <c r="T389" s="12"/>
      <c r="U389" s="12">
        <v>3.44</v>
      </c>
      <c r="V389" s="12"/>
      <c r="W389" s="12"/>
      <c r="X389" s="12"/>
      <c r="Y389" s="12"/>
      <c r="Z389" s="12"/>
      <c r="AA389" s="12"/>
    </row>
    <row r="390" spans="1:27" ht="181.5" customHeight="1" x14ac:dyDescent="0.2">
      <c r="A390" s="23" t="s">
        <v>1201</v>
      </c>
      <c r="B390" s="14" t="s">
        <v>1321</v>
      </c>
      <c r="C390" s="14" t="s">
        <v>101</v>
      </c>
      <c r="D390" s="12"/>
      <c r="E390" s="17" t="s">
        <v>1324</v>
      </c>
      <c r="F390" s="11" t="s">
        <v>72</v>
      </c>
      <c r="G390" s="12"/>
      <c r="H390" s="17" t="s">
        <v>62</v>
      </c>
      <c r="I390" s="17" t="s">
        <v>74</v>
      </c>
      <c r="J390" s="146" t="s">
        <v>1325</v>
      </c>
      <c r="K390" s="28">
        <v>30</v>
      </c>
      <c r="L390" s="98">
        <v>1390</v>
      </c>
      <c r="M390" s="26" t="s">
        <v>197</v>
      </c>
      <c r="N390" s="26">
        <v>3.5</v>
      </c>
      <c r="O390" s="30" t="str">
        <f t="shared" si="59"/>
        <v>http://www.ucumberlands.edu/admissions/aid/scholarships</v>
      </c>
      <c r="P390" s="33">
        <v>23000</v>
      </c>
      <c r="Q390" s="25">
        <v>0.68</v>
      </c>
      <c r="R390" s="14" t="s">
        <v>130</v>
      </c>
      <c r="S390" s="14" t="s">
        <v>1323</v>
      </c>
      <c r="T390" s="12"/>
      <c r="U390" s="12">
        <v>3.44</v>
      </c>
      <c r="V390" s="12"/>
      <c r="W390" s="12"/>
      <c r="X390" s="12"/>
      <c r="Y390" s="12"/>
      <c r="Z390" s="12"/>
      <c r="AA390" s="12"/>
    </row>
    <row r="391" spans="1:27" ht="159" customHeight="1" x14ac:dyDescent="0.2">
      <c r="A391" s="11" t="s">
        <v>1201</v>
      </c>
      <c r="B391" s="12" t="s">
        <v>1326</v>
      </c>
      <c r="C391" s="26" t="s">
        <v>59</v>
      </c>
      <c r="D391" s="26"/>
      <c r="E391" s="12" t="s">
        <v>1327</v>
      </c>
      <c r="F391" s="11" t="s">
        <v>72</v>
      </c>
      <c r="G391" s="12"/>
      <c r="H391" s="17" t="s">
        <v>62</v>
      </c>
      <c r="I391" s="17">
        <v>15</v>
      </c>
      <c r="J391" s="64" t="s">
        <v>1328</v>
      </c>
      <c r="K391" s="28">
        <v>31</v>
      </c>
      <c r="L391" s="28">
        <v>1360</v>
      </c>
      <c r="M391" s="29" t="s">
        <v>76</v>
      </c>
      <c r="N391" s="26">
        <v>3.8</v>
      </c>
      <c r="O391" s="161" t="str">
        <f>HYPERLINK("https://www.wku.edu/scholarship-new/beginningfreshmanscholarships.php","https://www.wku.edu/scholarship-new/beginningfreshmanscholarships.php")</f>
        <v>https://www.wku.edu/scholarship-new/beginningfreshmanscholarships.php</v>
      </c>
      <c r="P391" s="26" t="s">
        <v>1329</v>
      </c>
      <c r="Q391" s="31">
        <v>0.93</v>
      </c>
      <c r="R391" s="26" t="s">
        <v>67</v>
      </c>
      <c r="S391" s="26" t="s">
        <v>1330</v>
      </c>
      <c r="T391" s="12"/>
      <c r="U391" s="12">
        <v>3.27</v>
      </c>
      <c r="V391" s="12"/>
      <c r="W391" s="12"/>
      <c r="X391" s="12"/>
      <c r="Y391" s="12"/>
      <c r="Z391" s="12"/>
      <c r="AA391" s="12"/>
    </row>
    <row r="392" spans="1:27" ht="111" customHeight="1" x14ac:dyDescent="0.2">
      <c r="A392" s="109" t="s">
        <v>1331</v>
      </c>
      <c r="B392" s="110" t="s">
        <v>1332</v>
      </c>
      <c r="C392" s="110" t="s">
        <v>101</v>
      </c>
      <c r="D392" s="112"/>
      <c r="E392" s="128" t="s">
        <v>82</v>
      </c>
      <c r="F392" s="110" t="s">
        <v>72</v>
      </c>
      <c r="G392" s="112"/>
      <c r="H392" s="117" t="s">
        <v>837</v>
      </c>
      <c r="I392" s="117" t="s">
        <v>74</v>
      </c>
      <c r="J392" s="128" t="s">
        <v>1333</v>
      </c>
      <c r="K392" s="117">
        <v>28</v>
      </c>
      <c r="L392" s="117">
        <v>1860</v>
      </c>
      <c r="M392" s="117" t="s">
        <v>647</v>
      </c>
      <c r="N392" s="112"/>
      <c r="O392" s="113" t="str">
        <f>HYPERLINK("http://www.lacollege.edu/finances/financial-aid/grants-scholarships","http://www.lacollege.edu/finances/financial-aid/grants-scholarships")</f>
        <v>http://www.lacollege.edu/finances/financial-aid/grants-scholarships</v>
      </c>
      <c r="P392" s="124">
        <v>15678</v>
      </c>
      <c r="Q392" s="114">
        <v>0.69</v>
      </c>
      <c r="R392" s="110" t="s">
        <v>550</v>
      </c>
      <c r="S392" s="110" t="s">
        <v>1334</v>
      </c>
      <c r="T392" s="112"/>
      <c r="U392" s="112">
        <v>3.17</v>
      </c>
      <c r="V392" s="112"/>
      <c r="W392" s="112"/>
      <c r="X392" s="112"/>
      <c r="Y392" s="112"/>
      <c r="Z392" s="112"/>
      <c r="AA392" s="112"/>
    </row>
    <row r="393" spans="1:27" ht="142.5" customHeight="1" x14ac:dyDescent="0.2">
      <c r="A393" s="109" t="s">
        <v>1331</v>
      </c>
      <c r="B393" s="110" t="s">
        <v>1335</v>
      </c>
      <c r="C393" s="110" t="s">
        <v>59</v>
      </c>
      <c r="D393" s="110"/>
      <c r="E393" s="110" t="s">
        <v>82</v>
      </c>
      <c r="F393" s="110" t="s">
        <v>72</v>
      </c>
      <c r="G393" s="112"/>
      <c r="H393" s="117" t="s">
        <v>1336</v>
      </c>
      <c r="I393" s="117" t="s">
        <v>1071</v>
      </c>
      <c r="J393" s="110" t="s">
        <v>1337</v>
      </c>
      <c r="K393" s="119">
        <v>33</v>
      </c>
      <c r="L393" s="120">
        <v>1490</v>
      </c>
      <c r="M393" s="128" t="s">
        <v>76</v>
      </c>
      <c r="N393" s="119">
        <v>3.5</v>
      </c>
      <c r="O393" s="121" t="s">
        <v>1338</v>
      </c>
      <c r="P393" s="110" t="s">
        <v>1339</v>
      </c>
      <c r="Q393" s="114">
        <v>0.76</v>
      </c>
      <c r="R393" s="110" t="s">
        <v>266</v>
      </c>
      <c r="S393" s="110" t="s">
        <v>1340</v>
      </c>
      <c r="T393" s="112"/>
      <c r="U393" s="112">
        <v>3.43</v>
      </c>
      <c r="V393" s="112"/>
      <c r="W393" s="112"/>
      <c r="X393" s="112"/>
      <c r="Y393" s="112"/>
      <c r="Z393" s="112"/>
      <c r="AA393" s="112"/>
    </row>
    <row r="394" spans="1:27" ht="15" customHeight="1" x14ac:dyDescent="0.2">
      <c r="A394" s="109" t="s">
        <v>1331</v>
      </c>
      <c r="B394" s="110" t="s">
        <v>1335</v>
      </c>
      <c r="C394" s="110" t="s">
        <v>59</v>
      </c>
      <c r="D394" s="112"/>
      <c r="E394" s="110" t="s">
        <v>82</v>
      </c>
      <c r="F394" s="110" t="s">
        <v>72</v>
      </c>
      <c r="G394" s="112"/>
      <c r="H394" s="117" t="s">
        <v>1336</v>
      </c>
      <c r="I394" s="117">
        <v>10</v>
      </c>
      <c r="J394" s="153" t="s">
        <v>1341</v>
      </c>
      <c r="K394" s="112">
        <v>33</v>
      </c>
      <c r="L394" s="117">
        <v>1490</v>
      </c>
      <c r="M394" s="117" t="s">
        <v>76</v>
      </c>
      <c r="N394" s="112">
        <v>3.5</v>
      </c>
      <c r="O394" s="162" t="s">
        <v>1342</v>
      </c>
      <c r="P394" s="110" t="s">
        <v>1339</v>
      </c>
      <c r="Q394" s="114">
        <v>0.76</v>
      </c>
      <c r="R394" s="110" t="s">
        <v>266</v>
      </c>
      <c r="S394" s="110" t="s">
        <v>1340</v>
      </c>
      <c r="T394" s="112"/>
      <c r="U394" s="112">
        <v>3.43</v>
      </c>
      <c r="V394" s="112"/>
      <c r="W394" s="112"/>
      <c r="X394" s="112"/>
      <c r="Y394" s="112"/>
      <c r="Z394" s="112"/>
      <c r="AA394" s="112"/>
    </row>
    <row r="395" spans="1:27" ht="15" customHeight="1" x14ac:dyDescent="0.2">
      <c r="A395" s="23" t="s">
        <v>1331</v>
      </c>
      <c r="B395" s="14" t="s">
        <v>1343</v>
      </c>
      <c r="C395" s="14" t="s">
        <v>59</v>
      </c>
      <c r="D395" s="12"/>
      <c r="E395" s="14" t="s">
        <v>111</v>
      </c>
      <c r="F395" s="14" t="s">
        <v>92</v>
      </c>
      <c r="G395" s="12"/>
      <c r="H395" s="17" t="s">
        <v>93</v>
      </c>
      <c r="I395" s="17" t="s">
        <v>63</v>
      </c>
      <c r="J395" s="56" t="s">
        <v>1344</v>
      </c>
      <c r="K395" s="12"/>
      <c r="L395" s="12"/>
      <c r="M395" s="12"/>
      <c r="N395" s="12">
        <v>3</v>
      </c>
      <c r="O395" s="30" t="str">
        <f t="shared" ref="O395:O397" si="60">HYPERLINK("http://admissions.latech.edu/tuition_fees/scholarships/freshman-scholarships.php","http://admissions.latech.edu/tuition_fees/scholarships/freshman-scholarships.php")</f>
        <v>http://admissions.latech.edu/tuition_fees/scholarships/freshman-scholarships.php</v>
      </c>
      <c r="P395" s="14" t="s">
        <v>1345</v>
      </c>
      <c r="Q395" s="25">
        <v>0.64</v>
      </c>
      <c r="R395" s="14" t="s">
        <v>182</v>
      </c>
      <c r="S395" s="14" t="s">
        <v>1346</v>
      </c>
      <c r="T395" s="12"/>
      <c r="U395" s="12">
        <v>3.5</v>
      </c>
      <c r="V395" s="12"/>
      <c r="W395" s="12"/>
      <c r="X395" s="12"/>
      <c r="Y395" s="12"/>
      <c r="Z395" s="12"/>
      <c r="AA395" s="12"/>
    </row>
    <row r="396" spans="1:27" ht="95.25" customHeight="1" x14ac:dyDescent="0.2">
      <c r="A396" s="23" t="s">
        <v>1331</v>
      </c>
      <c r="B396" s="14" t="s">
        <v>1343</v>
      </c>
      <c r="C396" s="14" t="s">
        <v>59</v>
      </c>
      <c r="D396" s="12" t="s">
        <v>194</v>
      </c>
      <c r="E396" s="14" t="s">
        <v>300</v>
      </c>
      <c r="F396" s="14" t="s">
        <v>61</v>
      </c>
      <c r="G396" s="12"/>
      <c r="H396" s="17" t="s">
        <v>62</v>
      </c>
      <c r="I396" s="17" t="s">
        <v>74</v>
      </c>
      <c r="J396" s="40" t="s">
        <v>1347</v>
      </c>
      <c r="K396" s="12">
        <v>32</v>
      </c>
      <c r="L396" s="12"/>
      <c r="M396" s="12"/>
      <c r="N396" s="12">
        <v>3</v>
      </c>
      <c r="O396" s="163" t="str">
        <f t="shared" si="60"/>
        <v>http://admissions.latech.edu/tuition_fees/scholarships/freshman-scholarships.php</v>
      </c>
      <c r="P396" s="14" t="s">
        <v>1345</v>
      </c>
      <c r="Q396" s="25">
        <v>0.64</v>
      </c>
      <c r="R396" s="14" t="s">
        <v>182</v>
      </c>
      <c r="S396" s="14" t="s">
        <v>1346</v>
      </c>
      <c r="T396" s="12"/>
      <c r="U396" s="12">
        <v>3.5</v>
      </c>
      <c r="V396" s="12"/>
      <c r="W396" s="12"/>
      <c r="X396" s="12"/>
      <c r="Y396" s="12"/>
      <c r="Z396" s="12"/>
      <c r="AA396" s="12"/>
    </row>
    <row r="397" spans="1:27" ht="95.25" customHeight="1" x14ac:dyDescent="0.2">
      <c r="A397" s="23" t="s">
        <v>1331</v>
      </c>
      <c r="B397" s="14" t="s">
        <v>1343</v>
      </c>
      <c r="C397" s="14" t="s">
        <v>59</v>
      </c>
      <c r="D397" s="12" t="s">
        <v>334</v>
      </c>
      <c r="E397" s="14" t="s">
        <v>1348</v>
      </c>
      <c r="F397" s="14" t="s">
        <v>61</v>
      </c>
      <c r="G397" s="12" t="s">
        <v>186</v>
      </c>
      <c r="H397" s="17" t="s">
        <v>62</v>
      </c>
      <c r="I397" s="17" t="s">
        <v>74</v>
      </c>
      <c r="J397" s="40" t="s">
        <v>1349</v>
      </c>
      <c r="K397" s="17">
        <v>32</v>
      </c>
      <c r="L397" s="12"/>
      <c r="M397" s="12"/>
      <c r="N397" s="17">
        <v>3</v>
      </c>
      <c r="O397" s="30" t="str">
        <f t="shared" si="60"/>
        <v>http://admissions.latech.edu/tuition_fees/scholarships/freshman-scholarships.php</v>
      </c>
      <c r="P397" s="14" t="s">
        <v>1345</v>
      </c>
      <c r="Q397" s="25">
        <v>0.64</v>
      </c>
      <c r="R397" s="14" t="s">
        <v>182</v>
      </c>
      <c r="S397" s="14" t="s">
        <v>1346</v>
      </c>
      <c r="T397" s="12"/>
      <c r="U397" s="12">
        <v>3.5</v>
      </c>
      <c r="V397" s="12"/>
      <c r="W397" s="12"/>
      <c r="X397" s="12"/>
      <c r="Y397" s="12"/>
      <c r="Z397" s="12"/>
      <c r="AA397" s="12"/>
    </row>
    <row r="398" spans="1:27" ht="150.75" customHeight="1" x14ac:dyDescent="0.2">
      <c r="A398" s="23" t="s">
        <v>1331</v>
      </c>
      <c r="B398" s="14" t="s">
        <v>1343</v>
      </c>
      <c r="C398" s="14" t="s">
        <v>59</v>
      </c>
      <c r="D398" s="12"/>
      <c r="E398" s="14" t="s">
        <v>88</v>
      </c>
      <c r="F398" s="14" t="s">
        <v>145</v>
      </c>
      <c r="G398" s="12"/>
      <c r="H398" s="17" t="s">
        <v>157</v>
      </c>
      <c r="I398" s="17" t="s">
        <v>74</v>
      </c>
      <c r="J398" s="40" t="s">
        <v>1350</v>
      </c>
      <c r="K398" s="12"/>
      <c r="L398" s="12"/>
      <c r="M398" s="12"/>
      <c r="N398" s="12"/>
      <c r="O398" s="30" t="str">
        <f>HYPERLINK("http://admissions.latech.edu/tuition_fees/scholarships/general-scholarships.php","http://admissions.latech.edu/tuition_fees/scholarships/general-scholarships.php")</f>
        <v>http://admissions.latech.edu/tuition_fees/scholarships/general-scholarships.php</v>
      </c>
      <c r="P398" s="14" t="s">
        <v>1345</v>
      </c>
      <c r="Q398" s="25">
        <v>0.64</v>
      </c>
      <c r="R398" s="14" t="s">
        <v>182</v>
      </c>
      <c r="S398" s="14" t="s">
        <v>1346</v>
      </c>
      <c r="T398" s="12"/>
      <c r="U398" s="12">
        <v>3.5</v>
      </c>
      <c r="V398" s="12"/>
      <c r="W398" s="12"/>
      <c r="X398" s="12"/>
      <c r="Y398" s="12"/>
      <c r="Z398" s="12"/>
      <c r="AA398" s="12"/>
    </row>
    <row r="399" spans="1:27" ht="80" x14ac:dyDescent="0.2">
      <c r="A399" s="23" t="s">
        <v>1331</v>
      </c>
      <c r="B399" s="14" t="s">
        <v>1343</v>
      </c>
      <c r="C399" s="14" t="s">
        <v>59</v>
      </c>
      <c r="D399" s="12" t="s">
        <v>194</v>
      </c>
      <c r="E399" s="14" t="s">
        <v>263</v>
      </c>
      <c r="F399" s="14" t="s">
        <v>61</v>
      </c>
      <c r="G399" s="12"/>
      <c r="H399" s="17" t="s">
        <v>62</v>
      </c>
      <c r="I399" s="17" t="s">
        <v>74</v>
      </c>
      <c r="J399" s="40" t="s">
        <v>1351</v>
      </c>
      <c r="K399" s="12">
        <v>33</v>
      </c>
      <c r="L399" s="12"/>
      <c r="M399" s="12"/>
      <c r="N399" s="12">
        <v>3</v>
      </c>
      <c r="O399" s="163" t="str">
        <f t="shared" ref="O399:O400" si="61">HYPERLINK("http://admissions.latech.edu/tuition_fees/scholarships/freshman-scholarships.php","http://admissions.latech.edu/tuition_fees/scholarships/freshman-scholarships.php")</f>
        <v>http://admissions.latech.edu/tuition_fees/scholarships/freshman-scholarships.php</v>
      </c>
      <c r="P399" s="14" t="s">
        <v>1345</v>
      </c>
      <c r="Q399" s="25">
        <v>0.64</v>
      </c>
      <c r="R399" s="14" t="s">
        <v>182</v>
      </c>
      <c r="S399" s="14" t="s">
        <v>1352</v>
      </c>
      <c r="T399" s="12"/>
      <c r="U399" s="12">
        <v>3.5</v>
      </c>
      <c r="V399" s="12"/>
      <c r="W399" s="12"/>
      <c r="X399" s="12"/>
      <c r="Y399" s="12"/>
      <c r="Z399" s="12"/>
      <c r="AA399" s="12"/>
    </row>
    <row r="400" spans="1:27" ht="79.5" customHeight="1" x14ac:dyDescent="0.2">
      <c r="A400" s="23" t="s">
        <v>1331</v>
      </c>
      <c r="B400" s="14" t="s">
        <v>1343</v>
      </c>
      <c r="C400" s="14" t="s">
        <v>59</v>
      </c>
      <c r="D400" s="12" t="s">
        <v>334</v>
      </c>
      <c r="E400" s="14" t="s">
        <v>88</v>
      </c>
      <c r="F400" s="14" t="s">
        <v>61</v>
      </c>
      <c r="G400" s="12" t="s">
        <v>186</v>
      </c>
      <c r="H400" s="17" t="s">
        <v>62</v>
      </c>
      <c r="I400" s="17" t="s">
        <v>74</v>
      </c>
      <c r="J400" s="40" t="s">
        <v>1353</v>
      </c>
      <c r="K400" s="12">
        <v>33</v>
      </c>
      <c r="L400" s="12"/>
      <c r="M400" s="12"/>
      <c r="N400" s="12">
        <v>3</v>
      </c>
      <c r="O400" s="30" t="str">
        <f t="shared" si="61"/>
        <v>http://admissions.latech.edu/tuition_fees/scholarships/freshman-scholarships.php</v>
      </c>
      <c r="P400" s="14" t="s">
        <v>1345</v>
      </c>
      <c r="Q400" s="25">
        <v>0.64</v>
      </c>
      <c r="R400" s="14" t="s">
        <v>182</v>
      </c>
      <c r="S400" s="14" t="s">
        <v>1352</v>
      </c>
      <c r="T400" s="12"/>
      <c r="U400" s="12">
        <v>3.5</v>
      </c>
      <c r="V400" s="12"/>
      <c r="W400" s="12"/>
      <c r="X400" s="12"/>
      <c r="Y400" s="12"/>
      <c r="Z400" s="12"/>
      <c r="AA400" s="12"/>
    </row>
    <row r="401" spans="1:27" ht="165" x14ac:dyDescent="0.2">
      <c r="A401" s="23" t="s">
        <v>1331</v>
      </c>
      <c r="B401" s="14" t="s">
        <v>1354</v>
      </c>
      <c r="C401" s="14" t="s">
        <v>101</v>
      </c>
      <c r="D401" s="12"/>
      <c r="E401" s="14" t="s">
        <v>191</v>
      </c>
      <c r="F401" s="14" t="s">
        <v>72</v>
      </c>
      <c r="G401" s="14" t="s">
        <v>186</v>
      </c>
      <c r="H401" s="16" t="s">
        <v>1355</v>
      </c>
      <c r="I401" s="16" t="s">
        <v>347</v>
      </c>
      <c r="J401" s="40" t="s">
        <v>1356</v>
      </c>
      <c r="K401" s="12"/>
      <c r="L401" s="12"/>
      <c r="M401" s="12"/>
      <c r="N401" s="12"/>
      <c r="O401" s="30" t="str">
        <f>HYPERLINK("http://admission.tulane.edu/international/intlscholarships.php","http://admission.tulane.edu/international/intlscholarships.php")</f>
        <v>http://admission.tulane.edu/international/intlscholarships.php</v>
      </c>
      <c r="P401" s="33">
        <v>51010</v>
      </c>
      <c r="Q401" s="58">
        <v>0.3</v>
      </c>
      <c r="R401" s="14" t="s">
        <v>1357</v>
      </c>
      <c r="S401" s="14" t="s">
        <v>1358</v>
      </c>
      <c r="T401" s="12"/>
      <c r="U401" s="12">
        <v>3.51</v>
      </c>
      <c r="V401" s="12"/>
      <c r="W401" s="12"/>
      <c r="X401" s="12"/>
      <c r="Y401" s="12"/>
      <c r="Z401" s="12"/>
      <c r="AA401" s="12"/>
    </row>
    <row r="402" spans="1:27" ht="90.75" customHeight="1" x14ac:dyDescent="0.2">
      <c r="A402" s="39" t="s">
        <v>1331</v>
      </c>
      <c r="B402" s="40" t="s">
        <v>1354</v>
      </c>
      <c r="C402" s="39" t="s">
        <v>101</v>
      </c>
      <c r="D402" s="39"/>
      <c r="E402" s="39" t="s">
        <v>60</v>
      </c>
      <c r="F402" s="39" t="s">
        <v>72</v>
      </c>
      <c r="G402" s="39"/>
      <c r="H402" s="69" t="s">
        <v>1359</v>
      </c>
      <c r="I402" s="158">
        <v>75</v>
      </c>
      <c r="J402" s="40" t="s">
        <v>1360</v>
      </c>
      <c r="K402" s="159"/>
      <c r="L402" s="159"/>
      <c r="M402" s="39"/>
      <c r="N402" s="39"/>
      <c r="O402" s="160" t="str">
        <f t="shared" ref="O402:O404" si="62">HYPERLINK("http://admission.tulane.edu/aid/merit.php","http://admission.tulane.edu/aid/merit.php")</f>
        <v>http://admission.tulane.edu/aid/merit.php</v>
      </c>
      <c r="P402" s="164">
        <v>51010</v>
      </c>
      <c r="Q402" s="165">
        <v>0.3</v>
      </c>
      <c r="R402" s="39" t="s">
        <v>1357</v>
      </c>
      <c r="S402" s="40" t="s">
        <v>1361</v>
      </c>
      <c r="T402" s="14"/>
      <c r="U402" s="12">
        <v>3.51</v>
      </c>
      <c r="V402" s="12"/>
      <c r="W402" s="12"/>
      <c r="X402" s="12"/>
      <c r="Y402" s="12"/>
      <c r="Z402" s="12"/>
      <c r="AA402" s="12"/>
    </row>
    <row r="403" spans="1:27" ht="90.75" customHeight="1" x14ac:dyDescent="0.2">
      <c r="A403" s="39" t="s">
        <v>1331</v>
      </c>
      <c r="B403" s="40" t="s">
        <v>1354</v>
      </c>
      <c r="C403" s="39" t="s">
        <v>101</v>
      </c>
      <c r="D403" s="39"/>
      <c r="E403" s="39" t="s">
        <v>60</v>
      </c>
      <c r="F403" s="39" t="s">
        <v>72</v>
      </c>
      <c r="G403" s="39"/>
      <c r="H403" s="69" t="s">
        <v>1362</v>
      </c>
      <c r="I403" s="158">
        <v>50</v>
      </c>
      <c r="J403" s="40" t="s">
        <v>1363</v>
      </c>
      <c r="K403" s="159"/>
      <c r="L403" s="159"/>
      <c r="M403" s="39"/>
      <c r="N403" s="39"/>
      <c r="O403" s="160" t="str">
        <f t="shared" si="62"/>
        <v>http://admission.tulane.edu/aid/merit.php</v>
      </c>
      <c r="P403" s="164">
        <v>51010</v>
      </c>
      <c r="Q403" s="165">
        <v>0.3</v>
      </c>
      <c r="R403" s="39" t="s">
        <v>1357</v>
      </c>
      <c r="S403" s="40" t="s">
        <v>1361</v>
      </c>
      <c r="T403" s="12"/>
      <c r="U403" s="12">
        <v>3.51</v>
      </c>
      <c r="V403" s="12"/>
      <c r="W403" s="12"/>
      <c r="X403" s="12"/>
      <c r="Y403" s="12"/>
      <c r="Z403" s="12"/>
      <c r="AA403" s="12"/>
    </row>
    <row r="404" spans="1:27" ht="105.75" customHeight="1" x14ac:dyDescent="0.2">
      <c r="A404" s="39" t="s">
        <v>1331</v>
      </c>
      <c r="B404" s="40" t="s">
        <v>1354</v>
      </c>
      <c r="C404" s="39" t="s">
        <v>101</v>
      </c>
      <c r="D404" s="39"/>
      <c r="E404" s="40" t="s">
        <v>724</v>
      </c>
      <c r="F404" s="40" t="s">
        <v>72</v>
      </c>
      <c r="G404" s="39"/>
      <c r="H404" s="69" t="s">
        <v>454</v>
      </c>
      <c r="I404" s="158">
        <v>5</v>
      </c>
      <c r="J404" s="40" t="s">
        <v>1364</v>
      </c>
      <c r="K404" s="159"/>
      <c r="L404" s="159"/>
      <c r="M404" s="39"/>
      <c r="N404" s="39"/>
      <c r="O404" s="160" t="str">
        <f t="shared" si="62"/>
        <v>http://admission.tulane.edu/aid/merit.php</v>
      </c>
      <c r="P404" s="164">
        <v>51010</v>
      </c>
      <c r="Q404" s="165">
        <v>0.3</v>
      </c>
      <c r="R404" s="39" t="s">
        <v>1357</v>
      </c>
      <c r="S404" s="40" t="s">
        <v>1361</v>
      </c>
      <c r="T404" s="12"/>
      <c r="U404" s="12">
        <v>3.51</v>
      </c>
      <c r="V404" s="12"/>
      <c r="W404" s="12"/>
      <c r="X404" s="12"/>
      <c r="Y404" s="12"/>
      <c r="Z404" s="12"/>
      <c r="AA404" s="12"/>
    </row>
    <row r="405" spans="1:27" ht="195" x14ac:dyDescent="0.2">
      <c r="A405" s="23" t="s">
        <v>1331</v>
      </c>
      <c r="B405" s="14" t="s">
        <v>1354</v>
      </c>
      <c r="C405" s="14" t="s">
        <v>101</v>
      </c>
      <c r="D405" s="17" t="s">
        <v>1365</v>
      </c>
      <c r="E405" s="14" t="s">
        <v>243</v>
      </c>
      <c r="F405" s="14" t="s">
        <v>72</v>
      </c>
      <c r="G405" s="12" t="s">
        <v>186</v>
      </c>
      <c r="H405" s="17" t="s">
        <v>1366</v>
      </c>
      <c r="I405" s="17" t="s">
        <v>74</v>
      </c>
      <c r="J405" s="40" t="s">
        <v>1367</v>
      </c>
      <c r="K405" s="24">
        <v>28</v>
      </c>
      <c r="L405" s="24"/>
      <c r="M405" s="14"/>
      <c r="N405" s="24"/>
      <c r="O405" s="30" t="str">
        <f>HYPERLINK("http://admission.tulane.edu/international/aid","http://admission.tulane.edu/international/aid")</f>
        <v>http://admission.tulane.edu/international/aid</v>
      </c>
      <c r="P405" s="164">
        <v>51010</v>
      </c>
      <c r="Q405" s="165">
        <v>0.3</v>
      </c>
      <c r="R405" s="39" t="s">
        <v>1357</v>
      </c>
      <c r="S405" s="40" t="s">
        <v>1361</v>
      </c>
      <c r="T405" s="12"/>
      <c r="U405" s="12">
        <v>3.51</v>
      </c>
      <c r="V405" s="12"/>
      <c r="W405" s="12"/>
      <c r="X405" s="12"/>
      <c r="Y405" s="12"/>
      <c r="Z405" s="12"/>
      <c r="AA405" s="12"/>
    </row>
    <row r="406" spans="1:27" ht="180" x14ac:dyDescent="0.2">
      <c r="A406" s="39" t="s">
        <v>1331</v>
      </c>
      <c r="B406" s="40" t="s">
        <v>1368</v>
      </c>
      <c r="C406" s="53" t="s">
        <v>59</v>
      </c>
      <c r="D406" s="53" t="s">
        <v>194</v>
      </c>
      <c r="E406" s="40" t="s">
        <v>1369</v>
      </c>
      <c r="F406" s="39" t="s">
        <v>680</v>
      </c>
      <c r="G406" s="40"/>
      <c r="H406" s="69" t="s">
        <v>93</v>
      </c>
      <c r="I406" s="69" t="s">
        <v>63</v>
      </c>
      <c r="J406" s="40" t="s">
        <v>1370</v>
      </c>
      <c r="K406" s="166">
        <v>30</v>
      </c>
      <c r="L406" s="167">
        <v>1390</v>
      </c>
      <c r="M406" s="69" t="s">
        <v>76</v>
      </c>
      <c r="N406" s="53">
        <v>3</v>
      </c>
      <c r="O406" s="30" t="str">
        <f t="shared" ref="O406:O407" si="63">HYPERLINK("http://scholarships.louisiana.edu/prospective-students/state-students/incoming-freshmen/scholarship-opportunities-0","http://scholarships.louisiana.edu/prospective-students/state-students/incoming-freshmen/scholarship-opportunities-0")</f>
        <v>http://scholarships.louisiana.edu/prospective-students/state-students/incoming-freshmen/scholarship-opportunities-0</v>
      </c>
      <c r="P406" s="53" t="s">
        <v>1371</v>
      </c>
      <c r="Q406" s="99">
        <v>0.55000000000000004</v>
      </c>
      <c r="R406" s="53" t="s">
        <v>767</v>
      </c>
      <c r="S406" s="53" t="s">
        <v>1372</v>
      </c>
      <c r="T406" s="40"/>
      <c r="U406" s="40">
        <v>3.3</v>
      </c>
      <c r="V406" s="40"/>
      <c r="W406" s="40"/>
      <c r="X406" s="40"/>
      <c r="Y406" s="40"/>
      <c r="Z406" s="40"/>
      <c r="AA406" s="40"/>
    </row>
    <row r="407" spans="1:27" ht="90.75" customHeight="1" x14ac:dyDescent="0.2">
      <c r="A407" s="11" t="s">
        <v>1331</v>
      </c>
      <c r="B407" s="12" t="s">
        <v>1368</v>
      </c>
      <c r="C407" s="26" t="s">
        <v>59</v>
      </c>
      <c r="D407" s="26" t="s">
        <v>194</v>
      </c>
      <c r="E407" s="12" t="s">
        <v>1369</v>
      </c>
      <c r="F407" s="12" t="s">
        <v>61</v>
      </c>
      <c r="G407" s="12"/>
      <c r="H407" s="17" t="s">
        <v>62</v>
      </c>
      <c r="I407" s="17" t="s">
        <v>63</v>
      </c>
      <c r="J407" s="27" t="s">
        <v>1373</v>
      </c>
      <c r="K407" s="24">
        <v>32</v>
      </c>
      <c r="L407" s="18">
        <v>1450</v>
      </c>
      <c r="M407" s="29" t="s">
        <v>76</v>
      </c>
      <c r="N407" s="26">
        <v>3</v>
      </c>
      <c r="O407" s="30" t="str">
        <f t="shared" si="63"/>
        <v>http://scholarships.louisiana.edu/prospective-students/state-students/incoming-freshmen/scholarship-opportunities-0</v>
      </c>
      <c r="P407" s="26" t="s">
        <v>1371</v>
      </c>
      <c r="Q407" s="31">
        <v>0.55000000000000004</v>
      </c>
      <c r="R407" s="26" t="s">
        <v>767</v>
      </c>
      <c r="S407" s="26" t="s">
        <v>1372</v>
      </c>
      <c r="T407" s="12"/>
      <c r="U407" s="12">
        <v>3.3</v>
      </c>
      <c r="V407" s="12"/>
      <c r="W407" s="12"/>
      <c r="X407" s="12"/>
      <c r="Y407" s="12"/>
      <c r="Z407" s="12"/>
      <c r="AA407" s="12"/>
    </row>
    <row r="408" spans="1:27" ht="111" customHeight="1" x14ac:dyDescent="0.2">
      <c r="A408" s="109" t="s">
        <v>1331</v>
      </c>
      <c r="B408" s="110" t="s">
        <v>1374</v>
      </c>
      <c r="C408" s="110" t="s">
        <v>59</v>
      </c>
      <c r="D408" s="112"/>
      <c r="E408" s="110" t="s">
        <v>88</v>
      </c>
      <c r="F408" s="110" t="s">
        <v>61</v>
      </c>
      <c r="G408" s="112"/>
      <c r="H408" s="117" t="s">
        <v>62</v>
      </c>
      <c r="I408" s="117" t="s">
        <v>63</v>
      </c>
      <c r="J408" s="128" t="s">
        <v>1375</v>
      </c>
      <c r="K408" s="119">
        <v>30</v>
      </c>
      <c r="L408" s="119"/>
      <c r="M408" s="110"/>
      <c r="N408" s="120">
        <v>3</v>
      </c>
      <c r="O408" s="113" t="str">
        <f>HYPERLINK("http://www.ulm.edu/scholarships/freshmen.html","http://www.ulm.edu/scholarships/freshmen.html")</f>
        <v>http://www.ulm.edu/scholarships/freshmen.html</v>
      </c>
      <c r="P408" s="110" t="s">
        <v>1376</v>
      </c>
      <c r="Q408" s="114">
        <v>0.94</v>
      </c>
      <c r="R408" s="110" t="s">
        <v>124</v>
      </c>
      <c r="S408" s="110" t="s">
        <v>1377</v>
      </c>
      <c r="T408" s="112"/>
      <c r="U408" s="112">
        <v>3.41</v>
      </c>
      <c r="V408" s="112"/>
      <c r="W408" s="112"/>
      <c r="X408" s="112"/>
      <c r="Y408" s="112"/>
      <c r="Z408" s="112"/>
      <c r="AA408" s="112"/>
    </row>
    <row r="409" spans="1:27" ht="205.5" customHeight="1" x14ac:dyDescent="0.2">
      <c r="A409" s="168" t="s">
        <v>1331</v>
      </c>
      <c r="B409" s="128" t="s">
        <v>1378</v>
      </c>
      <c r="C409" s="128" t="s">
        <v>59</v>
      </c>
      <c r="D409" s="117"/>
      <c r="E409" s="128" t="s">
        <v>191</v>
      </c>
      <c r="F409" s="128" t="s">
        <v>72</v>
      </c>
      <c r="G409" s="112"/>
      <c r="H409" s="117" t="s">
        <v>1379</v>
      </c>
      <c r="I409" s="117" t="s">
        <v>74</v>
      </c>
      <c r="J409" s="128" t="s">
        <v>1380</v>
      </c>
      <c r="K409" s="117">
        <v>30</v>
      </c>
      <c r="L409" s="117">
        <v>1400</v>
      </c>
      <c r="M409" s="112"/>
      <c r="N409" s="120">
        <v>3.5</v>
      </c>
      <c r="O409" s="121" t="s">
        <v>1381</v>
      </c>
      <c r="P409" s="169" t="s">
        <v>1382</v>
      </c>
      <c r="Q409" s="21">
        <v>0.57999999999999996</v>
      </c>
      <c r="R409" s="20" t="s">
        <v>120</v>
      </c>
      <c r="S409" s="22" t="s">
        <v>1383</v>
      </c>
      <c r="T409" s="112"/>
      <c r="U409" s="112"/>
      <c r="V409" s="112"/>
      <c r="W409" s="112"/>
      <c r="X409" s="112"/>
      <c r="Y409" s="112"/>
      <c r="Z409" s="112"/>
      <c r="AA409" s="112"/>
    </row>
    <row r="410" spans="1:27" ht="205.5" customHeight="1" x14ac:dyDescent="0.2">
      <c r="A410" s="109" t="s">
        <v>1331</v>
      </c>
      <c r="B410" s="110" t="s">
        <v>1384</v>
      </c>
      <c r="C410" s="110" t="s">
        <v>101</v>
      </c>
      <c r="D410" s="117" t="s">
        <v>1385</v>
      </c>
      <c r="E410" s="110" t="s">
        <v>177</v>
      </c>
      <c r="F410" s="110" t="s">
        <v>313</v>
      </c>
      <c r="G410" s="112"/>
      <c r="H410" s="117" t="s">
        <v>313</v>
      </c>
      <c r="I410" s="117" t="s">
        <v>74</v>
      </c>
      <c r="J410" s="110" t="s">
        <v>1386</v>
      </c>
      <c r="K410" s="112"/>
      <c r="L410" s="112"/>
      <c r="M410" s="112"/>
      <c r="N410" s="119"/>
      <c r="O410" s="121" t="s">
        <v>1387</v>
      </c>
      <c r="P410" s="124">
        <v>23046</v>
      </c>
      <c r="Q410" s="125">
        <v>0.66</v>
      </c>
      <c r="R410" s="170" t="s">
        <v>126</v>
      </c>
      <c r="S410" s="126" t="s">
        <v>1388</v>
      </c>
      <c r="T410" s="112"/>
      <c r="U410" s="112">
        <v>3.39</v>
      </c>
      <c r="V410" s="112"/>
      <c r="W410" s="112"/>
      <c r="X410" s="112"/>
      <c r="Y410" s="112"/>
      <c r="Z410" s="112"/>
      <c r="AA410" s="112"/>
    </row>
    <row r="411" spans="1:27" ht="189.75" customHeight="1" x14ac:dyDescent="0.2">
      <c r="A411" s="109" t="s">
        <v>1331</v>
      </c>
      <c r="B411" s="110" t="s">
        <v>1384</v>
      </c>
      <c r="C411" s="110" t="s">
        <v>101</v>
      </c>
      <c r="D411" s="117" t="s">
        <v>1389</v>
      </c>
      <c r="E411" s="110" t="s">
        <v>177</v>
      </c>
      <c r="F411" s="110" t="s">
        <v>313</v>
      </c>
      <c r="G411" s="112"/>
      <c r="H411" s="117" t="s">
        <v>313</v>
      </c>
      <c r="I411" s="117" t="s">
        <v>74</v>
      </c>
      <c r="J411" s="110" t="s">
        <v>1390</v>
      </c>
      <c r="K411" s="112"/>
      <c r="L411" s="112"/>
      <c r="M411" s="112"/>
      <c r="N411" s="119"/>
      <c r="O411" s="121" t="s">
        <v>1387</v>
      </c>
      <c r="P411" s="124">
        <v>23046</v>
      </c>
      <c r="Q411" s="125">
        <v>0.66</v>
      </c>
      <c r="R411" s="170" t="s">
        <v>126</v>
      </c>
      <c r="S411" s="126" t="s">
        <v>1388</v>
      </c>
      <c r="T411" s="112"/>
      <c r="U411" s="112">
        <v>3.39</v>
      </c>
      <c r="V411" s="112"/>
      <c r="W411" s="112"/>
      <c r="X411" s="112"/>
      <c r="Y411" s="112"/>
      <c r="Z411" s="112"/>
      <c r="AA411" s="112"/>
    </row>
    <row r="412" spans="1:27" ht="15" customHeight="1" x14ac:dyDescent="0.2">
      <c r="A412" s="109" t="s">
        <v>1331</v>
      </c>
      <c r="B412" s="110" t="s">
        <v>1384</v>
      </c>
      <c r="C412" s="110" t="s">
        <v>101</v>
      </c>
      <c r="D412" s="112"/>
      <c r="E412" s="128" t="s">
        <v>111</v>
      </c>
      <c r="F412" s="110" t="s">
        <v>72</v>
      </c>
      <c r="G412" s="112"/>
      <c r="H412" s="117" t="s">
        <v>250</v>
      </c>
      <c r="I412" s="117" t="s">
        <v>74</v>
      </c>
      <c r="J412" s="128" t="s">
        <v>1391</v>
      </c>
      <c r="K412" s="119"/>
      <c r="L412" s="119"/>
      <c r="M412" s="110"/>
      <c r="N412" s="119"/>
      <c r="O412" s="121" t="s">
        <v>1392</v>
      </c>
      <c r="P412" s="124">
        <v>23046</v>
      </c>
      <c r="Q412" s="125">
        <v>0.66</v>
      </c>
      <c r="R412" s="170" t="s">
        <v>126</v>
      </c>
      <c r="S412" s="126" t="s">
        <v>1388</v>
      </c>
      <c r="T412" s="112"/>
      <c r="U412" s="112">
        <v>3.39</v>
      </c>
      <c r="V412" s="112"/>
      <c r="W412" s="112"/>
      <c r="X412" s="112"/>
      <c r="Y412" s="112"/>
      <c r="Z412" s="112"/>
      <c r="AA412" s="112"/>
    </row>
    <row r="413" spans="1:27" ht="15" customHeight="1" x14ac:dyDescent="0.2">
      <c r="A413" s="109" t="s">
        <v>1331</v>
      </c>
      <c r="B413" s="110" t="s">
        <v>1384</v>
      </c>
      <c r="C413" s="110" t="s">
        <v>101</v>
      </c>
      <c r="D413" s="112"/>
      <c r="E413" s="128" t="s">
        <v>60</v>
      </c>
      <c r="F413" s="110" t="s">
        <v>72</v>
      </c>
      <c r="G413" s="112"/>
      <c r="H413" s="117" t="s">
        <v>250</v>
      </c>
      <c r="I413" s="117" t="s">
        <v>74</v>
      </c>
      <c r="J413" s="128" t="s">
        <v>1393</v>
      </c>
      <c r="K413" s="119"/>
      <c r="L413" s="119"/>
      <c r="M413" s="110"/>
      <c r="N413" s="119"/>
      <c r="O413" s="121" t="s">
        <v>1392</v>
      </c>
      <c r="P413" s="124">
        <v>23046</v>
      </c>
      <c r="Q413" s="125">
        <v>0.66</v>
      </c>
      <c r="R413" s="170" t="s">
        <v>126</v>
      </c>
      <c r="S413" s="126" t="s">
        <v>1388</v>
      </c>
      <c r="T413" s="112"/>
      <c r="U413" s="112">
        <v>3.39</v>
      </c>
      <c r="V413" s="112"/>
      <c r="W413" s="112"/>
      <c r="X413" s="112"/>
      <c r="Y413" s="112"/>
      <c r="Z413" s="112"/>
      <c r="AA413" s="112"/>
    </row>
    <row r="414" spans="1:27" ht="15" customHeight="1" x14ac:dyDescent="0.2">
      <c r="A414" s="149" t="s">
        <v>1394</v>
      </c>
      <c r="B414" s="112" t="s">
        <v>1395</v>
      </c>
      <c r="C414" s="150" t="s">
        <v>101</v>
      </c>
      <c r="D414" s="150"/>
      <c r="E414" s="112" t="s">
        <v>60</v>
      </c>
      <c r="F414" s="112" t="s">
        <v>72</v>
      </c>
      <c r="G414" s="112"/>
      <c r="H414" s="117" t="s">
        <v>454</v>
      </c>
      <c r="I414" s="117" t="s">
        <v>74</v>
      </c>
      <c r="J414" s="171" t="s">
        <v>1396</v>
      </c>
      <c r="K414" s="112"/>
      <c r="L414" s="112"/>
      <c r="M414" s="112"/>
      <c r="N414" s="112"/>
      <c r="O414" s="121" t="s">
        <v>1397</v>
      </c>
      <c r="P414" s="172">
        <v>48288</v>
      </c>
      <c r="Q414" s="151">
        <v>0.26</v>
      </c>
      <c r="R414" s="150" t="s">
        <v>1398</v>
      </c>
      <c r="S414" s="150" t="s">
        <v>1399</v>
      </c>
      <c r="T414" s="112"/>
      <c r="U414" s="112" t="s">
        <v>81</v>
      </c>
      <c r="V414" s="112"/>
      <c r="W414" s="112"/>
      <c r="X414" s="112"/>
      <c r="Y414" s="112"/>
      <c r="Z414" s="112"/>
      <c r="AA414" s="112"/>
    </row>
    <row r="415" spans="1:27" ht="111" customHeight="1" x14ac:dyDescent="0.2">
      <c r="A415" s="23" t="s">
        <v>1394</v>
      </c>
      <c r="B415" s="14" t="s">
        <v>1400</v>
      </c>
      <c r="C415" s="14" t="s">
        <v>101</v>
      </c>
      <c r="D415" s="12"/>
      <c r="E415" s="14" t="s">
        <v>60</v>
      </c>
      <c r="F415" s="14" t="s">
        <v>72</v>
      </c>
      <c r="G415" s="12"/>
      <c r="H415" s="17" t="s">
        <v>1401</v>
      </c>
      <c r="I415" s="17" t="s">
        <v>74</v>
      </c>
      <c r="J415" s="14" t="s">
        <v>1402</v>
      </c>
      <c r="K415" s="12"/>
      <c r="L415" s="12"/>
      <c r="M415" s="12"/>
      <c r="N415" s="12"/>
      <c r="O415" s="19" t="s">
        <v>1403</v>
      </c>
      <c r="P415" s="33">
        <v>52385</v>
      </c>
      <c r="Q415" s="25">
        <v>0.89</v>
      </c>
      <c r="R415" s="14" t="s">
        <v>1404</v>
      </c>
      <c r="S415" s="14" t="s">
        <v>1405</v>
      </c>
      <c r="T415" s="12"/>
      <c r="U415" s="12">
        <v>3.54</v>
      </c>
      <c r="V415" s="12"/>
      <c r="W415" s="12"/>
      <c r="X415" s="12"/>
      <c r="Y415" s="12"/>
      <c r="Z415" s="12"/>
      <c r="AA415" s="12"/>
    </row>
    <row r="416" spans="1:27" ht="189.75" customHeight="1" x14ac:dyDescent="0.2">
      <c r="A416" s="23" t="s">
        <v>1394</v>
      </c>
      <c r="B416" s="14" t="s">
        <v>1406</v>
      </c>
      <c r="C416" s="14" t="s">
        <v>101</v>
      </c>
      <c r="D416" s="12"/>
      <c r="E416" s="16" t="s">
        <v>88</v>
      </c>
      <c r="F416" s="14" t="s">
        <v>72</v>
      </c>
      <c r="G416" s="12"/>
      <c r="H416" s="17" t="s">
        <v>454</v>
      </c>
      <c r="I416" s="17" t="s">
        <v>1407</v>
      </c>
      <c r="J416" s="16" t="s">
        <v>1408</v>
      </c>
      <c r="K416" s="12"/>
      <c r="L416" s="12"/>
      <c r="M416" s="12"/>
      <c r="N416" s="12"/>
      <c r="O416" s="30" t="str">
        <f>HYPERLINK("http://www.bc.edu/centers/psp.html","http://www.bc.edu/centers/psp.html")</f>
        <v>http://www.bc.edu/centers/psp.html</v>
      </c>
      <c r="P416" s="33">
        <v>51296</v>
      </c>
      <c r="Q416" s="25">
        <v>0.28999999999999998</v>
      </c>
      <c r="R416" s="14" t="s">
        <v>497</v>
      </c>
      <c r="S416" s="14" t="s">
        <v>1409</v>
      </c>
      <c r="T416" s="12"/>
      <c r="U416" s="12" t="s">
        <v>81</v>
      </c>
      <c r="V416" s="12"/>
      <c r="W416" s="12"/>
      <c r="X416" s="12"/>
      <c r="Y416" s="12"/>
      <c r="Z416" s="12"/>
      <c r="AA416" s="12"/>
    </row>
    <row r="417" spans="1:27" ht="174" customHeight="1" x14ac:dyDescent="0.2">
      <c r="A417" s="23" t="s">
        <v>1394</v>
      </c>
      <c r="B417" s="14" t="s">
        <v>1410</v>
      </c>
      <c r="C417" s="14" t="s">
        <v>101</v>
      </c>
      <c r="D417" s="17" t="s">
        <v>1411</v>
      </c>
      <c r="E417" s="14" t="s">
        <v>60</v>
      </c>
      <c r="F417" s="14" t="s">
        <v>72</v>
      </c>
      <c r="G417" s="12"/>
      <c r="H417" s="17" t="s">
        <v>1412</v>
      </c>
      <c r="I417" s="17" t="s">
        <v>74</v>
      </c>
      <c r="J417" s="14" t="s">
        <v>1413</v>
      </c>
      <c r="K417" s="12"/>
      <c r="L417" s="12"/>
      <c r="M417" s="12"/>
      <c r="N417" s="12"/>
      <c r="O417" s="30" t="str">
        <f t="shared" ref="O417:O418" si="64">HYPERLINK("http://www.bu.edu/admissions/apply/costs-aid-scholarships/scholarships/merit/","http://www.bu.edu/admissions/apply/costs-aid-scholarships/scholarships/merit/")</f>
        <v>http://www.bu.edu/admissions/apply/costs-aid-scholarships/scholarships/merit/</v>
      </c>
      <c r="P417" s="33">
        <v>50240</v>
      </c>
      <c r="Q417" s="25">
        <v>0.33</v>
      </c>
      <c r="R417" s="14" t="s">
        <v>616</v>
      </c>
      <c r="S417" s="14" t="s">
        <v>1414</v>
      </c>
      <c r="T417" s="12"/>
      <c r="U417" s="12">
        <v>3.6</v>
      </c>
      <c r="V417" s="12"/>
      <c r="W417" s="12"/>
      <c r="X417" s="12"/>
      <c r="Y417" s="12"/>
      <c r="Z417" s="12"/>
      <c r="AA417" s="12"/>
    </row>
    <row r="418" spans="1:27" ht="174" customHeight="1" x14ac:dyDescent="0.2">
      <c r="A418" s="23" t="s">
        <v>1394</v>
      </c>
      <c r="B418" s="14" t="s">
        <v>1410</v>
      </c>
      <c r="C418" s="14" t="s">
        <v>101</v>
      </c>
      <c r="D418" s="17" t="s">
        <v>1415</v>
      </c>
      <c r="E418" s="14" t="s">
        <v>60</v>
      </c>
      <c r="F418" s="14" t="s">
        <v>72</v>
      </c>
      <c r="G418" s="12"/>
      <c r="H418" s="17" t="s">
        <v>1412</v>
      </c>
      <c r="I418" s="17">
        <v>25</v>
      </c>
      <c r="J418" s="14" t="s">
        <v>1416</v>
      </c>
      <c r="K418" s="12"/>
      <c r="L418" s="12"/>
      <c r="M418" s="12"/>
      <c r="N418" s="12"/>
      <c r="O418" s="30" t="str">
        <f t="shared" si="64"/>
        <v>http://www.bu.edu/admissions/apply/costs-aid-scholarships/scholarships/merit/</v>
      </c>
      <c r="P418" s="33">
        <v>50240</v>
      </c>
      <c r="Q418" s="25">
        <v>0.33</v>
      </c>
      <c r="R418" s="14" t="s">
        <v>616</v>
      </c>
      <c r="S418" s="14" t="s">
        <v>1414</v>
      </c>
      <c r="T418" s="12"/>
      <c r="U418" s="12">
        <v>3.6</v>
      </c>
      <c r="V418" s="12"/>
      <c r="W418" s="12"/>
      <c r="X418" s="12"/>
      <c r="Y418" s="12"/>
      <c r="Z418" s="12"/>
      <c r="AA418" s="12"/>
    </row>
    <row r="419" spans="1:27" ht="15" customHeight="1" x14ac:dyDescent="0.2">
      <c r="A419" s="23" t="s">
        <v>1394</v>
      </c>
      <c r="B419" s="14" t="s">
        <v>1410</v>
      </c>
      <c r="C419" s="14" t="s">
        <v>101</v>
      </c>
      <c r="D419" s="12"/>
      <c r="E419" s="14" t="s">
        <v>60</v>
      </c>
      <c r="F419" s="14" t="s">
        <v>72</v>
      </c>
      <c r="G419" s="12"/>
      <c r="H419" s="17" t="s">
        <v>454</v>
      </c>
      <c r="I419" s="17">
        <v>20</v>
      </c>
      <c r="J419" s="56" t="s">
        <v>1417</v>
      </c>
      <c r="K419" s="12"/>
      <c r="L419" s="12"/>
      <c r="M419" s="12"/>
      <c r="N419" s="12"/>
      <c r="O419" s="163" t="str">
        <f>HYPERLINK("http://www.bu.edu/admissions/apply/tuition-aid-scholarships/scholarships/trustee/","http://www.bu.edu/admissions/apply/tuition-aid-scholarships/scholarships/trustee/")</f>
        <v>http://www.bu.edu/admissions/apply/tuition-aid-scholarships/scholarships/trustee/</v>
      </c>
      <c r="P419" s="33">
        <v>50240</v>
      </c>
      <c r="Q419" s="25">
        <v>0.33</v>
      </c>
      <c r="R419" s="14" t="s">
        <v>616</v>
      </c>
      <c r="S419" s="14" t="s">
        <v>1414</v>
      </c>
      <c r="T419" s="12"/>
      <c r="U419" s="12">
        <v>3.6</v>
      </c>
      <c r="V419" s="12"/>
      <c r="W419" s="12"/>
      <c r="X419" s="12"/>
      <c r="Y419" s="12"/>
      <c r="Z419" s="12"/>
      <c r="AA419" s="12"/>
    </row>
    <row r="420" spans="1:27" ht="189.75" customHeight="1" x14ac:dyDescent="0.2">
      <c r="A420" s="109" t="s">
        <v>1394</v>
      </c>
      <c r="B420" s="110" t="s">
        <v>1418</v>
      </c>
      <c r="C420" s="110" t="s">
        <v>101</v>
      </c>
      <c r="D420" s="117" t="s">
        <v>1419</v>
      </c>
      <c r="E420" s="110" t="s">
        <v>583</v>
      </c>
      <c r="F420" s="110" t="s">
        <v>72</v>
      </c>
      <c r="G420" s="110" t="s">
        <v>186</v>
      </c>
      <c r="H420" s="128" t="s">
        <v>1420</v>
      </c>
      <c r="I420" s="128">
        <v>2</v>
      </c>
      <c r="J420" s="110" t="s">
        <v>1421</v>
      </c>
      <c r="K420" s="112"/>
      <c r="L420" s="112"/>
      <c r="M420" s="112"/>
      <c r="N420" s="112"/>
      <c r="O420" s="121" t="s">
        <v>1422</v>
      </c>
      <c r="P420" s="124">
        <v>51548</v>
      </c>
      <c r="Q420" s="114">
        <v>0.34</v>
      </c>
      <c r="R420" s="110" t="s">
        <v>398</v>
      </c>
      <c r="S420" s="110" t="s">
        <v>1423</v>
      </c>
      <c r="T420" s="112"/>
      <c r="U420" s="112">
        <v>3.95</v>
      </c>
      <c r="V420" s="112"/>
      <c r="W420" s="112"/>
      <c r="X420" s="112"/>
      <c r="Y420" s="112"/>
      <c r="Z420" s="112"/>
      <c r="AA420" s="112"/>
    </row>
    <row r="421" spans="1:27" ht="158.25" customHeight="1" x14ac:dyDescent="0.2">
      <c r="A421" s="109" t="s">
        <v>1394</v>
      </c>
      <c r="B421" s="110" t="s">
        <v>1418</v>
      </c>
      <c r="C421" s="110" t="s">
        <v>101</v>
      </c>
      <c r="D421" s="117" t="s">
        <v>1424</v>
      </c>
      <c r="E421" s="110" t="s">
        <v>583</v>
      </c>
      <c r="F421" s="110" t="s">
        <v>72</v>
      </c>
      <c r="G421" s="110" t="s">
        <v>186</v>
      </c>
      <c r="H421" s="128" t="s">
        <v>1425</v>
      </c>
      <c r="I421" s="128" t="s">
        <v>1426</v>
      </c>
      <c r="J421" s="110" t="s">
        <v>1427</v>
      </c>
      <c r="K421" s="112"/>
      <c r="L421" s="112"/>
      <c r="M421" s="112"/>
      <c r="N421" s="112"/>
      <c r="O421" s="121" t="s">
        <v>1422</v>
      </c>
      <c r="P421" s="124">
        <v>51548</v>
      </c>
      <c r="Q421" s="114">
        <v>0.34</v>
      </c>
      <c r="R421" s="110" t="s">
        <v>398</v>
      </c>
      <c r="S421" s="110" t="s">
        <v>1423</v>
      </c>
      <c r="T421" s="112"/>
      <c r="U421" s="112">
        <v>3.95</v>
      </c>
      <c r="V421" s="112"/>
      <c r="W421" s="112"/>
      <c r="X421" s="112"/>
      <c r="Y421" s="112"/>
      <c r="Z421" s="112"/>
      <c r="AA421" s="112"/>
    </row>
    <row r="422" spans="1:27" ht="95.25" customHeight="1" x14ac:dyDescent="0.2">
      <c r="A422" s="15" t="s">
        <v>1394</v>
      </c>
      <c r="B422" s="16" t="s">
        <v>1418</v>
      </c>
      <c r="C422" s="16" t="s">
        <v>101</v>
      </c>
      <c r="D422" s="17" t="s">
        <v>1428</v>
      </c>
      <c r="E422" s="16" t="s">
        <v>60</v>
      </c>
      <c r="F422" s="16" t="s">
        <v>72</v>
      </c>
      <c r="G422" s="14"/>
      <c r="H422" s="16" t="s">
        <v>239</v>
      </c>
      <c r="I422" s="16">
        <v>1</v>
      </c>
      <c r="J422" s="16" t="s">
        <v>1429</v>
      </c>
      <c r="K422" s="12"/>
      <c r="L422" s="12"/>
      <c r="M422" s="12"/>
      <c r="N422" s="12"/>
      <c r="O422" s="19" t="s">
        <v>1430</v>
      </c>
      <c r="P422" s="124">
        <v>51548</v>
      </c>
      <c r="Q422" s="114">
        <v>0.34</v>
      </c>
      <c r="R422" s="110" t="s">
        <v>1431</v>
      </c>
      <c r="S422" s="110" t="s">
        <v>1423</v>
      </c>
      <c r="T422" s="112"/>
      <c r="U422" s="112">
        <v>3.95</v>
      </c>
      <c r="V422" s="12"/>
      <c r="W422" s="12"/>
      <c r="X422" s="12"/>
      <c r="Y422" s="12"/>
      <c r="Z422" s="12"/>
      <c r="AA422" s="12"/>
    </row>
    <row r="423" spans="1:27" ht="95.25" customHeight="1" x14ac:dyDescent="0.2">
      <c r="A423" s="23" t="s">
        <v>1394</v>
      </c>
      <c r="B423" s="14" t="s">
        <v>1432</v>
      </c>
      <c r="C423" s="14" t="s">
        <v>101</v>
      </c>
      <c r="D423" s="12"/>
      <c r="E423" s="14" t="s">
        <v>990</v>
      </c>
      <c r="F423" s="14" t="s">
        <v>72</v>
      </c>
      <c r="G423" s="14" t="s">
        <v>186</v>
      </c>
      <c r="H423" s="16" t="s">
        <v>454</v>
      </c>
      <c r="I423" s="16">
        <v>5</v>
      </c>
      <c r="J423" s="14" t="s">
        <v>1433</v>
      </c>
      <c r="K423" s="12"/>
      <c r="L423" s="12"/>
      <c r="M423" s="12"/>
      <c r="N423" s="12"/>
      <c r="O423" s="30" t="str">
        <f>HYPERLINK("http://www.clarku.edu/undergraduate-admissions/financial-aid/us/leep-scholarships.cfm","http://www.clarku.edu/undergraduate-admissions/financial-aid/us/leep-scholarships.cfm")</f>
        <v>http://www.clarku.edu/undergraduate-admissions/financial-aid/us/leep-scholarships.cfm</v>
      </c>
      <c r="P423" s="33">
        <v>43150</v>
      </c>
      <c r="Q423" s="58">
        <v>0.55000000000000004</v>
      </c>
      <c r="R423" s="14" t="s">
        <v>490</v>
      </c>
      <c r="S423" s="14" t="s">
        <v>1434</v>
      </c>
      <c r="T423" s="12"/>
      <c r="U423" s="12">
        <v>3.66</v>
      </c>
      <c r="V423" s="12"/>
      <c r="W423" s="12"/>
      <c r="X423" s="12"/>
      <c r="Y423" s="12"/>
      <c r="Z423" s="12"/>
      <c r="AA423" s="12"/>
    </row>
    <row r="424" spans="1:27" ht="15" customHeight="1" x14ac:dyDescent="0.2">
      <c r="A424" s="23" t="s">
        <v>1394</v>
      </c>
      <c r="B424" s="14" t="s">
        <v>1435</v>
      </c>
      <c r="C424" s="14" t="s">
        <v>101</v>
      </c>
      <c r="D424" s="12"/>
      <c r="E424" s="14" t="s">
        <v>177</v>
      </c>
      <c r="F424" s="14" t="s">
        <v>72</v>
      </c>
      <c r="G424" s="12"/>
      <c r="H424" s="17" t="s">
        <v>1436</v>
      </c>
      <c r="I424" s="17" t="s">
        <v>74</v>
      </c>
      <c r="J424" s="56" t="s">
        <v>1437</v>
      </c>
      <c r="K424" s="12"/>
      <c r="L424" s="12"/>
      <c r="M424" s="12"/>
      <c r="N424" s="12"/>
      <c r="O424" s="30" t="str">
        <f>HYPERLINK("http://www.holycross.edu/academics/programs/classics/scholarships","http://www.holycross.edu/academics/programs/classics/scholarships")</f>
        <v>http://www.holycross.edu/academics/programs/classics/scholarships</v>
      </c>
      <c r="P424" s="33">
        <v>48940</v>
      </c>
      <c r="Q424" s="25">
        <v>0.37</v>
      </c>
      <c r="R424" s="52" t="s">
        <v>438</v>
      </c>
      <c r="S424" s="34" t="s">
        <v>1438</v>
      </c>
      <c r="T424" s="12"/>
      <c r="U424" s="12" t="s">
        <v>81</v>
      </c>
      <c r="V424" s="12"/>
      <c r="W424" s="12"/>
      <c r="X424" s="12"/>
      <c r="Y424" s="12"/>
      <c r="Z424" s="12"/>
      <c r="AA424" s="12"/>
    </row>
    <row r="425" spans="1:27" ht="15" customHeight="1" x14ac:dyDescent="0.2">
      <c r="A425" s="23" t="s">
        <v>1394</v>
      </c>
      <c r="B425" s="14" t="s">
        <v>1435</v>
      </c>
      <c r="C425" s="14" t="s">
        <v>101</v>
      </c>
      <c r="D425" s="12"/>
      <c r="E425" s="14" t="s">
        <v>177</v>
      </c>
      <c r="F425" s="14" t="s">
        <v>72</v>
      </c>
      <c r="G425" s="12"/>
      <c r="H425" s="17" t="s">
        <v>1439</v>
      </c>
      <c r="I425" s="17" t="s">
        <v>74</v>
      </c>
      <c r="J425" s="56" t="s">
        <v>1440</v>
      </c>
      <c r="K425" s="12"/>
      <c r="L425" s="12"/>
      <c r="M425" s="12"/>
      <c r="N425" s="12"/>
      <c r="O425" s="30" t="str">
        <f>HYPERLINK("http://www.holycross.edu/how-aid-works/scholarships-grants","http://www.holycross.edu/how-aid-works/scholarships-grants")</f>
        <v>http://www.holycross.edu/how-aid-works/scholarships-grants</v>
      </c>
      <c r="P425" s="33">
        <v>48940</v>
      </c>
      <c r="Q425" s="25">
        <v>0.37</v>
      </c>
      <c r="R425" s="52" t="s">
        <v>438</v>
      </c>
      <c r="S425" s="34" t="s">
        <v>1438</v>
      </c>
      <c r="T425" s="12"/>
      <c r="U425" s="12" t="s">
        <v>81</v>
      </c>
      <c r="V425" s="12"/>
      <c r="W425" s="12"/>
      <c r="X425" s="12"/>
      <c r="Y425" s="12"/>
      <c r="Z425" s="12"/>
      <c r="AA425" s="12"/>
    </row>
    <row r="426" spans="1:27" ht="136.5" customHeight="1" x14ac:dyDescent="0.2">
      <c r="A426" s="11" t="s">
        <v>1394</v>
      </c>
      <c r="B426" s="12" t="s">
        <v>1435</v>
      </c>
      <c r="C426" s="26" t="s">
        <v>101</v>
      </c>
      <c r="D426" s="17" t="s">
        <v>1441</v>
      </c>
      <c r="E426" s="12" t="s">
        <v>60</v>
      </c>
      <c r="F426" s="12" t="s">
        <v>72</v>
      </c>
      <c r="G426" s="12"/>
      <c r="H426" s="17" t="s">
        <v>1442</v>
      </c>
      <c r="I426" s="17" t="s">
        <v>74</v>
      </c>
      <c r="J426" s="32" t="s">
        <v>1443</v>
      </c>
      <c r="K426" s="12"/>
      <c r="L426" s="12"/>
      <c r="M426" s="12"/>
      <c r="N426" s="12"/>
      <c r="O426" s="30" t="str">
        <f>HYPERLINK("http://www.holycross.edu/how-aid-works/scholarships-grants/ellis","http://www.holycross.edu/how-aid-works/scholarships-grants/ellis")</f>
        <v>http://www.holycross.edu/how-aid-works/scholarships-grants/ellis</v>
      </c>
      <c r="P426" s="38">
        <v>47176</v>
      </c>
      <c r="Q426" s="31">
        <v>0.433</v>
      </c>
      <c r="R426" s="26" t="s">
        <v>438</v>
      </c>
      <c r="S426" s="26" t="s">
        <v>1444</v>
      </c>
      <c r="T426" s="12"/>
      <c r="U426" s="12" t="s">
        <v>81</v>
      </c>
      <c r="V426" s="12"/>
      <c r="W426" s="12"/>
      <c r="X426" s="12"/>
      <c r="Y426" s="12"/>
      <c r="Z426" s="12"/>
      <c r="AA426" s="12"/>
    </row>
    <row r="427" spans="1:27" ht="268.5" customHeight="1" x14ac:dyDescent="0.2">
      <c r="A427" s="23" t="s">
        <v>1394</v>
      </c>
      <c r="B427" s="14" t="s">
        <v>1445</v>
      </c>
      <c r="C427" s="14" t="s">
        <v>101</v>
      </c>
      <c r="D427" s="17" t="s">
        <v>1446</v>
      </c>
      <c r="E427" s="14" t="s">
        <v>1447</v>
      </c>
      <c r="F427" s="14" t="s">
        <v>72</v>
      </c>
      <c r="G427" s="12"/>
      <c r="H427" s="17" t="s">
        <v>1448</v>
      </c>
      <c r="I427" s="17" t="s">
        <v>74</v>
      </c>
      <c r="J427" s="14" t="s">
        <v>1449</v>
      </c>
      <c r="K427" s="12"/>
      <c r="L427" s="12"/>
      <c r="M427" s="12"/>
      <c r="N427" s="12"/>
      <c r="O427" s="30" t="str">
        <f>HYPERLINK("https://www.dean.edu/resources_and_scholarships.aspx","https://www.dean.edu/resources_and_scholarships.aspx")</f>
        <v>https://www.dean.edu/resources_and_scholarships.aspx</v>
      </c>
      <c r="P427" s="33">
        <v>36660</v>
      </c>
      <c r="Q427" s="25">
        <v>0.67</v>
      </c>
      <c r="R427" s="14" t="s">
        <v>1450</v>
      </c>
      <c r="S427" s="14" t="s">
        <v>109</v>
      </c>
      <c r="T427" s="12"/>
      <c r="U427" s="12">
        <v>2.4</v>
      </c>
      <c r="V427" s="12"/>
      <c r="W427" s="12"/>
      <c r="X427" s="12"/>
      <c r="Y427" s="12"/>
      <c r="Z427" s="12"/>
      <c r="AA427" s="12"/>
    </row>
    <row r="428" spans="1:27" ht="15" customHeight="1" x14ac:dyDescent="0.2">
      <c r="A428" s="23" t="s">
        <v>1394</v>
      </c>
      <c r="B428" s="14" t="s">
        <v>1451</v>
      </c>
      <c r="C428" s="14" t="s">
        <v>101</v>
      </c>
      <c r="D428" s="17" t="s">
        <v>1452</v>
      </c>
      <c r="E428" s="14" t="s">
        <v>177</v>
      </c>
      <c r="F428" s="14" t="s">
        <v>72</v>
      </c>
      <c r="G428" s="12"/>
      <c r="H428" s="17" t="s">
        <v>1453</v>
      </c>
      <c r="I428" s="17">
        <v>10</v>
      </c>
      <c r="J428" s="122" t="s">
        <v>1454</v>
      </c>
      <c r="K428" s="12"/>
      <c r="L428" s="12"/>
      <c r="M428" s="12"/>
      <c r="N428" s="12"/>
      <c r="O428" s="30" t="str">
        <f>HYPERLINK("http://www.gordon.edu/clarendonscholars","http://www.gordon.edu/clarendonscholars")</f>
        <v>http://www.gordon.edu/clarendonscholars</v>
      </c>
      <c r="P428" s="33">
        <v>36060</v>
      </c>
      <c r="Q428" s="25">
        <v>0.93</v>
      </c>
      <c r="R428" s="34" t="s">
        <v>105</v>
      </c>
      <c r="S428" s="34" t="s">
        <v>1455</v>
      </c>
      <c r="T428" s="12"/>
      <c r="U428" s="12">
        <v>3.56</v>
      </c>
      <c r="V428" s="12"/>
      <c r="W428" s="12"/>
      <c r="X428" s="12"/>
      <c r="Y428" s="12"/>
      <c r="Z428" s="12"/>
      <c r="AA428" s="12"/>
    </row>
    <row r="429" spans="1:27" ht="142.5" customHeight="1" x14ac:dyDescent="0.2">
      <c r="A429" s="109" t="s">
        <v>1394</v>
      </c>
      <c r="B429" s="110" t="s">
        <v>1456</v>
      </c>
      <c r="C429" s="110" t="s">
        <v>59</v>
      </c>
      <c r="D429" s="110" t="s">
        <v>194</v>
      </c>
      <c r="E429" s="110" t="s">
        <v>990</v>
      </c>
      <c r="F429" s="110" t="s">
        <v>72</v>
      </c>
      <c r="G429" s="112"/>
      <c r="H429" s="117" t="s">
        <v>239</v>
      </c>
      <c r="I429" s="117">
        <v>1</v>
      </c>
      <c r="J429" s="110" t="s">
        <v>1457</v>
      </c>
      <c r="K429" s="112"/>
      <c r="L429" s="112"/>
      <c r="M429" s="112"/>
      <c r="N429" s="112"/>
      <c r="O429" s="113" t="str">
        <f t="shared" ref="O429:O431" si="65">HYPERLINK("http://www.maritime.edu/scholarships","http://www.maritime.edu/scholarships")</f>
        <v>http://www.maritime.edu/scholarships</v>
      </c>
      <c r="P429" s="110" t="s">
        <v>1458</v>
      </c>
      <c r="Q429" s="114">
        <v>0.74</v>
      </c>
      <c r="R429" s="110" t="s">
        <v>800</v>
      </c>
      <c r="S429" s="110" t="s">
        <v>1459</v>
      </c>
      <c r="T429" s="112"/>
      <c r="U429" s="112">
        <v>3.14</v>
      </c>
      <c r="V429" s="112"/>
      <c r="W429" s="112"/>
      <c r="X429" s="112"/>
      <c r="Y429" s="112"/>
      <c r="Z429" s="112"/>
      <c r="AA429" s="112"/>
    </row>
    <row r="430" spans="1:27" ht="142.5" customHeight="1" x14ac:dyDescent="0.2">
      <c r="A430" s="109" t="s">
        <v>1394</v>
      </c>
      <c r="B430" s="110" t="s">
        <v>1456</v>
      </c>
      <c r="C430" s="110" t="s">
        <v>59</v>
      </c>
      <c r="D430" s="110" t="s">
        <v>194</v>
      </c>
      <c r="E430" s="110" t="s">
        <v>990</v>
      </c>
      <c r="F430" s="110" t="s">
        <v>72</v>
      </c>
      <c r="G430" s="112"/>
      <c r="H430" s="117" t="s">
        <v>239</v>
      </c>
      <c r="I430" s="117">
        <v>1</v>
      </c>
      <c r="J430" s="110" t="s">
        <v>1460</v>
      </c>
      <c r="K430" s="112"/>
      <c r="L430" s="112"/>
      <c r="M430" s="112"/>
      <c r="N430" s="112"/>
      <c r="O430" s="113" t="str">
        <f t="shared" si="65"/>
        <v>http://www.maritime.edu/scholarships</v>
      </c>
      <c r="P430" s="110" t="s">
        <v>1458</v>
      </c>
      <c r="Q430" s="114">
        <v>0.74</v>
      </c>
      <c r="R430" s="110" t="s">
        <v>800</v>
      </c>
      <c r="S430" s="110" t="s">
        <v>1459</v>
      </c>
      <c r="T430" s="112"/>
      <c r="U430" s="112">
        <v>3.14</v>
      </c>
      <c r="V430" s="112"/>
      <c r="W430" s="112"/>
      <c r="X430" s="112"/>
      <c r="Y430" s="112"/>
      <c r="Z430" s="112"/>
      <c r="AA430" s="112"/>
    </row>
    <row r="431" spans="1:27" ht="15" customHeight="1" x14ac:dyDescent="0.2">
      <c r="A431" s="23" t="s">
        <v>1394</v>
      </c>
      <c r="B431" s="14" t="s">
        <v>1456</v>
      </c>
      <c r="C431" s="14" t="s">
        <v>59</v>
      </c>
      <c r="D431" s="14" t="s">
        <v>194</v>
      </c>
      <c r="E431" s="14" t="s">
        <v>60</v>
      </c>
      <c r="F431" s="14" t="s">
        <v>72</v>
      </c>
      <c r="G431" s="12"/>
      <c r="H431" s="17" t="s">
        <v>250</v>
      </c>
      <c r="I431" s="17">
        <v>5</v>
      </c>
      <c r="J431" s="56" t="s">
        <v>1461</v>
      </c>
      <c r="K431" s="24">
        <v>26</v>
      </c>
      <c r="L431" s="24">
        <v>1200</v>
      </c>
      <c r="M431" s="16" t="s">
        <v>76</v>
      </c>
      <c r="N431" s="24">
        <v>3.75</v>
      </c>
      <c r="O431" s="30" t="str">
        <f t="shared" si="65"/>
        <v>http://www.maritime.edu/scholarships</v>
      </c>
      <c r="P431" s="14" t="s">
        <v>1458</v>
      </c>
      <c r="Q431" s="25">
        <v>0.74</v>
      </c>
      <c r="R431" s="14" t="s">
        <v>800</v>
      </c>
      <c r="S431" s="14" t="s">
        <v>1459</v>
      </c>
      <c r="T431" s="12"/>
      <c r="U431" s="12">
        <v>3.14</v>
      </c>
      <c r="V431" s="12"/>
      <c r="W431" s="12"/>
      <c r="X431" s="12"/>
      <c r="Y431" s="12"/>
      <c r="Z431" s="12"/>
      <c r="AA431" s="12"/>
    </row>
    <row r="432" spans="1:27" ht="15" customHeight="1" x14ac:dyDescent="0.2">
      <c r="A432" s="23" t="s">
        <v>1394</v>
      </c>
      <c r="B432" s="14" t="s">
        <v>1462</v>
      </c>
      <c r="C432" s="14" t="s">
        <v>101</v>
      </c>
      <c r="D432" s="12"/>
      <c r="E432" s="14" t="s">
        <v>177</v>
      </c>
      <c r="F432" s="14" t="s">
        <v>72</v>
      </c>
      <c r="G432" s="12"/>
      <c r="H432" s="17" t="s">
        <v>239</v>
      </c>
      <c r="I432" s="17" t="s">
        <v>74</v>
      </c>
      <c r="J432" s="56" t="s">
        <v>1463</v>
      </c>
      <c r="K432" s="12"/>
      <c r="L432" s="12"/>
      <c r="M432" s="12"/>
      <c r="N432" s="12"/>
      <c r="O432" s="30" t="str">
        <f>HYPERLINK("https://www.mtholyoke.edu/admission/merit","https://www.mtholyoke.edu/admission/merit")</f>
        <v>https://www.mtholyoke.edu/admission/merit</v>
      </c>
      <c r="P432" s="33">
        <v>45866</v>
      </c>
      <c r="Q432" s="25">
        <v>0.5</v>
      </c>
      <c r="R432" s="34" t="s">
        <v>1357</v>
      </c>
      <c r="S432" s="34" t="s">
        <v>1464</v>
      </c>
      <c r="T432" s="12"/>
      <c r="U432" s="12">
        <v>3.84</v>
      </c>
      <c r="V432" s="12"/>
      <c r="W432" s="12"/>
      <c r="X432" s="12"/>
      <c r="Y432" s="12"/>
      <c r="Z432" s="12"/>
      <c r="AA432" s="12"/>
    </row>
    <row r="433" spans="1:27" ht="237" customHeight="1" x14ac:dyDescent="0.2">
      <c r="A433" s="23" t="s">
        <v>1394</v>
      </c>
      <c r="B433" s="14" t="s">
        <v>1465</v>
      </c>
      <c r="C433" s="14" t="s">
        <v>101</v>
      </c>
      <c r="D433" s="12"/>
      <c r="E433" s="14" t="s">
        <v>990</v>
      </c>
      <c r="F433" s="14" t="s">
        <v>72</v>
      </c>
      <c r="G433" s="12"/>
      <c r="H433" s="17" t="s">
        <v>1466</v>
      </c>
      <c r="I433" s="17" t="s">
        <v>74</v>
      </c>
      <c r="J433" s="14" t="s">
        <v>1467</v>
      </c>
      <c r="K433" s="12"/>
      <c r="L433" s="12"/>
      <c r="M433" s="12"/>
      <c r="N433" s="12"/>
      <c r="O433" s="30" t="str">
        <f>HYPERLINK("http://www.northeastern.edu/admissions/cost-financial-aid/scholarships/","http://www.northeastern.edu/admissions/cost-financial-aid/scholarships/")</f>
        <v>http://www.northeastern.edu/admissions/cost-financial-aid/scholarships/</v>
      </c>
      <c r="P433" s="33">
        <v>47655</v>
      </c>
      <c r="Q433" s="25">
        <v>0.28000000000000003</v>
      </c>
      <c r="R433" s="14" t="s">
        <v>1468</v>
      </c>
      <c r="S433" s="14" t="s">
        <v>1469</v>
      </c>
      <c r="T433" s="12"/>
      <c r="U433" s="12" t="s">
        <v>81</v>
      </c>
      <c r="V433" s="12"/>
      <c r="W433" s="12"/>
      <c r="X433" s="12"/>
      <c r="Y433" s="12"/>
      <c r="Z433" s="12"/>
      <c r="AA433" s="12"/>
    </row>
    <row r="434" spans="1:27" ht="142.5" customHeight="1" x14ac:dyDescent="0.2">
      <c r="A434" s="23" t="s">
        <v>1394</v>
      </c>
      <c r="B434" s="14" t="s">
        <v>1470</v>
      </c>
      <c r="C434" s="14" t="s">
        <v>101</v>
      </c>
      <c r="D434" s="12"/>
      <c r="E434" s="14" t="s">
        <v>82</v>
      </c>
      <c r="F434" s="14" t="s">
        <v>72</v>
      </c>
      <c r="G434" s="12"/>
      <c r="H434" s="17" t="s">
        <v>1471</v>
      </c>
      <c r="I434" s="17" t="s">
        <v>74</v>
      </c>
      <c r="J434" s="14" t="s">
        <v>1472</v>
      </c>
      <c r="K434" s="12">
        <v>28</v>
      </c>
      <c r="L434" s="17">
        <v>1300</v>
      </c>
      <c r="M434" s="17" t="s">
        <v>76</v>
      </c>
      <c r="N434" s="12">
        <v>3.3</v>
      </c>
      <c r="O434" s="30" t="str">
        <f>HYPERLINK("http://www.simmons.edu/admission-and-financial-aid/student-financial-services/financial-aid/scholarships/kotzen-scholarship","http://www.simmons.edu/admission-and-financial-aid/student-financial-services/financial-aid/scholarships/kotzen-scholarship")</f>
        <v>http://www.simmons.edu/admission-and-financial-aid/student-financial-services/financial-aid/scholarships/kotzen-scholarship</v>
      </c>
      <c r="P434" s="33">
        <v>38590</v>
      </c>
      <c r="Q434" s="93">
        <v>0.57999999999999996</v>
      </c>
      <c r="R434" s="94" t="s">
        <v>687</v>
      </c>
      <c r="S434" s="26" t="s">
        <v>1473</v>
      </c>
      <c r="T434" s="12"/>
      <c r="U434" s="12">
        <v>3.3</v>
      </c>
      <c r="V434" s="12"/>
      <c r="W434" s="12"/>
      <c r="X434" s="12"/>
      <c r="Y434" s="12"/>
      <c r="Z434" s="12"/>
      <c r="AA434" s="12"/>
    </row>
    <row r="435" spans="1:27" ht="174" customHeight="1" x14ac:dyDescent="0.2">
      <c r="A435" s="109" t="s">
        <v>1394</v>
      </c>
      <c r="B435" s="110" t="s">
        <v>1474</v>
      </c>
      <c r="C435" s="110" t="s">
        <v>101</v>
      </c>
      <c r="D435" s="117" t="s">
        <v>1475</v>
      </c>
      <c r="E435" s="110" t="s">
        <v>60</v>
      </c>
      <c r="F435" s="110" t="s">
        <v>72</v>
      </c>
      <c r="G435" s="112"/>
      <c r="H435" s="117" t="s">
        <v>454</v>
      </c>
      <c r="I435" s="117">
        <v>4</v>
      </c>
      <c r="J435" s="110" t="s">
        <v>1476</v>
      </c>
      <c r="K435" s="112"/>
      <c r="L435" s="112"/>
      <c r="M435" s="112"/>
      <c r="N435" s="112"/>
      <c r="O435" s="113" t="str">
        <f>HYPERLINK("http://www.smith.edu/sfs/aid_merit.php","http://www.smith.edu/sfs/aid_merit.php")</f>
        <v>http://www.smith.edu/sfs/aid_merit.php</v>
      </c>
      <c r="P435" s="124">
        <v>47904</v>
      </c>
      <c r="Q435" s="114">
        <v>0.38</v>
      </c>
      <c r="R435" s="126" t="s">
        <v>523</v>
      </c>
      <c r="S435" s="126" t="s">
        <v>1477</v>
      </c>
      <c r="T435" s="112"/>
      <c r="U435" s="112">
        <v>3.94</v>
      </c>
      <c r="V435" s="112"/>
      <c r="W435" s="112"/>
      <c r="X435" s="112"/>
      <c r="Y435" s="112"/>
      <c r="Z435" s="112"/>
      <c r="AA435" s="112"/>
    </row>
    <row r="436" spans="1:27" ht="78" customHeight="1" x14ac:dyDescent="0.2">
      <c r="A436" s="11" t="s">
        <v>1394</v>
      </c>
      <c r="B436" s="12" t="s">
        <v>1478</v>
      </c>
      <c r="C436" s="26" t="s">
        <v>59</v>
      </c>
      <c r="D436" s="26" t="s">
        <v>98</v>
      </c>
      <c r="E436" s="12" t="s">
        <v>60</v>
      </c>
      <c r="F436" s="17" t="s">
        <v>72</v>
      </c>
      <c r="G436" s="12"/>
      <c r="H436" s="17" t="s">
        <v>62</v>
      </c>
      <c r="I436" s="17" t="s">
        <v>74</v>
      </c>
      <c r="J436" s="12" t="s">
        <v>1479</v>
      </c>
      <c r="K436" s="24">
        <v>26</v>
      </c>
      <c r="L436" s="18">
        <v>1270</v>
      </c>
      <c r="M436" s="29" t="s">
        <v>76</v>
      </c>
      <c r="N436" s="29">
        <v>3.6</v>
      </c>
      <c r="O436" s="30" t="str">
        <f>HYPERLINK("https://www.umb.edu/admissions/scholarships/new_students","https://www.umb.edu/admissions/scholarships/new_students")</f>
        <v>https://www.umb.edu/admissions/scholarships/new_students</v>
      </c>
      <c r="P436" s="26" t="s">
        <v>1480</v>
      </c>
      <c r="Q436" s="31">
        <v>0.69</v>
      </c>
      <c r="R436" s="26" t="s">
        <v>109</v>
      </c>
      <c r="S436" s="26" t="s">
        <v>1481</v>
      </c>
      <c r="T436" s="12"/>
      <c r="U436" s="12">
        <v>3.23</v>
      </c>
      <c r="V436" s="12"/>
      <c r="W436" s="12"/>
      <c r="X436" s="12"/>
      <c r="Y436" s="12"/>
      <c r="Z436" s="12"/>
      <c r="AA436" s="12"/>
    </row>
    <row r="437" spans="1:27" ht="15" customHeight="1" x14ac:dyDescent="0.2">
      <c r="A437" s="109" t="s">
        <v>1394</v>
      </c>
      <c r="B437" s="110" t="s">
        <v>1482</v>
      </c>
      <c r="C437" s="110" t="s">
        <v>59</v>
      </c>
      <c r="D437" s="112"/>
      <c r="E437" s="110" t="s">
        <v>111</v>
      </c>
      <c r="F437" s="110" t="s">
        <v>72</v>
      </c>
      <c r="G437" s="112"/>
      <c r="H437" s="117" t="s">
        <v>1483</v>
      </c>
      <c r="I437" s="117" t="s">
        <v>74</v>
      </c>
      <c r="J437" s="173" t="s">
        <v>1484</v>
      </c>
      <c r="K437" s="112"/>
      <c r="L437" s="112"/>
      <c r="M437" s="112"/>
      <c r="N437" s="112"/>
      <c r="O437" s="113" t="str">
        <f>HYPERLINK("http://www.umassd.edu/financialaid/scholarships/admissions/","http://www.umassd.edu/financialaid/scholarships/admissions/")</f>
        <v>http://www.umassd.edu/financialaid/scholarships/admissions/</v>
      </c>
      <c r="P437" s="110" t="s">
        <v>1485</v>
      </c>
      <c r="Q437" s="174">
        <v>0.76</v>
      </c>
      <c r="R437" s="175" t="s">
        <v>130</v>
      </c>
      <c r="S437" s="150" t="s">
        <v>1486</v>
      </c>
      <c r="T437" s="112"/>
      <c r="U437" s="112">
        <v>3.2</v>
      </c>
      <c r="V437" s="112"/>
      <c r="W437" s="112"/>
      <c r="X437" s="112"/>
      <c r="Y437" s="112"/>
      <c r="Z437" s="112"/>
      <c r="AA437" s="112"/>
    </row>
    <row r="438" spans="1:27" ht="111" customHeight="1" x14ac:dyDescent="0.2">
      <c r="A438" s="23" t="s">
        <v>1394</v>
      </c>
      <c r="B438" s="14" t="s">
        <v>1487</v>
      </c>
      <c r="C438" s="14" t="s">
        <v>59</v>
      </c>
      <c r="D438" s="14"/>
      <c r="E438" s="14" t="s">
        <v>88</v>
      </c>
      <c r="F438" s="14" t="s">
        <v>145</v>
      </c>
      <c r="G438" s="12"/>
      <c r="H438" s="17" t="s">
        <v>157</v>
      </c>
      <c r="I438" s="17" t="s">
        <v>74</v>
      </c>
      <c r="J438" s="14" t="s">
        <v>1488</v>
      </c>
      <c r="K438" s="12"/>
      <c r="L438" s="12"/>
      <c r="M438" s="12"/>
      <c r="N438" s="24">
        <v>2.5</v>
      </c>
      <c r="O438" s="30" t="str">
        <f>HYPERLINK("https://www.uml.edu/docs/Express_fact_sheet_0_tcm18-3029.pdf","https://www.uml.edu/docs/Express_fact_sheet_0_tcm18-3029.pdf")</f>
        <v>https://www.uml.edu/docs/Express_fact_sheet_0_tcm18-3029.pdf</v>
      </c>
      <c r="P438" s="14" t="s">
        <v>1489</v>
      </c>
      <c r="Q438" s="58">
        <v>0.56999999999999995</v>
      </c>
      <c r="R438" s="14" t="s">
        <v>105</v>
      </c>
      <c r="S438" s="14" t="s">
        <v>1490</v>
      </c>
      <c r="T438" s="12"/>
      <c r="U438" s="12">
        <v>3.54</v>
      </c>
      <c r="V438" s="12"/>
      <c r="W438" s="12"/>
      <c r="X438" s="12"/>
      <c r="Y438" s="12"/>
      <c r="Z438" s="12"/>
      <c r="AA438" s="12"/>
    </row>
    <row r="439" spans="1:27" ht="237" customHeight="1" x14ac:dyDescent="0.2">
      <c r="A439" s="23" t="s">
        <v>1394</v>
      </c>
      <c r="B439" s="14" t="s">
        <v>1487</v>
      </c>
      <c r="C439" s="14" t="s">
        <v>59</v>
      </c>
      <c r="D439" s="14" t="s">
        <v>98</v>
      </c>
      <c r="E439" s="14" t="s">
        <v>111</v>
      </c>
      <c r="F439" s="14" t="s">
        <v>72</v>
      </c>
      <c r="G439" s="12"/>
      <c r="H439" s="17" t="s">
        <v>1253</v>
      </c>
      <c r="I439" s="17" t="s">
        <v>74</v>
      </c>
      <c r="J439" s="14" t="s">
        <v>1491</v>
      </c>
      <c r="K439" s="24">
        <v>34</v>
      </c>
      <c r="L439" s="24">
        <v>1540</v>
      </c>
      <c r="M439" s="16" t="s">
        <v>76</v>
      </c>
      <c r="N439" s="24">
        <v>4</v>
      </c>
      <c r="O439" s="30" t="str">
        <f t="shared" ref="O439:O440" si="66">HYPERLINK("https://www.uml.edu/thesolutioncenter/financial-aid/Scholarships/Freshmen.aspx#Mass","https://www.uml.edu/thesolutioncenter/financial-aid/Scholarships/Freshmen.aspx#Mass")</f>
        <v>https://www.uml.edu/thesolutioncenter/financial-aid/Scholarships/Freshmen.aspx#Mass</v>
      </c>
      <c r="P439" s="14" t="s">
        <v>1489</v>
      </c>
      <c r="Q439" s="58">
        <v>0.56999999999999995</v>
      </c>
      <c r="R439" s="14" t="s">
        <v>105</v>
      </c>
      <c r="S439" s="14" t="s">
        <v>1490</v>
      </c>
      <c r="T439" s="12"/>
      <c r="U439" s="12">
        <v>3.54</v>
      </c>
      <c r="V439" s="12"/>
      <c r="W439" s="12"/>
      <c r="X439" s="12"/>
      <c r="Y439" s="12"/>
      <c r="Z439" s="12"/>
      <c r="AA439" s="12"/>
    </row>
    <row r="440" spans="1:27" ht="111" customHeight="1" x14ac:dyDescent="0.2">
      <c r="A440" s="23" t="s">
        <v>1394</v>
      </c>
      <c r="B440" s="14" t="s">
        <v>1487</v>
      </c>
      <c r="C440" s="14" t="s">
        <v>59</v>
      </c>
      <c r="D440" s="14" t="s">
        <v>98</v>
      </c>
      <c r="E440" s="14" t="s">
        <v>60</v>
      </c>
      <c r="F440" s="14" t="s">
        <v>72</v>
      </c>
      <c r="G440" s="12"/>
      <c r="H440" s="17" t="s">
        <v>239</v>
      </c>
      <c r="I440" s="17" t="s">
        <v>74</v>
      </c>
      <c r="J440" s="14" t="s">
        <v>1492</v>
      </c>
      <c r="K440" s="12"/>
      <c r="L440" s="12"/>
      <c r="M440" s="12"/>
      <c r="N440" s="12"/>
      <c r="O440" s="30" t="str">
        <f t="shared" si="66"/>
        <v>https://www.uml.edu/thesolutioncenter/financial-aid/Scholarships/Freshmen.aspx#Mass</v>
      </c>
      <c r="P440" s="14" t="s">
        <v>1489</v>
      </c>
      <c r="Q440" s="58">
        <v>0.56999999999999995</v>
      </c>
      <c r="R440" s="14" t="s">
        <v>105</v>
      </c>
      <c r="S440" s="14" t="s">
        <v>1490</v>
      </c>
      <c r="T440" s="12"/>
      <c r="U440" s="12">
        <v>3.54</v>
      </c>
      <c r="V440" s="12"/>
      <c r="W440" s="12"/>
      <c r="X440" s="12"/>
      <c r="Y440" s="12"/>
      <c r="Z440" s="12"/>
      <c r="AA440" s="12"/>
    </row>
    <row r="441" spans="1:27" ht="15" customHeight="1" x14ac:dyDescent="0.2">
      <c r="A441" s="39" t="s">
        <v>1394</v>
      </c>
      <c r="B441" s="40" t="s">
        <v>1493</v>
      </c>
      <c r="C441" s="39" t="s">
        <v>101</v>
      </c>
      <c r="D441" s="39"/>
      <c r="E441" s="39" t="s">
        <v>60</v>
      </c>
      <c r="F441" s="39" t="s">
        <v>72</v>
      </c>
      <c r="G441" s="39"/>
      <c r="H441" s="158" t="s">
        <v>1494</v>
      </c>
      <c r="I441" s="158">
        <v>2</v>
      </c>
      <c r="J441" s="56" t="s">
        <v>1495</v>
      </c>
      <c r="K441" s="24"/>
      <c r="L441" s="24"/>
      <c r="M441" s="14"/>
      <c r="N441" s="24"/>
      <c r="O441" s="160" t="str">
        <f>HYPERLINK("https://www.wit.edu/admissions-aid/tuition-financial-aid/types-financial-aid","https://www.wit.edu/admissions-aid/tuition-financial-aid/types-financial-aid")</f>
        <v>https://www.wit.edu/admissions-aid/tuition-financial-aid/types-financial-aid</v>
      </c>
      <c r="P441" s="164">
        <v>31840</v>
      </c>
      <c r="Q441" s="165">
        <v>0.67</v>
      </c>
      <c r="R441" s="39" t="s">
        <v>182</v>
      </c>
      <c r="S441" s="40" t="s">
        <v>1496</v>
      </c>
      <c r="T441" s="12"/>
      <c r="U441" s="12">
        <v>3.1</v>
      </c>
      <c r="V441" s="12"/>
      <c r="W441" s="12"/>
      <c r="X441" s="12"/>
      <c r="Y441" s="12"/>
      <c r="Z441" s="12"/>
      <c r="AA441" s="12"/>
    </row>
    <row r="442" spans="1:27" ht="15" customHeight="1" x14ac:dyDescent="0.2">
      <c r="A442" s="23" t="s">
        <v>1394</v>
      </c>
      <c r="B442" s="14" t="s">
        <v>1497</v>
      </c>
      <c r="C442" s="14" t="s">
        <v>59</v>
      </c>
      <c r="D442" s="14" t="s">
        <v>194</v>
      </c>
      <c r="E442" s="14" t="s">
        <v>60</v>
      </c>
      <c r="F442" s="14" t="s">
        <v>72</v>
      </c>
      <c r="G442" s="12"/>
      <c r="H442" s="17" t="s">
        <v>1498</v>
      </c>
      <c r="I442" s="17" t="s">
        <v>74</v>
      </c>
      <c r="J442" s="56" t="s">
        <v>1499</v>
      </c>
      <c r="K442" s="12"/>
      <c r="L442" s="24">
        <v>1360</v>
      </c>
      <c r="M442" s="16" t="s">
        <v>76</v>
      </c>
      <c r="N442" s="24">
        <v>4</v>
      </c>
      <c r="O442" s="30" t="str">
        <f>HYPERLINK("http://www.westfield.ma.edu/tuition-financial-aid/scholarships","http://www.westfield.ma.edu/tuition-financial-aid/scholarships")</f>
        <v>http://www.westfield.ma.edu/tuition-financial-aid/scholarships</v>
      </c>
      <c r="P442" s="14" t="s">
        <v>1500</v>
      </c>
      <c r="Q442" s="25">
        <v>0.8</v>
      </c>
      <c r="R442" s="94" t="s">
        <v>120</v>
      </c>
      <c r="S442" s="26" t="s">
        <v>1501</v>
      </c>
      <c r="T442" s="12"/>
      <c r="U442" s="12">
        <v>3.09</v>
      </c>
      <c r="V442" s="12"/>
      <c r="W442" s="12"/>
      <c r="X442" s="12"/>
      <c r="Y442" s="12"/>
      <c r="Z442" s="12"/>
      <c r="AA442" s="12"/>
    </row>
    <row r="443" spans="1:27" ht="128" x14ac:dyDescent="0.2">
      <c r="A443" s="23" t="s">
        <v>1394</v>
      </c>
      <c r="B443" s="14" t="s">
        <v>1502</v>
      </c>
      <c r="C443" s="14" t="s">
        <v>101</v>
      </c>
      <c r="D443" s="12"/>
      <c r="E443" s="14" t="s">
        <v>88</v>
      </c>
      <c r="F443" s="14" t="s">
        <v>72</v>
      </c>
      <c r="G443" s="12"/>
      <c r="H443" s="17" t="s">
        <v>239</v>
      </c>
      <c r="I443" s="17" t="s">
        <v>1071</v>
      </c>
      <c r="J443" s="14" t="s">
        <v>1503</v>
      </c>
      <c r="K443" s="12"/>
      <c r="L443" s="12"/>
      <c r="M443" s="12"/>
      <c r="N443" s="12"/>
      <c r="O443" s="63" t="s">
        <v>1504</v>
      </c>
      <c r="P443" s="33">
        <v>46994</v>
      </c>
      <c r="Q443" s="25">
        <v>0.49</v>
      </c>
      <c r="R443" s="14" t="s">
        <v>452</v>
      </c>
      <c r="S443" s="14" t="s">
        <v>1505</v>
      </c>
      <c r="T443" s="12"/>
      <c r="U443" s="12">
        <v>3.8</v>
      </c>
      <c r="V443" s="12"/>
      <c r="W443" s="12"/>
      <c r="X443" s="12"/>
      <c r="Y443" s="12"/>
      <c r="Z443" s="12"/>
      <c r="AA443" s="12"/>
    </row>
    <row r="444" spans="1:27" ht="15" customHeight="1" x14ac:dyDescent="0.2">
      <c r="A444" s="23" t="s">
        <v>1394</v>
      </c>
      <c r="B444" s="14" t="s">
        <v>1502</v>
      </c>
      <c r="C444" s="14" t="s">
        <v>101</v>
      </c>
      <c r="D444" s="12"/>
      <c r="E444" s="14" t="s">
        <v>60</v>
      </c>
      <c r="F444" s="14" t="s">
        <v>72</v>
      </c>
      <c r="G444" s="12"/>
      <c r="H444" s="17" t="s">
        <v>1506</v>
      </c>
      <c r="I444" s="17">
        <v>1</v>
      </c>
      <c r="J444" s="56" t="s">
        <v>1507</v>
      </c>
      <c r="K444" s="12"/>
      <c r="L444" s="12"/>
      <c r="M444" s="12"/>
      <c r="N444" s="12"/>
      <c r="O444" s="63" t="s">
        <v>1508</v>
      </c>
      <c r="P444" s="33">
        <v>46994</v>
      </c>
      <c r="Q444" s="25">
        <v>0.49</v>
      </c>
      <c r="R444" s="14" t="s">
        <v>452</v>
      </c>
      <c r="S444" s="14" t="s">
        <v>1505</v>
      </c>
      <c r="T444" s="12"/>
      <c r="U444" s="12">
        <v>3.8</v>
      </c>
      <c r="V444" s="12"/>
      <c r="W444" s="12"/>
      <c r="X444" s="12"/>
      <c r="Y444" s="12"/>
      <c r="Z444" s="12"/>
      <c r="AA444" s="12"/>
    </row>
    <row r="445" spans="1:27" ht="126.75" customHeight="1" x14ac:dyDescent="0.2">
      <c r="A445" s="23" t="s">
        <v>1394</v>
      </c>
      <c r="B445" s="14" t="s">
        <v>1502</v>
      </c>
      <c r="C445" s="14" t="s">
        <v>101</v>
      </c>
      <c r="D445" s="12"/>
      <c r="E445" s="12" t="s">
        <v>60</v>
      </c>
      <c r="F445" s="11" t="s">
        <v>72</v>
      </c>
      <c r="G445" s="12"/>
      <c r="H445" s="17" t="s">
        <v>1506</v>
      </c>
      <c r="I445" s="17">
        <v>1</v>
      </c>
      <c r="J445" s="176" t="s">
        <v>1509</v>
      </c>
      <c r="K445" s="12"/>
      <c r="L445" s="28"/>
      <c r="M445" s="26"/>
      <c r="N445" s="26"/>
      <c r="O445" s="30" t="str">
        <f>HYPERLINK("https://www.wpi.edu/admissions/tuition-aid/types-of-aid/scholarships-grants/wpi-merit/first-scholarships","https://www.wpi.edu/admissions/tuition-aid/types-of-aid/scholarships-grants/wpi-merit/first-scholarships")</f>
        <v>https://www.wpi.edu/admissions/tuition-aid/types-of-aid/scholarships-grants/wpi-merit/first-scholarships</v>
      </c>
      <c r="P445" s="33">
        <v>46994</v>
      </c>
      <c r="Q445" s="25">
        <v>0.49</v>
      </c>
      <c r="R445" s="14" t="s">
        <v>452</v>
      </c>
      <c r="S445" s="14" t="s">
        <v>1505</v>
      </c>
      <c r="T445" s="12"/>
      <c r="U445" s="12">
        <v>3.8</v>
      </c>
      <c r="V445" s="12"/>
      <c r="W445" s="12"/>
      <c r="X445" s="12"/>
      <c r="Y445" s="12"/>
      <c r="Z445" s="12"/>
      <c r="AA445" s="12"/>
    </row>
    <row r="446" spans="1:27" ht="78" customHeight="1" x14ac:dyDescent="0.2">
      <c r="A446" s="11" t="s">
        <v>1510</v>
      </c>
      <c r="B446" s="12" t="s">
        <v>1511</v>
      </c>
      <c r="C446" s="26" t="s">
        <v>59</v>
      </c>
      <c r="D446" s="26"/>
      <c r="E446" s="12" t="s">
        <v>111</v>
      </c>
      <c r="F446" s="78" t="s">
        <v>72</v>
      </c>
      <c r="G446" s="12"/>
      <c r="H446" s="17" t="s">
        <v>62</v>
      </c>
      <c r="I446" s="17" t="s">
        <v>74</v>
      </c>
      <c r="J446" s="53" t="s">
        <v>1512</v>
      </c>
      <c r="K446" s="12"/>
      <c r="L446" s="28">
        <v>1820</v>
      </c>
      <c r="M446" s="26" t="s">
        <v>647</v>
      </c>
      <c r="N446" s="26">
        <v>3.2</v>
      </c>
      <c r="O446" s="30" t="str">
        <f t="shared" ref="O446:O447" si="67">HYPERLINK("http://www.coppin.edu/info/200489/honors_scholarships","http://www.coppin.edu/info/200489/honors_scholarships")</f>
        <v>http://www.coppin.edu/info/200489/honors_scholarships</v>
      </c>
      <c r="P446" s="26" t="s">
        <v>1513</v>
      </c>
      <c r="Q446" s="31">
        <v>0.54</v>
      </c>
      <c r="R446" s="26" t="s">
        <v>109</v>
      </c>
      <c r="S446" s="26" t="s">
        <v>1514</v>
      </c>
      <c r="T446" s="12"/>
      <c r="U446" s="12">
        <v>2.62</v>
      </c>
      <c r="V446" s="12"/>
      <c r="W446" s="12"/>
      <c r="X446" s="12"/>
      <c r="Y446" s="12"/>
      <c r="Z446" s="12"/>
      <c r="AA446" s="12"/>
    </row>
    <row r="447" spans="1:27" ht="78" customHeight="1" x14ac:dyDescent="0.2">
      <c r="A447" s="11" t="s">
        <v>1510</v>
      </c>
      <c r="B447" s="12" t="s">
        <v>1511</v>
      </c>
      <c r="C447" s="26" t="s">
        <v>59</v>
      </c>
      <c r="D447" s="26"/>
      <c r="E447" s="12" t="s">
        <v>60</v>
      </c>
      <c r="F447" s="78" t="s">
        <v>72</v>
      </c>
      <c r="G447" s="12"/>
      <c r="H447" s="17" t="s">
        <v>62</v>
      </c>
      <c r="I447" s="17" t="s">
        <v>74</v>
      </c>
      <c r="J447" s="53" t="s">
        <v>1515</v>
      </c>
      <c r="K447" s="12"/>
      <c r="L447" s="28">
        <v>1590</v>
      </c>
      <c r="M447" s="26" t="s">
        <v>647</v>
      </c>
      <c r="N447" s="26">
        <v>3</v>
      </c>
      <c r="O447" s="30" t="str">
        <f t="shared" si="67"/>
        <v>http://www.coppin.edu/info/200489/honors_scholarships</v>
      </c>
      <c r="P447" s="26" t="s">
        <v>1513</v>
      </c>
      <c r="Q447" s="31">
        <v>0.54</v>
      </c>
      <c r="R447" s="26" t="s">
        <v>109</v>
      </c>
      <c r="S447" s="26" t="s">
        <v>1514</v>
      </c>
      <c r="T447" s="12"/>
      <c r="U447" s="12">
        <v>2.62</v>
      </c>
      <c r="V447" s="12"/>
      <c r="W447" s="12"/>
      <c r="X447" s="12"/>
      <c r="Y447" s="12"/>
      <c r="Z447" s="12"/>
      <c r="AA447" s="12"/>
    </row>
    <row r="448" spans="1:27" ht="15" customHeight="1" x14ac:dyDescent="0.2">
      <c r="A448" s="149" t="s">
        <v>1510</v>
      </c>
      <c r="B448" s="112" t="s">
        <v>1516</v>
      </c>
      <c r="C448" s="150" t="s">
        <v>101</v>
      </c>
      <c r="D448" s="150"/>
      <c r="E448" s="112" t="s">
        <v>88</v>
      </c>
      <c r="F448" s="149" t="s">
        <v>72</v>
      </c>
      <c r="G448" s="112"/>
      <c r="H448" s="117" t="s">
        <v>1517</v>
      </c>
      <c r="I448" s="117" t="s">
        <v>74</v>
      </c>
      <c r="J448" s="177" t="s">
        <v>1518</v>
      </c>
      <c r="K448" s="112"/>
      <c r="L448" s="178"/>
      <c r="M448" s="150"/>
      <c r="N448" s="150"/>
      <c r="O448" s="121" t="s">
        <v>1519</v>
      </c>
      <c r="P448" s="172">
        <v>50910</v>
      </c>
      <c r="Q448" s="151">
        <v>0.13</v>
      </c>
      <c r="R448" s="150" t="s">
        <v>1520</v>
      </c>
      <c r="S448" s="150" t="s">
        <v>1521</v>
      </c>
      <c r="T448" s="112"/>
      <c r="U448" s="112">
        <v>3.9</v>
      </c>
      <c r="V448" s="112"/>
      <c r="W448" s="112"/>
      <c r="X448" s="112"/>
      <c r="Y448" s="112"/>
      <c r="Z448" s="112"/>
      <c r="AA448" s="112"/>
    </row>
    <row r="449" spans="1:27" ht="158.25" customHeight="1" x14ac:dyDescent="0.2">
      <c r="A449" s="23" t="s">
        <v>1510</v>
      </c>
      <c r="B449" s="14" t="s">
        <v>1522</v>
      </c>
      <c r="C449" s="14" t="s">
        <v>101</v>
      </c>
      <c r="D449" s="12"/>
      <c r="E449" s="14" t="s">
        <v>88</v>
      </c>
      <c r="F449" s="14" t="s">
        <v>145</v>
      </c>
      <c r="G449" s="12"/>
      <c r="H449" s="17" t="s">
        <v>157</v>
      </c>
      <c r="I449" s="17" t="s">
        <v>74</v>
      </c>
      <c r="J449" s="14" t="s">
        <v>1523</v>
      </c>
      <c r="K449" s="12"/>
      <c r="L449" s="12"/>
      <c r="M449" s="12"/>
      <c r="N449" s="12"/>
      <c r="O449" s="30" t="str">
        <f>HYPERLINK("http://www.loyola.edu/department/financialaid/undergraduate/programs/scholarships/rotc","http://www.loyola.edu/department/financialaid/undergraduate/programs/scholarships/rotc")</f>
        <v>http://www.loyola.edu/department/financialaid/undergraduate/programs/scholarships/rotc</v>
      </c>
      <c r="P449" s="33">
        <v>46430</v>
      </c>
      <c r="Q449" s="93">
        <v>0.57999999999999996</v>
      </c>
      <c r="R449" s="94" t="s">
        <v>638</v>
      </c>
      <c r="S449" s="26" t="s">
        <v>1524</v>
      </c>
      <c r="T449" s="12"/>
      <c r="U449" s="12">
        <v>3.45</v>
      </c>
      <c r="V449" s="12"/>
      <c r="W449" s="12"/>
      <c r="X449" s="12"/>
      <c r="Y449" s="12"/>
      <c r="Z449" s="12"/>
      <c r="AA449" s="12"/>
    </row>
    <row r="450" spans="1:27" ht="205.5" customHeight="1" x14ac:dyDescent="0.2">
      <c r="A450" s="23" t="s">
        <v>1510</v>
      </c>
      <c r="B450" s="14" t="s">
        <v>1522</v>
      </c>
      <c r="C450" s="14" t="s">
        <v>101</v>
      </c>
      <c r="D450" s="17" t="s">
        <v>1525</v>
      </c>
      <c r="E450" s="14" t="s">
        <v>60</v>
      </c>
      <c r="F450" s="14" t="s">
        <v>72</v>
      </c>
      <c r="G450" s="12"/>
      <c r="H450" s="17" t="s">
        <v>1526</v>
      </c>
      <c r="I450" s="17" t="s">
        <v>74</v>
      </c>
      <c r="J450" s="14" t="s">
        <v>1527</v>
      </c>
      <c r="K450" s="12"/>
      <c r="L450" s="12"/>
      <c r="M450" s="12"/>
      <c r="N450" s="12"/>
      <c r="O450" s="30" t="str">
        <f>HYPERLINK("http://www.loyola.edu/department/financialaid/undergraduate/programs/scholarships/marionburkknott","http://www.loyola.edu/department/financialaid/undergraduate/programs/scholarships/marionburkknott")</f>
        <v>http://www.loyola.edu/department/financialaid/undergraduate/programs/scholarships/marionburkknott</v>
      </c>
      <c r="P450" s="33">
        <v>46430</v>
      </c>
      <c r="Q450" s="93">
        <v>0.57999999999999996</v>
      </c>
      <c r="R450" s="94" t="s">
        <v>638</v>
      </c>
      <c r="S450" s="26" t="s">
        <v>1524</v>
      </c>
      <c r="T450" s="12"/>
      <c r="U450" s="12">
        <v>3.45</v>
      </c>
      <c r="V450" s="12"/>
      <c r="W450" s="12"/>
      <c r="X450" s="12"/>
      <c r="Y450" s="12"/>
      <c r="Z450" s="12"/>
      <c r="AA450" s="12"/>
    </row>
    <row r="451" spans="1:27" ht="15" customHeight="1" x14ac:dyDescent="0.2">
      <c r="A451" s="23" t="s">
        <v>1510</v>
      </c>
      <c r="B451" s="14" t="s">
        <v>1528</v>
      </c>
      <c r="C451" s="14" t="s">
        <v>101</v>
      </c>
      <c r="D451" s="12"/>
      <c r="E451" s="14" t="s">
        <v>238</v>
      </c>
      <c r="F451" s="14" t="s">
        <v>72</v>
      </c>
      <c r="G451" s="12"/>
      <c r="H451" s="17" t="s">
        <v>1529</v>
      </c>
      <c r="I451" s="17" t="s">
        <v>74</v>
      </c>
      <c r="J451" s="56" t="s">
        <v>1530</v>
      </c>
      <c r="K451" s="12"/>
      <c r="L451" s="12"/>
      <c r="M451" s="12"/>
      <c r="N451" s="12"/>
      <c r="O451" s="30" t="str">
        <f t="shared" ref="O451:O452" si="68">HYPERLINK("http://www.mcdaniel.edu/undergraduate/admissions/finance-your-education/scholarships-grants/institutional-scholarships","http://www.mcdaniel.edu/undergraduate/admissions/finance-your-education/scholarships-grants/institutional-scholarships")</f>
        <v>http://www.mcdaniel.edu/undergraduate/admissions/finance-your-education/scholarships-grants/institutional-scholarships</v>
      </c>
      <c r="P451" s="33">
        <v>40580</v>
      </c>
      <c r="Q451" s="25">
        <v>0.8</v>
      </c>
      <c r="R451" s="34" t="s">
        <v>973</v>
      </c>
      <c r="S451" s="34" t="s">
        <v>1531</v>
      </c>
      <c r="T451" s="12"/>
      <c r="U451" s="12">
        <v>3.43</v>
      </c>
      <c r="V451" s="12"/>
      <c r="W451" s="12"/>
      <c r="X451" s="12"/>
      <c r="Y451" s="12"/>
      <c r="Z451" s="12"/>
      <c r="AA451" s="12"/>
    </row>
    <row r="452" spans="1:27" ht="158.25" customHeight="1" x14ac:dyDescent="0.2">
      <c r="A452" s="23" t="s">
        <v>1510</v>
      </c>
      <c r="B452" s="14" t="s">
        <v>1528</v>
      </c>
      <c r="C452" s="14" t="s">
        <v>101</v>
      </c>
      <c r="D452" s="17" t="s">
        <v>1365</v>
      </c>
      <c r="E452" s="14" t="s">
        <v>1532</v>
      </c>
      <c r="F452" s="14" t="s">
        <v>72</v>
      </c>
      <c r="G452" s="14" t="s">
        <v>186</v>
      </c>
      <c r="H452" s="16" t="s">
        <v>239</v>
      </c>
      <c r="I452" s="16" t="s">
        <v>74</v>
      </c>
      <c r="J452" s="14" t="s">
        <v>1533</v>
      </c>
      <c r="K452" s="12"/>
      <c r="L452" s="12"/>
      <c r="M452" s="12"/>
      <c r="N452" s="12"/>
      <c r="O452" s="30" t="str">
        <f t="shared" si="68"/>
        <v>http://www.mcdaniel.edu/undergraduate/admissions/finance-your-education/scholarships-grants/institutional-scholarships</v>
      </c>
      <c r="P452" s="33">
        <v>40580</v>
      </c>
      <c r="Q452" s="25">
        <v>0.8</v>
      </c>
      <c r="R452" s="34" t="s">
        <v>973</v>
      </c>
      <c r="S452" s="34" t="s">
        <v>1531</v>
      </c>
      <c r="T452" s="12"/>
      <c r="U452" s="12">
        <v>3.43</v>
      </c>
      <c r="V452" s="12"/>
      <c r="W452" s="12"/>
      <c r="X452" s="12"/>
      <c r="Y452" s="12"/>
      <c r="Z452" s="12"/>
      <c r="AA452" s="12"/>
    </row>
    <row r="453" spans="1:27" ht="142.5" customHeight="1" x14ac:dyDescent="0.2">
      <c r="A453" s="23" t="s">
        <v>1510</v>
      </c>
      <c r="B453" s="14" t="s">
        <v>1534</v>
      </c>
      <c r="C453" s="14" t="s">
        <v>101</v>
      </c>
      <c r="D453" s="12"/>
      <c r="E453" s="14" t="s">
        <v>88</v>
      </c>
      <c r="F453" s="14" t="s">
        <v>145</v>
      </c>
      <c r="G453" s="12"/>
      <c r="H453" s="17" t="s">
        <v>157</v>
      </c>
      <c r="I453" s="17" t="s">
        <v>74</v>
      </c>
      <c r="J453" s="14" t="s">
        <v>1535</v>
      </c>
      <c r="K453" s="12"/>
      <c r="L453" s="12"/>
      <c r="M453" s="12"/>
      <c r="N453" s="12"/>
      <c r="O453" s="30" t="str">
        <f t="shared" ref="O453:O454" si="69">HYPERLINK("http://msmary.edu/admissions/financial-aid/scholarships-grants/index.html#Academic_Scholarships","http://msmary.edu/admissions/financial-aid/scholarships-grants/index.html#Academic_Scholarships")</f>
        <v>http://msmary.edu/admissions/financial-aid/scholarships-grants/index.html#Academic_Scholarships</v>
      </c>
      <c r="P453" s="33">
        <v>39000</v>
      </c>
      <c r="Q453" s="25">
        <v>0.67</v>
      </c>
      <c r="R453" s="14" t="s">
        <v>259</v>
      </c>
      <c r="S453" s="14" t="s">
        <v>1536</v>
      </c>
      <c r="T453" s="12"/>
      <c r="U453" s="12">
        <v>3.3</v>
      </c>
      <c r="V453" s="12"/>
      <c r="W453" s="12"/>
      <c r="X453" s="12"/>
      <c r="Y453" s="12"/>
      <c r="Z453" s="12"/>
      <c r="AA453" s="12"/>
    </row>
    <row r="454" spans="1:27" ht="142.5" customHeight="1" x14ac:dyDescent="0.2">
      <c r="A454" s="109" t="s">
        <v>1510</v>
      </c>
      <c r="B454" s="110" t="s">
        <v>1534</v>
      </c>
      <c r="C454" s="110" t="s">
        <v>101</v>
      </c>
      <c r="D454" s="112"/>
      <c r="E454" s="110" t="s">
        <v>60</v>
      </c>
      <c r="F454" s="110" t="s">
        <v>72</v>
      </c>
      <c r="G454" s="112"/>
      <c r="H454" s="117" t="s">
        <v>250</v>
      </c>
      <c r="I454" s="117">
        <v>2</v>
      </c>
      <c r="J454" s="110" t="s">
        <v>1537</v>
      </c>
      <c r="K454" s="119">
        <v>25</v>
      </c>
      <c r="L454" s="119">
        <v>1220</v>
      </c>
      <c r="M454" s="110" t="s">
        <v>197</v>
      </c>
      <c r="N454" s="119">
        <v>3.5</v>
      </c>
      <c r="O454" s="113" t="str">
        <f t="shared" si="69"/>
        <v>http://msmary.edu/admissions/financial-aid/scholarships-grants/index.html#Academic_Scholarships</v>
      </c>
      <c r="P454" s="124">
        <v>39000</v>
      </c>
      <c r="Q454" s="114">
        <v>0.67</v>
      </c>
      <c r="R454" s="110" t="s">
        <v>259</v>
      </c>
      <c r="S454" s="110" t="s">
        <v>1536</v>
      </c>
      <c r="T454" s="112"/>
      <c r="U454" s="112">
        <v>3.3</v>
      </c>
      <c r="V454" s="112"/>
      <c r="W454" s="112"/>
      <c r="X454" s="112"/>
      <c r="Y454" s="112"/>
      <c r="Z454" s="112"/>
      <c r="AA454" s="112"/>
    </row>
    <row r="455" spans="1:27" ht="221.25" customHeight="1" x14ac:dyDescent="0.2">
      <c r="A455" s="23" t="s">
        <v>1510</v>
      </c>
      <c r="B455" s="14" t="s">
        <v>1538</v>
      </c>
      <c r="C455" s="14" t="s">
        <v>101</v>
      </c>
      <c r="D455" s="12"/>
      <c r="E455" s="14" t="s">
        <v>88</v>
      </c>
      <c r="F455" s="14" t="s">
        <v>145</v>
      </c>
      <c r="G455" s="12"/>
      <c r="H455" s="17" t="s">
        <v>157</v>
      </c>
      <c r="I455" s="17" t="s">
        <v>74</v>
      </c>
      <c r="J455" s="14" t="s">
        <v>1539</v>
      </c>
      <c r="K455" s="12"/>
      <c r="L455" s="12"/>
      <c r="M455" s="12"/>
      <c r="N455" s="12"/>
      <c r="O455" s="30" t="str">
        <f>HYPERLINK("http://msmary.edu/admissions/financial-aid/scholarships-grants/#Academic_Scholarships","http://msmary.edu/admissions/financial-aid/scholarships-grants/#Academic_Scholarships")</f>
        <v>http://msmary.edu/admissions/financial-aid/scholarships-grants/#Academic_Scholarships</v>
      </c>
      <c r="P455" s="33">
        <v>39000</v>
      </c>
      <c r="Q455" s="93">
        <v>0.67</v>
      </c>
      <c r="R455" s="94" t="s">
        <v>259</v>
      </c>
      <c r="S455" s="26" t="s">
        <v>1540</v>
      </c>
      <c r="T455" s="12"/>
      <c r="U455" s="12">
        <v>3.3</v>
      </c>
      <c r="V455" s="12"/>
      <c r="W455" s="12"/>
      <c r="X455" s="12"/>
      <c r="Y455" s="12"/>
      <c r="Z455" s="12"/>
      <c r="AA455" s="12"/>
    </row>
    <row r="456" spans="1:27" ht="142.5" customHeight="1" x14ac:dyDescent="0.2">
      <c r="A456" s="109" t="s">
        <v>1510</v>
      </c>
      <c r="B456" s="110" t="s">
        <v>1541</v>
      </c>
      <c r="C456" s="110" t="s">
        <v>101</v>
      </c>
      <c r="D456" s="117" t="s">
        <v>1525</v>
      </c>
      <c r="E456" s="110" t="s">
        <v>243</v>
      </c>
      <c r="F456" s="110" t="s">
        <v>72</v>
      </c>
      <c r="G456" s="112"/>
      <c r="H456" s="117" t="s">
        <v>1542</v>
      </c>
      <c r="I456" s="117" t="s">
        <v>74</v>
      </c>
      <c r="J456" s="110" t="s">
        <v>1543</v>
      </c>
      <c r="K456" s="112"/>
      <c r="L456" s="112"/>
      <c r="M456" s="112"/>
      <c r="N456" s="112"/>
      <c r="O456" s="121" t="s">
        <v>1544</v>
      </c>
      <c r="P456" s="124">
        <v>35019</v>
      </c>
      <c r="Q456" s="174">
        <v>0.49</v>
      </c>
      <c r="R456" s="175" t="s">
        <v>364</v>
      </c>
      <c r="S456" s="150" t="s">
        <v>1545</v>
      </c>
      <c r="T456" s="112"/>
      <c r="U456" s="112">
        <v>3.66</v>
      </c>
      <c r="V456" s="112"/>
      <c r="W456" s="112"/>
      <c r="X456" s="112"/>
      <c r="Y456" s="112"/>
      <c r="Z456" s="112"/>
      <c r="AA456" s="112"/>
    </row>
    <row r="457" spans="1:27" ht="142.5" customHeight="1" x14ac:dyDescent="0.2">
      <c r="A457" s="109" t="s">
        <v>1510</v>
      </c>
      <c r="B457" s="110" t="s">
        <v>1541</v>
      </c>
      <c r="C457" s="110" t="s">
        <v>101</v>
      </c>
      <c r="D457" s="112"/>
      <c r="E457" s="110" t="s">
        <v>243</v>
      </c>
      <c r="F457" s="110" t="s">
        <v>72</v>
      </c>
      <c r="G457" s="112"/>
      <c r="H457" s="117" t="s">
        <v>1546</v>
      </c>
      <c r="I457" s="117" t="s">
        <v>74</v>
      </c>
      <c r="J457" s="110" t="s">
        <v>1547</v>
      </c>
      <c r="K457" s="112"/>
      <c r="L457" s="119">
        <v>1350</v>
      </c>
      <c r="M457" s="128" t="s">
        <v>76</v>
      </c>
      <c r="N457" s="119">
        <v>3.7</v>
      </c>
      <c r="O457" s="121" t="s">
        <v>1544</v>
      </c>
      <c r="P457" s="124">
        <v>35019</v>
      </c>
      <c r="Q457" s="174">
        <v>0.49</v>
      </c>
      <c r="R457" s="175" t="s">
        <v>364</v>
      </c>
      <c r="S457" s="150" t="s">
        <v>1545</v>
      </c>
      <c r="T457" s="112"/>
      <c r="U457" s="112">
        <v>3.66</v>
      </c>
      <c r="V457" s="112"/>
      <c r="W457" s="112"/>
      <c r="X457" s="112"/>
      <c r="Y457" s="112"/>
      <c r="Z457" s="112"/>
      <c r="AA457" s="112"/>
    </row>
    <row r="458" spans="1:27" ht="15" customHeight="1" x14ac:dyDescent="0.2">
      <c r="A458" s="23" t="s">
        <v>1510</v>
      </c>
      <c r="B458" s="14" t="s">
        <v>1548</v>
      </c>
      <c r="C458" s="14" t="s">
        <v>101</v>
      </c>
      <c r="D458" s="12"/>
      <c r="E458" s="14" t="s">
        <v>60</v>
      </c>
      <c r="F458" s="14" t="s">
        <v>72</v>
      </c>
      <c r="G458" s="12"/>
      <c r="H458" s="17" t="s">
        <v>239</v>
      </c>
      <c r="I458" s="17" t="s">
        <v>74</v>
      </c>
      <c r="J458" s="56" t="s">
        <v>1549</v>
      </c>
      <c r="K458" s="12"/>
      <c r="L458" s="12"/>
      <c r="M458" s="12"/>
      <c r="N458" s="12"/>
      <c r="O458" s="30" t="str">
        <f>HYPERLINK("http://www.stevenson.edu/admissions-aid/scholarships-financial-aid/types-of-aid/presidential-fellowship/","http://www.stevenson.edu/admissions-aid/scholarships-financial-aid/types-of-aid/presidential-fellowship/")</f>
        <v>http://www.stevenson.edu/admissions-aid/scholarships-financial-aid/types-of-aid/presidential-fellowship/</v>
      </c>
      <c r="P458" s="33">
        <v>33168</v>
      </c>
      <c r="Q458" s="93">
        <v>0.6</v>
      </c>
      <c r="R458" s="23" t="s">
        <v>385</v>
      </c>
      <c r="S458" s="23" t="s">
        <v>1550</v>
      </c>
      <c r="T458" s="12"/>
      <c r="U458" s="12">
        <v>3.4</v>
      </c>
      <c r="V458" s="12"/>
      <c r="W458" s="12"/>
      <c r="X458" s="12"/>
      <c r="Y458" s="12"/>
      <c r="Z458" s="12"/>
      <c r="AA458" s="12"/>
    </row>
    <row r="459" spans="1:27" ht="15" customHeight="1" x14ac:dyDescent="0.2">
      <c r="A459" s="23" t="s">
        <v>1510</v>
      </c>
      <c r="B459" s="14" t="s">
        <v>1551</v>
      </c>
      <c r="C459" s="14" t="s">
        <v>59</v>
      </c>
      <c r="D459" s="14"/>
      <c r="E459" s="14" t="s">
        <v>111</v>
      </c>
      <c r="F459" s="14" t="s">
        <v>72</v>
      </c>
      <c r="G459" s="12"/>
      <c r="H459" s="17" t="s">
        <v>1552</v>
      </c>
      <c r="I459" s="17" t="s">
        <v>74</v>
      </c>
      <c r="J459" s="56" t="s">
        <v>1553</v>
      </c>
      <c r="K459" s="12"/>
      <c r="L459" s="12"/>
      <c r="M459" s="12"/>
      <c r="N459" s="12"/>
      <c r="O459" s="30" t="str">
        <f>HYPERLINK("http://www.usna.edu/Student-Life/General-Information-for-Midshipmen.php","http://www.usna.edu/Student-Life/General-Information-for-Midshipmen.php")</f>
        <v>http://www.usna.edu/Student-Life/General-Information-for-Midshipmen.php</v>
      </c>
      <c r="P459" s="33" t="s">
        <v>81</v>
      </c>
      <c r="Q459" s="25">
        <v>0.09</v>
      </c>
      <c r="R459" s="34" t="s">
        <v>109</v>
      </c>
      <c r="S459" s="34" t="s">
        <v>1554</v>
      </c>
      <c r="T459" s="12"/>
      <c r="U459" s="12" t="s">
        <v>81</v>
      </c>
      <c r="V459" s="12"/>
      <c r="W459" s="12"/>
      <c r="X459" s="12"/>
      <c r="Y459" s="12"/>
      <c r="Z459" s="12"/>
      <c r="AA459" s="12"/>
    </row>
    <row r="460" spans="1:27" ht="174" customHeight="1" x14ac:dyDescent="0.2">
      <c r="A460" s="109" t="s">
        <v>1510</v>
      </c>
      <c r="B460" s="110" t="s">
        <v>1555</v>
      </c>
      <c r="C460" s="110" t="s">
        <v>59</v>
      </c>
      <c r="D460" s="112"/>
      <c r="E460" s="110" t="s">
        <v>724</v>
      </c>
      <c r="F460" s="128" t="s">
        <v>145</v>
      </c>
      <c r="G460" s="112"/>
      <c r="H460" s="117" t="s">
        <v>157</v>
      </c>
      <c r="I460" s="117" t="s">
        <v>74</v>
      </c>
      <c r="J460" s="110" t="s">
        <v>1556</v>
      </c>
      <c r="K460" s="112"/>
      <c r="L460" s="112"/>
      <c r="M460" s="112"/>
      <c r="N460" s="112"/>
      <c r="O460" s="121" t="s">
        <v>1557</v>
      </c>
      <c r="P460" s="110" t="s">
        <v>1558</v>
      </c>
      <c r="Q460" s="114">
        <v>0.45</v>
      </c>
      <c r="R460" s="110" t="s">
        <v>109</v>
      </c>
      <c r="S460" s="110" t="s">
        <v>1559</v>
      </c>
      <c r="T460" s="112"/>
      <c r="U460" s="112">
        <v>4.22</v>
      </c>
      <c r="V460" s="112"/>
      <c r="W460" s="112"/>
      <c r="X460" s="112"/>
      <c r="Y460" s="112"/>
      <c r="Z460" s="112"/>
      <c r="AA460" s="112"/>
    </row>
    <row r="461" spans="1:27" ht="322" x14ac:dyDescent="0.2">
      <c r="A461" s="23" t="s">
        <v>1510</v>
      </c>
      <c r="B461" s="14" t="s">
        <v>1555</v>
      </c>
      <c r="C461" s="14" t="s">
        <v>59</v>
      </c>
      <c r="D461" s="14"/>
      <c r="E461" s="14" t="s">
        <v>302</v>
      </c>
      <c r="F461" s="14" t="s">
        <v>72</v>
      </c>
      <c r="G461" s="12"/>
      <c r="H461" s="17" t="s">
        <v>1560</v>
      </c>
      <c r="I461" s="17" t="s">
        <v>1561</v>
      </c>
      <c r="J461" s="81" t="s">
        <v>1562</v>
      </c>
      <c r="K461" s="12"/>
      <c r="L461" s="12"/>
      <c r="M461" s="12"/>
      <c r="N461" s="12"/>
      <c r="O461" s="19" t="s">
        <v>1563</v>
      </c>
      <c r="P461" s="14" t="s">
        <v>1558</v>
      </c>
      <c r="Q461" s="25">
        <v>0.45</v>
      </c>
      <c r="R461" s="14" t="s">
        <v>109</v>
      </c>
      <c r="S461" s="14" t="s">
        <v>1559</v>
      </c>
      <c r="T461" s="12"/>
      <c r="U461" s="12">
        <v>4.22</v>
      </c>
      <c r="V461" s="12"/>
      <c r="W461" s="12"/>
      <c r="X461" s="12"/>
      <c r="Y461" s="12"/>
      <c r="Z461" s="12"/>
      <c r="AA461" s="12"/>
    </row>
    <row r="462" spans="1:27" ht="77.25" customHeight="1" x14ac:dyDescent="0.2">
      <c r="A462" s="20" t="s">
        <v>1510</v>
      </c>
      <c r="B462" s="20" t="s">
        <v>1564</v>
      </c>
      <c r="C462" s="20" t="s">
        <v>59</v>
      </c>
      <c r="D462" s="20" t="s">
        <v>74</v>
      </c>
      <c r="E462" s="20" t="s">
        <v>111</v>
      </c>
      <c r="F462" s="142" t="s">
        <v>145</v>
      </c>
      <c r="G462" s="12"/>
      <c r="H462" s="17" t="s">
        <v>157</v>
      </c>
      <c r="I462" s="17" t="s">
        <v>63</v>
      </c>
      <c r="J462" s="131" t="s">
        <v>1565</v>
      </c>
      <c r="K462" s="20"/>
      <c r="L462" s="20"/>
      <c r="M462" s="20"/>
      <c r="N462" s="20"/>
      <c r="O462" s="133" t="s">
        <v>1566</v>
      </c>
      <c r="P462" s="179" t="s">
        <v>1567</v>
      </c>
      <c r="Q462" s="21">
        <v>0.43</v>
      </c>
      <c r="R462" s="20" t="s">
        <v>148</v>
      </c>
      <c r="S462" s="135" t="s">
        <v>1568</v>
      </c>
      <c r="T462" s="12"/>
      <c r="U462" s="12"/>
      <c r="V462" s="12"/>
      <c r="W462" s="12"/>
      <c r="X462" s="12"/>
      <c r="Y462" s="12"/>
      <c r="Z462" s="12"/>
      <c r="AA462" s="12"/>
    </row>
    <row r="463" spans="1:27" ht="77.25" customHeight="1" x14ac:dyDescent="0.2">
      <c r="A463" s="23" t="s">
        <v>1510</v>
      </c>
      <c r="B463" s="14" t="s">
        <v>1569</v>
      </c>
      <c r="C463" s="14" t="s">
        <v>101</v>
      </c>
      <c r="D463" s="12"/>
      <c r="E463" s="14" t="s">
        <v>60</v>
      </c>
      <c r="F463" s="14" t="s">
        <v>92</v>
      </c>
      <c r="G463" s="12"/>
      <c r="H463" s="17" t="s">
        <v>93</v>
      </c>
      <c r="I463" s="17" t="s">
        <v>63</v>
      </c>
      <c r="J463" s="14" t="s">
        <v>1570</v>
      </c>
      <c r="K463" s="12"/>
      <c r="L463" s="12"/>
      <c r="M463" s="12"/>
      <c r="N463" s="12"/>
      <c r="O463" s="30" t="str">
        <f>HYPERLINK("https://www.wau.edu/student-financial-services/scholarships","https://www.wau.edu/student-financial-services/scholarships")</f>
        <v>https://www.wau.edu/student-financial-services/scholarships</v>
      </c>
      <c r="P463" s="33">
        <v>23400</v>
      </c>
      <c r="Q463" s="25">
        <v>0.44900000000000001</v>
      </c>
      <c r="R463" s="14" t="s">
        <v>148</v>
      </c>
      <c r="S463" s="34" t="s">
        <v>1184</v>
      </c>
      <c r="T463" s="12"/>
      <c r="U463" s="12" t="s">
        <v>81</v>
      </c>
      <c r="V463" s="12"/>
      <c r="W463" s="12"/>
      <c r="X463" s="12"/>
      <c r="Y463" s="12"/>
      <c r="Z463" s="12"/>
      <c r="AA463" s="12"/>
    </row>
    <row r="464" spans="1:27" ht="75.75" customHeight="1" x14ac:dyDescent="0.2">
      <c r="A464" s="39" t="s">
        <v>1571</v>
      </c>
      <c r="B464" s="40" t="s">
        <v>1572</v>
      </c>
      <c r="C464" s="53" t="s">
        <v>59</v>
      </c>
      <c r="D464" s="53"/>
      <c r="E464" s="40" t="s">
        <v>60</v>
      </c>
      <c r="F464" s="40" t="s">
        <v>680</v>
      </c>
      <c r="G464" s="40"/>
      <c r="H464" s="69" t="s">
        <v>93</v>
      </c>
      <c r="I464" s="69" t="s">
        <v>63</v>
      </c>
      <c r="J464" s="40" t="s">
        <v>1573</v>
      </c>
      <c r="K464" s="40"/>
      <c r="L464" s="40"/>
      <c r="M464" s="40"/>
      <c r="N464" s="40"/>
      <c r="O464" s="30" t="str">
        <f>HYPERLINK("https://go.umaine.edu/apply/scholarships/maine-matters/","https://go.umaine.edu/apply/scholarships/maine-matters/")</f>
        <v>https://go.umaine.edu/apply/scholarships/maine-matters/</v>
      </c>
      <c r="P464" s="53" t="s">
        <v>1574</v>
      </c>
      <c r="Q464" s="99">
        <v>0.91</v>
      </c>
      <c r="R464" s="53" t="s">
        <v>364</v>
      </c>
      <c r="S464" s="53" t="s">
        <v>1575</v>
      </c>
      <c r="T464" s="40"/>
      <c r="U464" s="40">
        <v>3.27</v>
      </c>
      <c r="V464" s="40"/>
      <c r="W464" s="40"/>
      <c r="X464" s="40"/>
      <c r="Y464" s="40"/>
      <c r="Z464" s="40"/>
      <c r="AA464" s="40"/>
    </row>
    <row r="465" spans="1:27" ht="174" customHeight="1" x14ac:dyDescent="0.2">
      <c r="A465" s="23" t="s">
        <v>1576</v>
      </c>
      <c r="B465" s="14" t="s">
        <v>1577</v>
      </c>
      <c r="C465" s="14" t="s">
        <v>101</v>
      </c>
      <c r="D465" s="12"/>
      <c r="E465" s="14" t="s">
        <v>238</v>
      </c>
      <c r="F465" s="16" t="s">
        <v>680</v>
      </c>
      <c r="G465" s="12"/>
      <c r="H465" s="17" t="s">
        <v>1578</v>
      </c>
      <c r="I465" s="17" t="s">
        <v>74</v>
      </c>
      <c r="J465" s="14" t="s">
        <v>1579</v>
      </c>
      <c r="K465" s="12"/>
      <c r="L465" s="12"/>
      <c r="M465" s="12"/>
      <c r="N465" s="12"/>
      <c r="O465" s="19" t="s">
        <v>1580</v>
      </c>
      <c r="P465" s="33">
        <v>37310</v>
      </c>
      <c r="Q465" s="58">
        <v>0.68</v>
      </c>
      <c r="R465" s="34" t="s">
        <v>182</v>
      </c>
      <c r="S465" s="34" t="s">
        <v>1581</v>
      </c>
      <c r="T465" s="12"/>
      <c r="U465" s="12">
        <v>3.5</v>
      </c>
      <c r="V465" s="12"/>
      <c r="W465" s="12"/>
      <c r="X465" s="12"/>
      <c r="Y465" s="12"/>
      <c r="Z465" s="12"/>
      <c r="AA465" s="12"/>
    </row>
    <row r="466" spans="1:27" ht="176" x14ac:dyDescent="0.2">
      <c r="A466" s="23" t="s">
        <v>1576</v>
      </c>
      <c r="B466" s="14" t="s">
        <v>1582</v>
      </c>
      <c r="C466" s="14" t="s">
        <v>101</v>
      </c>
      <c r="D466" s="12"/>
      <c r="E466" s="14" t="s">
        <v>60</v>
      </c>
      <c r="F466" s="14" t="s">
        <v>61</v>
      </c>
      <c r="G466" s="12"/>
      <c r="H466" s="17" t="s">
        <v>1583</v>
      </c>
      <c r="I466" s="17" t="s">
        <v>63</v>
      </c>
      <c r="J466" s="14" t="s">
        <v>1584</v>
      </c>
      <c r="K466" s="24">
        <v>34</v>
      </c>
      <c r="L466" s="24">
        <v>1520</v>
      </c>
      <c r="M466" s="16" t="s">
        <v>76</v>
      </c>
      <c r="N466" s="12"/>
      <c r="O466" s="30" t="str">
        <f t="shared" ref="O466:O467" si="70">HYPERLINK("https://www.andrews.edu/undergrad/finances/help/scholarships/","https://www.andrews.edu/undergrad/finances/help/scholarships/")</f>
        <v>https://www.andrews.edu/undergrad/finances/help/scholarships/</v>
      </c>
      <c r="P466" s="33">
        <v>27684</v>
      </c>
      <c r="Q466" s="25">
        <v>0.39</v>
      </c>
      <c r="R466" s="14" t="s">
        <v>973</v>
      </c>
      <c r="S466" s="14" t="s">
        <v>1585</v>
      </c>
      <c r="T466" s="12"/>
      <c r="U466" s="12">
        <v>3.52</v>
      </c>
      <c r="V466" s="12"/>
      <c r="W466" s="12"/>
      <c r="X466" s="12"/>
      <c r="Y466" s="12"/>
      <c r="Z466" s="12"/>
      <c r="AA466" s="12"/>
    </row>
    <row r="467" spans="1:27" ht="176" x14ac:dyDescent="0.2">
      <c r="A467" s="23" t="s">
        <v>1576</v>
      </c>
      <c r="B467" s="14" t="s">
        <v>1582</v>
      </c>
      <c r="C467" s="14" t="s">
        <v>101</v>
      </c>
      <c r="D467" s="12"/>
      <c r="E467" s="14" t="s">
        <v>60</v>
      </c>
      <c r="F467" s="14" t="s">
        <v>92</v>
      </c>
      <c r="G467" s="12"/>
      <c r="H467" s="17" t="s">
        <v>1578</v>
      </c>
      <c r="I467" s="17" t="s">
        <v>63</v>
      </c>
      <c r="J467" s="14" t="s">
        <v>1586</v>
      </c>
      <c r="K467" s="12"/>
      <c r="L467" s="12"/>
      <c r="M467" s="12"/>
      <c r="N467" s="12"/>
      <c r="O467" s="30" t="str">
        <f t="shared" si="70"/>
        <v>https://www.andrews.edu/undergrad/finances/help/scholarships/</v>
      </c>
      <c r="P467" s="33">
        <v>27684</v>
      </c>
      <c r="Q467" s="25">
        <v>0.39</v>
      </c>
      <c r="R467" s="14" t="s">
        <v>973</v>
      </c>
      <c r="S467" s="14" t="s">
        <v>1585</v>
      </c>
      <c r="T467" s="12"/>
      <c r="U467" s="12">
        <v>3.52</v>
      </c>
      <c r="V467" s="12"/>
      <c r="W467" s="12"/>
      <c r="X467" s="12"/>
      <c r="Y467" s="12"/>
      <c r="Z467" s="12"/>
      <c r="AA467" s="12"/>
    </row>
    <row r="468" spans="1:27" ht="181" x14ac:dyDescent="0.2">
      <c r="A468" s="23" t="s">
        <v>1576</v>
      </c>
      <c r="B468" s="14" t="s">
        <v>1587</v>
      </c>
      <c r="C468" s="14" t="s">
        <v>101</v>
      </c>
      <c r="D468" s="12"/>
      <c r="E468" s="14" t="s">
        <v>238</v>
      </c>
      <c r="F468" s="14" t="s">
        <v>61</v>
      </c>
      <c r="G468" s="12"/>
      <c r="H468" s="17" t="s">
        <v>553</v>
      </c>
      <c r="I468" s="17" t="s">
        <v>74</v>
      </c>
      <c r="J468" s="56" t="s">
        <v>1588</v>
      </c>
      <c r="K468" s="12"/>
      <c r="L468" s="12"/>
      <c r="M468" s="12"/>
      <c r="N468" s="12"/>
      <c r="O468" s="30" t="str">
        <f t="shared" ref="O468:O471" si="71">HYPERLINK("https://www.aquinas.edu/admissions/undergraduate/tuition-fees-financial-aid/scholarships#spectrum","https://www.aquinas.edu/admissions/undergraduate/tuition-fees-financial-aid/scholarships#spectrum")</f>
        <v>https://www.aquinas.edu/admissions/undergraduate/tuition-fees-financial-aid/scholarships#spectrum</v>
      </c>
      <c r="P468" s="33">
        <v>30062</v>
      </c>
      <c r="Q468" s="25">
        <v>0.72</v>
      </c>
      <c r="R468" s="14" t="s">
        <v>565</v>
      </c>
      <c r="S468" s="14" t="s">
        <v>878</v>
      </c>
      <c r="T468" s="12"/>
      <c r="U468" s="12">
        <v>3.48</v>
      </c>
      <c r="V468" s="12"/>
      <c r="W468" s="12"/>
      <c r="X468" s="12"/>
      <c r="Y468" s="12"/>
      <c r="Z468" s="12"/>
      <c r="AA468" s="12"/>
    </row>
    <row r="469" spans="1:27" ht="145" x14ac:dyDescent="0.2">
      <c r="A469" s="23" t="s">
        <v>1576</v>
      </c>
      <c r="B469" s="14" t="s">
        <v>1587</v>
      </c>
      <c r="C469" s="14" t="s">
        <v>101</v>
      </c>
      <c r="D469" s="12"/>
      <c r="E469" s="14" t="s">
        <v>60</v>
      </c>
      <c r="F469" s="14" t="s">
        <v>72</v>
      </c>
      <c r="G469" s="12"/>
      <c r="H469" s="17" t="s">
        <v>454</v>
      </c>
      <c r="I469" s="17">
        <v>1</v>
      </c>
      <c r="J469" s="56" t="s">
        <v>1589</v>
      </c>
      <c r="K469" s="12"/>
      <c r="L469" s="12"/>
      <c r="M469" s="12"/>
      <c r="N469" s="12"/>
      <c r="O469" s="30" t="str">
        <f t="shared" si="71"/>
        <v>https://www.aquinas.edu/admissions/undergraduate/tuition-fees-financial-aid/scholarships#spectrum</v>
      </c>
      <c r="P469" s="33">
        <v>30062</v>
      </c>
      <c r="Q469" s="25">
        <v>0.72</v>
      </c>
      <c r="R469" s="14" t="s">
        <v>565</v>
      </c>
      <c r="S469" s="14" t="s">
        <v>878</v>
      </c>
      <c r="T469" s="12"/>
      <c r="U469" s="12">
        <v>3.48</v>
      </c>
      <c r="V469" s="12"/>
      <c r="W469" s="12"/>
      <c r="X469" s="12"/>
      <c r="Y469" s="12"/>
      <c r="Z469" s="12"/>
      <c r="AA469" s="12"/>
    </row>
    <row r="470" spans="1:27" ht="157" x14ac:dyDescent="0.2">
      <c r="A470" s="23" t="s">
        <v>1576</v>
      </c>
      <c r="B470" s="14" t="s">
        <v>1587</v>
      </c>
      <c r="C470" s="14" t="s">
        <v>101</v>
      </c>
      <c r="D470" s="12"/>
      <c r="E470" s="14" t="s">
        <v>88</v>
      </c>
      <c r="F470" s="14" t="s">
        <v>72</v>
      </c>
      <c r="G470" s="12"/>
      <c r="H470" s="17" t="s">
        <v>454</v>
      </c>
      <c r="I470" s="17">
        <v>1</v>
      </c>
      <c r="J470" s="56" t="s">
        <v>1590</v>
      </c>
      <c r="K470" s="12"/>
      <c r="L470" s="12"/>
      <c r="M470" s="12"/>
      <c r="N470" s="12"/>
      <c r="O470" s="30" t="str">
        <f t="shared" si="71"/>
        <v>https://www.aquinas.edu/admissions/undergraduate/tuition-fees-financial-aid/scholarships#spectrum</v>
      </c>
      <c r="P470" s="33">
        <v>30062</v>
      </c>
      <c r="Q470" s="25">
        <v>0.72</v>
      </c>
      <c r="R470" s="14" t="s">
        <v>565</v>
      </c>
      <c r="S470" s="14" t="s">
        <v>878</v>
      </c>
      <c r="T470" s="12"/>
      <c r="U470" s="12">
        <v>3.48</v>
      </c>
      <c r="V470" s="12"/>
      <c r="W470" s="12"/>
      <c r="X470" s="12"/>
      <c r="Y470" s="12"/>
      <c r="Z470" s="12"/>
      <c r="AA470" s="12"/>
    </row>
    <row r="471" spans="1:27" ht="252.75" customHeight="1" x14ac:dyDescent="0.2">
      <c r="A471" s="23" t="s">
        <v>1576</v>
      </c>
      <c r="B471" s="14" t="s">
        <v>1587</v>
      </c>
      <c r="C471" s="14" t="s">
        <v>101</v>
      </c>
      <c r="D471" s="12"/>
      <c r="E471" s="14" t="s">
        <v>60</v>
      </c>
      <c r="F471" s="14" t="s">
        <v>72</v>
      </c>
      <c r="G471" s="12"/>
      <c r="H471" s="17" t="s">
        <v>62</v>
      </c>
      <c r="I471" s="17">
        <v>3</v>
      </c>
      <c r="J471" s="14" t="s">
        <v>1591</v>
      </c>
      <c r="K471" s="12"/>
      <c r="L471" s="12"/>
      <c r="M471" s="12"/>
      <c r="N471" s="12"/>
      <c r="O471" s="30" t="str">
        <f t="shared" si="71"/>
        <v>https://www.aquinas.edu/admissions/undergraduate/tuition-fees-financial-aid/scholarships#spectrum</v>
      </c>
      <c r="P471" s="33">
        <v>30062</v>
      </c>
      <c r="Q471" s="25">
        <v>0.72</v>
      </c>
      <c r="R471" s="14" t="s">
        <v>565</v>
      </c>
      <c r="S471" s="14" t="s">
        <v>878</v>
      </c>
      <c r="T471" s="12"/>
      <c r="U471" s="12">
        <v>3.48</v>
      </c>
      <c r="V471" s="12"/>
      <c r="W471" s="12"/>
      <c r="X471" s="12"/>
      <c r="Y471" s="12"/>
      <c r="Z471" s="12"/>
      <c r="AA471" s="12"/>
    </row>
    <row r="472" spans="1:27" ht="174" customHeight="1" x14ac:dyDescent="0.2">
      <c r="A472" s="23" t="s">
        <v>1576</v>
      </c>
      <c r="B472" s="14" t="s">
        <v>1592</v>
      </c>
      <c r="C472" s="14" t="s">
        <v>59</v>
      </c>
      <c r="D472" s="12"/>
      <c r="E472" s="14" t="s">
        <v>60</v>
      </c>
      <c r="F472" s="14" t="s">
        <v>72</v>
      </c>
      <c r="G472" s="12"/>
      <c r="H472" s="17" t="s">
        <v>62</v>
      </c>
      <c r="I472" s="17">
        <v>130</v>
      </c>
      <c r="J472" s="14" t="s">
        <v>1593</v>
      </c>
      <c r="K472" s="17">
        <v>27</v>
      </c>
      <c r="L472" s="17">
        <v>1250</v>
      </c>
      <c r="M472" s="17" t="s">
        <v>76</v>
      </c>
      <c r="N472" s="17">
        <v>3.7</v>
      </c>
      <c r="O472" s="30" t="str">
        <f>HYPERLINK("https://www.cmich.edu/ess/OSFA/Pages/CMU_Scholarships.aspx","https://www.cmich.edu/ess/OSFA/Pages/CMU_Scholarships.aspx")</f>
        <v>https://www.cmich.edu/ess/OSFA/Pages/CMU_Scholarships.aspx</v>
      </c>
      <c r="P472" s="14" t="s">
        <v>1594</v>
      </c>
      <c r="Q472" s="25">
        <v>0.69</v>
      </c>
      <c r="R472" s="14" t="s">
        <v>124</v>
      </c>
      <c r="S472" s="14" t="s">
        <v>1595</v>
      </c>
      <c r="T472" s="12"/>
      <c r="U472" s="12">
        <v>3.37</v>
      </c>
      <c r="V472" s="12"/>
      <c r="W472" s="12"/>
      <c r="X472" s="12"/>
      <c r="Y472" s="12"/>
      <c r="Z472" s="12"/>
      <c r="AA472" s="12"/>
    </row>
    <row r="473" spans="1:27" ht="96" x14ac:dyDescent="0.2">
      <c r="A473" s="23" t="s">
        <v>1576</v>
      </c>
      <c r="B473" s="14" t="s">
        <v>1592</v>
      </c>
      <c r="C473" s="14" t="s">
        <v>59</v>
      </c>
      <c r="D473" s="12"/>
      <c r="E473" s="14" t="s">
        <v>111</v>
      </c>
      <c r="F473" s="14" t="s">
        <v>72</v>
      </c>
      <c r="G473" s="12"/>
      <c r="H473" s="17" t="s">
        <v>1596</v>
      </c>
      <c r="I473" s="17">
        <v>2</v>
      </c>
      <c r="J473" s="14" t="s">
        <v>1597</v>
      </c>
      <c r="K473" s="24">
        <v>18</v>
      </c>
      <c r="L473" s="18">
        <v>940</v>
      </c>
      <c r="M473" s="16" t="s">
        <v>76</v>
      </c>
      <c r="N473" s="24">
        <v>3</v>
      </c>
      <c r="O473" s="30" t="str">
        <f>HYPERLINK("https://www.cmich.edu/admissions/undergrad/incoming/Pages/Scholarships.aspx","https://www.cmich.edu/admissions/undergrad/incoming/Pages/Scholarships.aspx")</f>
        <v>https://www.cmich.edu/admissions/undergrad/incoming/Pages/Scholarships.aspx</v>
      </c>
      <c r="P473" s="14" t="s">
        <v>1594</v>
      </c>
      <c r="Q473" s="25">
        <v>0.69</v>
      </c>
      <c r="R473" s="14" t="s">
        <v>124</v>
      </c>
      <c r="S473" s="14" t="s">
        <v>1595</v>
      </c>
      <c r="T473" s="12"/>
      <c r="U473" s="12">
        <v>3.37</v>
      </c>
      <c r="V473" s="12"/>
      <c r="W473" s="12"/>
      <c r="X473" s="12"/>
      <c r="Y473" s="12"/>
      <c r="Z473" s="12"/>
      <c r="AA473" s="12"/>
    </row>
    <row r="474" spans="1:27" ht="142.5" customHeight="1" x14ac:dyDescent="0.2">
      <c r="A474" s="23" t="s">
        <v>1576</v>
      </c>
      <c r="B474" s="14" t="s">
        <v>1592</v>
      </c>
      <c r="C474" s="14" t="s">
        <v>59</v>
      </c>
      <c r="D474" s="12"/>
      <c r="E474" s="14" t="s">
        <v>111</v>
      </c>
      <c r="F474" s="14" t="s">
        <v>72</v>
      </c>
      <c r="G474" s="12"/>
      <c r="H474" s="17" t="s">
        <v>62</v>
      </c>
      <c r="I474" s="17">
        <v>20</v>
      </c>
      <c r="J474" s="14" t="s">
        <v>1598</v>
      </c>
      <c r="K474" s="24">
        <v>27</v>
      </c>
      <c r="L474" s="18">
        <v>1250</v>
      </c>
      <c r="M474" s="16" t="s">
        <v>76</v>
      </c>
      <c r="N474" s="24">
        <v>3.7</v>
      </c>
      <c r="O474" s="30" t="str">
        <f>HYPERLINK("https://www.cmich.edu/ess/OSFA/Pages/CMU_Scholarships.aspx","https://www.cmich.edu/ess/OSFA/Pages/CMU_Scholarships.aspx")</f>
        <v>https://www.cmich.edu/ess/OSFA/Pages/CMU_Scholarships.aspx</v>
      </c>
      <c r="P474" s="14" t="s">
        <v>1594</v>
      </c>
      <c r="Q474" s="25">
        <v>0.69</v>
      </c>
      <c r="R474" s="14" t="s">
        <v>124</v>
      </c>
      <c r="S474" s="14" t="s">
        <v>1595</v>
      </c>
      <c r="T474" s="12"/>
      <c r="U474" s="12">
        <v>3.37</v>
      </c>
      <c r="V474" s="12"/>
      <c r="W474" s="12"/>
      <c r="X474" s="12"/>
      <c r="Y474" s="12"/>
      <c r="Z474" s="12"/>
      <c r="AA474" s="12"/>
    </row>
    <row r="475" spans="1:27" ht="158.25" customHeight="1" x14ac:dyDescent="0.2">
      <c r="A475" s="23" t="s">
        <v>1576</v>
      </c>
      <c r="B475" s="14" t="s">
        <v>1599</v>
      </c>
      <c r="C475" s="14" t="s">
        <v>59</v>
      </c>
      <c r="D475" s="17" t="s">
        <v>1600</v>
      </c>
      <c r="E475" s="14" t="s">
        <v>1601</v>
      </c>
      <c r="F475" s="16" t="s">
        <v>72</v>
      </c>
      <c r="G475" s="12"/>
      <c r="H475" s="17" t="s">
        <v>1602</v>
      </c>
      <c r="I475" s="17" t="s">
        <v>74</v>
      </c>
      <c r="J475" s="14" t="s">
        <v>1603</v>
      </c>
      <c r="K475" s="24">
        <v>20</v>
      </c>
      <c r="L475" s="12">
        <v>1020</v>
      </c>
      <c r="M475" s="17" t="s">
        <v>197</v>
      </c>
      <c r="N475" s="24">
        <v>3</v>
      </c>
      <c r="O475" s="19" t="s">
        <v>1604</v>
      </c>
      <c r="P475" s="14" t="s">
        <v>1605</v>
      </c>
      <c r="Q475" s="25">
        <v>0.75</v>
      </c>
      <c r="R475" s="14" t="s">
        <v>130</v>
      </c>
      <c r="S475" s="14" t="s">
        <v>1606</v>
      </c>
      <c r="T475" s="12"/>
      <c r="U475" s="12">
        <v>3.3</v>
      </c>
      <c r="V475" s="12"/>
      <c r="W475" s="12"/>
      <c r="X475" s="12"/>
      <c r="Y475" s="12"/>
      <c r="Z475" s="12"/>
      <c r="AA475" s="12"/>
    </row>
    <row r="476" spans="1:27" ht="111" customHeight="1" x14ac:dyDescent="0.2">
      <c r="A476" s="23" t="s">
        <v>1576</v>
      </c>
      <c r="B476" s="14" t="s">
        <v>1599</v>
      </c>
      <c r="C476" s="14" t="s">
        <v>59</v>
      </c>
      <c r="D476" s="12"/>
      <c r="E476" s="14" t="s">
        <v>111</v>
      </c>
      <c r="F476" s="14" t="s">
        <v>72</v>
      </c>
      <c r="G476" s="12"/>
      <c r="H476" s="17" t="s">
        <v>837</v>
      </c>
      <c r="I476" s="17">
        <v>21</v>
      </c>
      <c r="J476" s="16" t="s">
        <v>1607</v>
      </c>
      <c r="K476" s="17">
        <v>25</v>
      </c>
      <c r="L476" s="17">
        <v>1200</v>
      </c>
      <c r="M476" s="17" t="s">
        <v>197</v>
      </c>
      <c r="N476" s="17">
        <v>3.5</v>
      </c>
      <c r="O476" s="19" t="s">
        <v>1604</v>
      </c>
      <c r="P476" s="14" t="s">
        <v>1605</v>
      </c>
      <c r="Q476" s="25">
        <v>0.75</v>
      </c>
      <c r="R476" s="14" t="s">
        <v>130</v>
      </c>
      <c r="S476" s="14" t="s">
        <v>1606</v>
      </c>
      <c r="T476" s="12"/>
      <c r="U476" s="12">
        <v>3.3</v>
      </c>
      <c r="V476" s="12"/>
      <c r="W476" s="12"/>
      <c r="X476" s="12"/>
      <c r="Y476" s="12"/>
      <c r="Z476" s="12"/>
      <c r="AA476" s="12"/>
    </row>
    <row r="477" spans="1:27" ht="268.5" customHeight="1" x14ac:dyDescent="0.2">
      <c r="A477" s="23" t="s">
        <v>1576</v>
      </c>
      <c r="B477" s="14" t="s">
        <v>1608</v>
      </c>
      <c r="C477" s="14" t="s">
        <v>59</v>
      </c>
      <c r="D477" s="14"/>
      <c r="E477" s="14" t="s">
        <v>60</v>
      </c>
      <c r="F477" s="14" t="s">
        <v>72</v>
      </c>
      <c r="G477" s="12"/>
      <c r="H477" s="17" t="s">
        <v>1609</v>
      </c>
      <c r="I477" s="17" t="s">
        <v>74</v>
      </c>
      <c r="J477" s="14" t="s">
        <v>1610</v>
      </c>
      <c r="K477" s="24">
        <v>27</v>
      </c>
      <c r="L477" s="12">
        <v>1290</v>
      </c>
      <c r="M477" s="17" t="s">
        <v>76</v>
      </c>
      <c r="N477" s="24">
        <v>3.5</v>
      </c>
      <c r="O477" s="30" t="str">
        <f>HYPERLINK("https://gvsu.academicworks.com/opportunities/3002","https://gvsu.academicworks.com/opportunities/3002")</f>
        <v>https://gvsu.academicworks.com/opportunities/3002</v>
      </c>
      <c r="P477" s="14" t="s">
        <v>1611</v>
      </c>
      <c r="Q477" s="31">
        <v>0.81</v>
      </c>
      <c r="R477" s="26" t="s">
        <v>565</v>
      </c>
      <c r="S477" s="26" t="s">
        <v>1184</v>
      </c>
      <c r="T477" s="12"/>
      <c r="U477" s="12">
        <v>3.5</v>
      </c>
      <c r="V477" s="12"/>
      <c r="W477" s="12"/>
      <c r="X477" s="12"/>
      <c r="Y477" s="12"/>
      <c r="Z477" s="12"/>
      <c r="AA477" s="12"/>
    </row>
    <row r="478" spans="1:27" ht="169" x14ac:dyDescent="0.2">
      <c r="A478" s="23" t="s">
        <v>1576</v>
      </c>
      <c r="B478" s="14" t="s">
        <v>1612</v>
      </c>
      <c r="C478" s="14" t="s">
        <v>101</v>
      </c>
      <c r="D478" s="12"/>
      <c r="E478" s="14" t="s">
        <v>1613</v>
      </c>
      <c r="F478" s="14" t="s">
        <v>72</v>
      </c>
      <c r="G478" s="12"/>
      <c r="H478" s="17" t="s">
        <v>553</v>
      </c>
      <c r="I478" s="17" t="s">
        <v>74</v>
      </c>
      <c r="J478" s="56" t="s">
        <v>1614</v>
      </c>
      <c r="K478" s="12"/>
      <c r="L478" s="12"/>
      <c r="M478" s="12"/>
      <c r="N478" s="12"/>
      <c r="O478" s="30" t="str">
        <f>HYPERLINK("http://www.hillsdale.edu/aid/scholarships","http://www.hillsdale.edu/aid/scholarships")</f>
        <v>http://www.hillsdale.edu/aid/scholarships</v>
      </c>
      <c r="P478" s="33">
        <v>25522</v>
      </c>
      <c r="Q478" s="58">
        <v>0.5</v>
      </c>
      <c r="R478" s="34" t="s">
        <v>616</v>
      </c>
      <c r="S478" s="34" t="s">
        <v>1615</v>
      </c>
      <c r="T478" s="12"/>
      <c r="U478" s="12">
        <v>3.81</v>
      </c>
      <c r="V478" s="12"/>
      <c r="W478" s="12"/>
      <c r="X478" s="12"/>
      <c r="Y478" s="12"/>
      <c r="Z478" s="12"/>
      <c r="AA478" s="12"/>
    </row>
    <row r="479" spans="1:27" ht="182" x14ac:dyDescent="0.2">
      <c r="A479" s="109" t="s">
        <v>1576</v>
      </c>
      <c r="B479" s="110" t="s">
        <v>1616</v>
      </c>
      <c r="C479" s="110" t="s">
        <v>59</v>
      </c>
      <c r="D479" s="112"/>
      <c r="E479" s="110" t="s">
        <v>177</v>
      </c>
      <c r="F479" s="110" t="s">
        <v>72</v>
      </c>
      <c r="G479" s="112"/>
      <c r="H479" s="117" t="s">
        <v>62</v>
      </c>
      <c r="I479" s="117" t="s">
        <v>1228</v>
      </c>
      <c r="J479" s="180" t="s">
        <v>1617</v>
      </c>
      <c r="K479" s="112"/>
      <c r="L479" s="112"/>
      <c r="M479" s="112"/>
      <c r="N479" s="112"/>
      <c r="O479" s="121" t="s">
        <v>1618</v>
      </c>
      <c r="P479" s="110" t="s">
        <v>1619</v>
      </c>
      <c r="Q479" s="114">
        <v>0.9</v>
      </c>
      <c r="R479" s="112" t="s">
        <v>124</v>
      </c>
      <c r="S479" s="112" t="s">
        <v>1184</v>
      </c>
      <c r="T479" s="112"/>
      <c r="U479" s="112">
        <v>3.26</v>
      </c>
      <c r="V479" s="112"/>
      <c r="W479" s="112"/>
      <c r="X479" s="112"/>
      <c r="Y479" s="112"/>
      <c r="Z479" s="112"/>
      <c r="AA479" s="112"/>
    </row>
    <row r="480" spans="1:27" ht="111" customHeight="1" x14ac:dyDescent="0.2">
      <c r="A480" s="23" t="s">
        <v>1576</v>
      </c>
      <c r="B480" s="14" t="s">
        <v>1620</v>
      </c>
      <c r="C480" s="14" t="s">
        <v>101</v>
      </c>
      <c r="D480" s="12"/>
      <c r="E480" s="14" t="s">
        <v>60</v>
      </c>
      <c r="F480" s="14" t="s">
        <v>72</v>
      </c>
      <c r="G480" s="12"/>
      <c r="H480" s="17" t="s">
        <v>250</v>
      </c>
      <c r="I480" s="17" t="s">
        <v>74</v>
      </c>
      <c r="J480" s="14" t="s">
        <v>1621</v>
      </c>
      <c r="K480" s="12"/>
      <c r="L480" s="12"/>
      <c r="M480" s="12"/>
      <c r="N480" s="24">
        <v>3.8</v>
      </c>
      <c r="O480" s="30" t="str">
        <f>HYPERLINK("http://www.ltu.edu/futurestudents/scholarshipopportunities.asp","http://www.ltu.edu/futurestudents/scholarshipopportunities.asp")</f>
        <v>http://www.ltu.edu/futurestudents/scholarshipopportunities.asp</v>
      </c>
      <c r="P480" s="33">
        <v>31140</v>
      </c>
      <c r="Q480" s="25">
        <v>0.55000000000000004</v>
      </c>
      <c r="R480" s="14" t="s">
        <v>1305</v>
      </c>
      <c r="S480" s="14" t="s">
        <v>1622</v>
      </c>
      <c r="T480" s="12"/>
      <c r="U480" s="12">
        <v>3.4</v>
      </c>
      <c r="V480" s="12"/>
      <c r="W480" s="12"/>
      <c r="X480" s="12"/>
      <c r="Y480" s="12"/>
      <c r="Z480" s="12"/>
      <c r="AA480" s="12"/>
    </row>
    <row r="481" spans="1:27" ht="174" customHeight="1" x14ac:dyDescent="0.2">
      <c r="A481" s="23" t="s">
        <v>1576</v>
      </c>
      <c r="B481" s="14" t="s">
        <v>1623</v>
      </c>
      <c r="C481" s="14" t="s">
        <v>59</v>
      </c>
      <c r="D481" s="12"/>
      <c r="E481" s="14" t="s">
        <v>583</v>
      </c>
      <c r="F481" s="14" t="s">
        <v>72</v>
      </c>
      <c r="G481" s="12"/>
      <c r="H481" s="17" t="s">
        <v>1123</v>
      </c>
      <c r="I481" s="17">
        <v>15</v>
      </c>
      <c r="J481" s="14" t="s">
        <v>1624</v>
      </c>
      <c r="K481" s="12"/>
      <c r="L481" s="12"/>
      <c r="M481" s="12"/>
      <c r="N481" s="12"/>
      <c r="O481" s="30" t="str">
        <f t="shared" ref="O481:O482" si="72">HYPERLINK("https://admissions.msu.edu/cost-aid/merit-based-aid/freshman/high-achieving.aspx","https://admissions.msu.edu/cost-aid/merit-based-aid/freshman/high-achieving.aspx")</f>
        <v>https://admissions.msu.edu/cost-aid/merit-based-aid/freshman/high-achieving.aspx</v>
      </c>
      <c r="P481" s="14" t="s">
        <v>1625</v>
      </c>
      <c r="Q481" s="25">
        <v>0.66</v>
      </c>
      <c r="R481" s="14" t="s">
        <v>266</v>
      </c>
      <c r="S481" s="14" t="s">
        <v>1626</v>
      </c>
      <c r="T481" s="12"/>
      <c r="U481" s="12">
        <v>3.68</v>
      </c>
      <c r="V481" s="12"/>
      <c r="W481" s="12"/>
      <c r="X481" s="12"/>
      <c r="Y481" s="12"/>
      <c r="Z481" s="12"/>
      <c r="AA481" s="12"/>
    </row>
    <row r="482" spans="1:27" ht="111" customHeight="1" x14ac:dyDescent="0.2">
      <c r="A482" s="23" t="s">
        <v>1576</v>
      </c>
      <c r="B482" s="14" t="s">
        <v>1623</v>
      </c>
      <c r="C482" s="14" t="s">
        <v>59</v>
      </c>
      <c r="D482" s="12"/>
      <c r="E482" s="14" t="s">
        <v>60</v>
      </c>
      <c r="F482" s="14" t="s">
        <v>72</v>
      </c>
      <c r="G482" s="12"/>
      <c r="H482" s="17" t="s">
        <v>1123</v>
      </c>
      <c r="I482" s="17">
        <v>20</v>
      </c>
      <c r="J482" s="14" t="s">
        <v>1627</v>
      </c>
      <c r="K482" s="12"/>
      <c r="L482" s="12"/>
      <c r="M482" s="12"/>
      <c r="N482" s="12"/>
      <c r="O482" s="30" t="str">
        <f t="shared" si="72"/>
        <v>https://admissions.msu.edu/cost-aid/merit-based-aid/freshman/high-achieving.aspx</v>
      </c>
      <c r="P482" s="14" t="s">
        <v>1625</v>
      </c>
      <c r="Q482" s="25">
        <v>0.66</v>
      </c>
      <c r="R482" s="14" t="s">
        <v>266</v>
      </c>
      <c r="S482" s="14" t="s">
        <v>1626</v>
      </c>
      <c r="T482" s="12"/>
      <c r="U482" s="12">
        <v>3.68</v>
      </c>
      <c r="V482" s="12"/>
      <c r="W482" s="12"/>
      <c r="X482" s="12"/>
      <c r="Y482" s="12"/>
      <c r="Z482" s="12"/>
      <c r="AA482" s="12"/>
    </row>
    <row r="483" spans="1:27" ht="126.75" customHeight="1" x14ac:dyDescent="0.2">
      <c r="A483" s="23" t="s">
        <v>1576</v>
      </c>
      <c r="B483" s="14" t="s">
        <v>1628</v>
      </c>
      <c r="C483" s="14" t="s">
        <v>59</v>
      </c>
      <c r="D483" s="14"/>
      <c r="E483" s="14" t="s">
        <v>111</v>
      </c>
      <c r="F483" s="14" t="s">
        <v>145</v>
      </c>
      <c r="G483" s="12"/>
      <c r="H483" s="17" t="s">
        <v>157</v>
      </c>
      <c r="I483" s="17" t="s">
        <v>74</v>
      </c>
      <c r="J483" s="14" t="s">
        <v>1629</v>
      </c>
      <c r="K483" s="12"/>
      <c r="L483" s="12"/>
      <c r="M483" s="12"/>
      <c r="N483" s="12"/>
      <c r="O483" s="30" t="str">
        <f t="shared" ref="O483:O487" si="73">HYPERLINK("http://www.mtu.edu/admissions/tuition/scholarships/","http://www.mtu.edu/admissions/tuition/scholarships/")</f>
        <v>http://www.mtu.edu/admissions/tuition/scholarships/</v>
      </c>
      <c r="P483" s="14" t="s">
        <v>1630</v>
      </c>
      <c r="Q483" s="25">
        <v>0.75</v>
      </c>
      <c r="R483" s="14" t="s">
        <v>687</v>
      </c>
      <c r="S483" s="14" t="s">
        <v>1631</v>
      </c>
      <c r="T483" s="12"/>
      <c r="U483" s="12">
        <v>3.66</v>
      </c>
      <c r="V483" s="12"/>
      <c r="W483" s="12"/>
      <c r="X483" s="12"/>
      <c r="Y483" s="12"/>
      <c r="Z483" s="12"/>
      <c r="AA483" s="12"/>
    </row>
    <row r="484" spans="1:27" ht="174" customHeight="1" x14ac:dyDescent="0.2">
      <c r="A484" s="23" t="s">
        <v>1576</v>
      </c>
      <c r="B484" s="14" t="s">
        <v>1628</v>
      </c>
      <c r="C484" s="14" t="s">
        <v>59</v>
      </c>
      <c r="D484" s="14" t="s">
        <v>98</v>
      </c>
      <c r="E484" s="14" t="s">
        <v>243</v>
      </c>
      <c r="F484" s="14" t="s">
        <v>72</v>
      </c>
      <c r="G484" s="12"/>
      <c r="H484" s="17" t="s">
        <v>1632</v>
      </c>
      <c r="I484" s="17" t="s">
        <v>74</v>
      </c>
      <c r="J484" s="14" t="s">
        <v>1633</v>
      </c>
      <c r="K484" s="12"/>
      <c r="L484" s="12"/>
      <c r="M484" s="12"/>
      <c r="N484" s="12"/>
      <c r="O484" s="30" t="str">
        <f t="shared" si="73"/>
        <v>http://www.mtu.edu/admissions/tuition/scholarships/</v>
      </c>
      <c r="P484" s="14" t="s">
        <v>1630</v>
      </c>
      <c r="Q484" s="25">
        <v>0.75</v>
      </c>
      <c r="R484" s="14" t="s">
        <v>687</v>
      </c>
      <c r="S484" s="14" t="s">
        <v>1631</v>
      </c>
      <c r="T484" s="12"/>
      <c r="U484" s="12">
        <v>3.66</v>
      </c>
      <c r="V484" s="12"/>
      <c r="W484" s="12"/>
      <c r="X484" s="12"/>
      <c r="Y484" s="12"/>
      <c r="Z484" s="12"/>
      <c r="AA484" s="12"/>
    </row>
    <row r="485" spans="1:27" ht="95.25" customHeight="1" x14ac:dyDescent="0.2">
      <c r="A485" s="23" t="s">
        <v>1576</v>
      </c>
      <c r="B485" s="14" t="s">
        <v>1628</v>
      </c>
      <c r="C485" s="14" t="s">
        <v>59</v>
      </c>
      <c r="D485" s="14" t="s">
        <v>98</v>
      </c>
      <c r="E485" s="14" t="s">
        <v>111</v>
      </c>
      <c r="F485" s="14" t="s">
        <v>72</v>
      </c>
      <c r="G485" s="12"/>
      <c r="H485" s="17" t="s">
        <v>282</v>
      </c>
      <c r="I485" s="17" t="s">
        <v>74</v>
      </c>
      <c r="J485" s="14" t="s">
        <v>1634</v>
      </c>
      <c r="K485" s="12"/>
      <c r="L485" s="12"/>
      <c r="M485" s="12"/>
      <c r="N485" s="12"/>
      <c r="O485" s="30" t="str">
        <f t="shared" si="73"/>
        <v>http://www.mtu.edu/admissions/tuition/scholarships/</v>
      </c>
      <c r="P485" s="14" t="s">
        <v>1630</v>
      </c>
      <c r="Q485" s="25">
        <v>0.75</v>
      </c>
      <c r="R485" s="14" t="s">
        <v>687</v>
      </c>
      <c r="S485" s="14" t="s">
        <v>1631</v>
      </c>
      <c r="T485" s="12"/>
      <c r="U485" s="12">
        <v>3.66</v>
      </c>
      <c r="V485" s="12"/>
      <c r="W485" s="12"/>
      <c r="X485" s="12"/>
      <c r="Y485" s="12"/>
      <c r="Z485" s="12"/>
      <c r="AA485" s="12"/>
    </row>
    <row r="486" spans="1:27" ht="95.25" customHeight="1" x14ac:dyDescent="0.2">
      <c r="A486" s="23" t="s">
        <v>1576</v>
      </c>
      <c r="B486" s="14" t="s">
        <v>1628</v>
      </c>
      <c r="C486" s="14" t="s">
        <v>59</v>
      </c>
      <c r="D486" s="14" t="s">
        <v>334</v>
      </c>
      <c r="E486" s="14" t="s">
        <v>60</v>
      </c>
      <c r="F486" s="14" t="s">
        <v>72</v>
      </c>
      <c r="G486" s="12"/>
      <c r="H486" s="17" t="s">
        <v>282</v>
      </c>
      <c r="I486" s="17" t="s">
        <v>74</v>
      </c>
      <c r="J486" s="14" t="s">
        <v>1634</v>
      </c>
      <c r="K486" s="12"/>
      <c r="L486" s="12"/>
      <c r="M486" s="12"/>
      <c r="N486" s="12"/>
      <c r="O486" s="30" t="str">
        <f t="shared" si="73"/>
        <v>http://www.mtu.edu/admissions/tuition/scholarships/</v>
      </c>
      <c r="P486" s="14" t="s">
        <v>1630</v>
      </c>
      <c r="Q486" s="25">
        <v>0.75</v>
      </c>
      <c r="R486" s="14" t="s">
        <v>687</v>
      </c>
      <c r="S486" s="14" t="s">
        <v>1631</v>
      </c>
      <c r="T486" s="12"/>
      <c r="U486" s="12">
        <v>3.66</v>
      </c>
      <c r="V486" s="12"/>
      <c r="W486" s="12"/>
      <c r="X486" s="12"/>
      <c r="Y486" s="12"/>
      <c r="Z486" s="12"/>
      <c r="AA486" s="12"/>
    </row>
    <row r="487" spans="1:27" ht="158.25" customHeight="1" x14ac:dyDescent="0.2">
      <c r="A487" s="23" t="s">
        <v>1576</v>
      </c>
      <c r="B487" s="14" t="s">
        <v>1628</v>
      </c>
      <c r="C487" s="14" t="s">
        <v>59</v>
      </c>
      <c r="D487" s="16" t="s">
        <v>1635</v>
      </c>
      <c r="E487" s="14" t="s">
        <v>243</v>
      </c>
      <c r="F487" s="14" t="s">
        <v>72</v>
      </c>
      <c r="G487" s="12"/>
      <c r="H487" s="17" t="s">
        <v>62</v>
      </c>
      <c r="I487" s="17" t="s">
        <v>74</v>
      </c>
      <c r="J487" s="14" t="s">
        <v>1636</v>
      </c>
      <c r="K487" s="24">
        <v>21</v>
      </c>
      <c r="L487" s="12"/>
      <c r="M487" s="12"/>
      <c r="N487" s="24">
        <v>3</v>
      </c>
      <c r="O487" s="30" t="str">
        <f t="shared" si="73"/>
        <v>http://www.mtu.edu/admissions/tuition/scholarships/</v>
      </c>
      <c r="P487" s="14" t="s">
        <v>1630</v>
      </c>
      <c r="Q487" s="25">
        <v>0.75</v>
      </c>
      <c r="R487" s="14" t="s">
        <v>687</v>
      </c>
      <c r="S487" s="14" t="s">
        <v>1631</v>
      </c>
      <c r="T487" s="12"/>
      <c r="U487" s="12">
        <v>3.66</v>
      </c>
      <c r="V487" s="12"/>
      <c r="W487" s="12"/>
      <c r="X487" s="12"/>
      <c r="Y487" s="12"/>
      <c r="Z487" s="12"/>
      <c r="AA487" s="12"/>
    </row>
    <row r="488" spans="1:27" ht="142.5" customHeight="1" x14ac:dyDescent="0.2">
      <c r="A488" s="23" t="s">
        <v>1576</v>
      </c>
      <c r="B488" s="14" t="s">
        <v>1637</v>
      </c>
      <c r="C488" s="14" t="s">
        <v>59</v>
      </c>
      <c r="D488" s="12"/>
      <c r="E488" s="14" t="s">
        <v>111</v>
      </c>
      <c r="F488" s="14" t="s">
        <v>72</v>
      </c>
      <c r="G488" s="12"/>
      <c r="H488" s="17" t="s">
        <v>1123</v>
      </c>
      <c r="I488" s="17" t="s">
        <v>74</v>
      </c>
      <c r="J488" s="14" t="s">
        <v>1638</v>
      </c>
      <c r="K488" s="12"/>
      <c r="L488" s="12"/>
      <c r="M488" s="12"/>
      <c r="N488" s="12"/>
      <c r="O488" s="30" t="str">
        <f t="shared" ref="O488:O489" si="74">HYPERLINK("http://www.nmu.edu/financialaid/node/77","http://www.nmu.edu/financialaid/node/77")</f>
        <v>http://www.nmu.edu/financialaid/node/77</v>
      </c>
      <c r="P488" s="14" t="s">
        <v>1639</v>
      </c>
      <c r="Q488" s="25">
        <v>0.72</v>
      </c>
      <c r="R488" s="14" t="s">
        <v>385</v>
      </c>
      <c r="S488" s="14" t="s">
        <v>1184</v>
      </c>
      <c r="T488" s="12"/>
      <c r="U488" s="12">
        <v>3.16</v>
      </c>
      <c r="V488" s="12"/>
      <c r="W488" s="12"/>
      <c r="X488" s="12"/>
      <c r="Y488" s="12"/>
      <c r="Z488" s="12"/>
      <c r="AA488" s="12"/>
    </row>
    <row r="489" spans="1:27" ht="126.75" customHeight="1" x14ac:dyDescent="0.2">
      <c r="A489" s="23" t="s">
        <v>1576</v>
      </c>
      <c r="B489" s="14" t="s">
        <v>1637</v>
      </c>
      <c r="C489" s="14" t="s">
        <v>59</v>
      </c>
      <c r="D489" s="14"/>
      <c r="E489" s="14" t="s">
        <v>60</v>
      </c>
      <c r="F489" s="14" t="s">
        <v>72</v>
      </c>
      <c r="G489" s="12"/>
      <c r="H489" s="17" t="s">
        <v>1123</v>
      </c>
      <c r="I489" s="17" t="s">
        <v>74</v>
      </c>
      <c r="J489" s="14" t="s">
        <v>1640</v>
      </c>
      <c r="K489" s="12"/>
      <c r="L489" s="12"/>
      <c r="M489" s="12"/>
      <c r="N489" s="12"/>
      <c r="O489" s="30" t="str">
        <f t="shared" si="74"/>
        <v>http://www.nmu.edu/financialaid/node/77</v>
      </c>
      <c r="P489" s="14" t="s">
        <v>1639</v>
      </c>
      <c r="Q489" s="25">
        <v>0.72</v>
      </c>
      <c r="R489" s="14" t="s">
        <v>385</v>
      </c>
      <c r="S489" s="14" t="s">
        <v>1184</v>
      </c>
      <c r="T489" s="12"/>
      <c r="U489" s="12">
        <v>3.16</v>
      </c>
      <c r="V489" s="12"/>
      <c r="W489" s="12"/>
      <c r="X489" s="12"/>
      <c r="Y489" s="12"/>
      <c r="Z489" s="12"/>
      <c r="AA489" s="12"/>
    </row>
    <row r="490" spans="1:27" ht="78" customHeight="1" x14ac:dyDescent="0.2">
      <c r="A490" s="11" t="s">
        <v>1576</v>
      </c>
      <c r="B490" s="12" t="s">
        <v>1641</v>
      </c>
      <c r="C490" s="26" t="s">
        <v>59</v>
      </c>
      <c r="D490" s="12"/>
      <c r="E490" s="12" t="s">
        <v>60</v>
      </c>
      <c r="F490" s="12" t="s">
        <v>61</v>
      </c>
      <c r="G490" s="12"/>
      <c r="H490" s="17" t="s">
        <v>62</v>
      </c>
      <c r="I490" s="17" t="s">
        <v>63</v>
      </c>
      <c r="J490" s="12" t="s">
        <v>1642</v>
      </c>
      <c r="K490" s="24">
        <v>31</v>
      </c>
      <c r="L490" s="12"/>
      <c r="M490" s="12"/>
      <c r="N490" s="26">
        <v>3.9</v>
      </c>
      <c r="O490" s="30" t="str">
        <f>HYPERLINK("http://wwwp.oakland.edu/Assets/upload/docs/Future-Students/ACM-8907_ScholAndGrantsBooklet_FINAL-(1).pdf","http://wwwp.oakland.edu/Assets/upload/docs/Future-Students/ACM-8907_ScholAndGrantsBooklet_FINAL-(1).pdf")</f>
        <v>http://wwwp.oakland.edu/Assets/upload/docs/Future-Students/ACM-8907_ScholAndGrantsBooklet_FINAL-(1).pdf</v>
      </c>
      <c r="P490" s="26" t="s">
        <v>1643</v>
      </c>
      <c r="Q490" s="31">
        <v>0.8</v>
      </c>
      <c r="R490" s="26" t="s">
        <v>126</v>
      </c>
      <c r="S490" s="26" t="s">
        <v>1644</v>
      </c>
      <c r="T490" s="12"/>
      <c r="U490" s="12">
        <v>3.4</v>
      </c>
      <c r="V490" s="12"/>
      <c r="W490" s="12"/>
      <c r="X490" s="12"/>
      <c r="Y490" s="12"/>
      <c r="Z490" s="12"/>
      <c r="AA490" s="12"/>
    </row>
    <row r="491" spans="1:27" ht="126.75" customHeight="1" x14ac:dyDescent="0.2">
      <c r="A491" s="23" t="s">
        <v>1576</v>
      </c>
      <c r="B491" s="14" t="s">
        <v>1645</v>
      </c>
      <c r="C491" s="14" t="s">
        <v>101</v>
      </c>
      <c r="D491" s="12"/>
      <c r="E491" s="14" t="s">
        <v>1646</v>
      </c>
      <c r="F491" s="14" t="s">
        <v>72</v>
      </c>
      <c r="G491" s="12"/>
      <c r="H491" s="17" t="s">
        <v>1123</v>
      </c>
      <c r="I491" s="17" t="s">
        <v>74</v>
      </c>
      <c r="J491" s="14" t="s">
        <v>1647</v>
      </c>
      <c r="K491" s="12"/>
      <c r="L491" s="12"/>
      <c r="M491" s="12"/>
      <c r="N491" s="12"/>
      <c r="O491" s="30" t="str">
        <f>HYPERLINK("http://www.olivetcollege.edu/admissions/tuition-financial-aid/financial-aid-scholarships","http://www.olivetcollege.edu/admissions/tuition-financial-aid/financial-aid-scholarships")</f>
        <v>http://www.olivetcollege.edu/admissions/tuition-financial-aid/financial-aid-scholarships</v>
      </c>
      <c r="P491" s="33">
        <v>25560</v>
      </c>
      <c r="Q491" s="25">
        <v>0.61</v>
      </c>
      <c r="R491" s="12" t="s">
        <v>550</v>
      </c>
      <c r="S491" s="12" t="s">
        <v>1648</v>
      </c>
      <c r="T491" s="12"/>
      <c r="U491" s="12" t="s">
        <v>81</v>
      </c>
      <c r="V491" s="12"/>
      <c r="W491" s="12"/>
      <c r="X491" s="12"/>
      <c r="Y491" s="12"/>
      <c r="Z491" s="12"/>
      <c r="AA491" s="12"/>
    </row>
    <row r="492" spans="1:27" ht="118" x14ac:dyDescent="0.2">
      <c r="A492" s="23" t="s">
        <v>1576</v>
      </c>
      <c r="B492" s="14" t="s">
        <v>1649</v>
      </c>
      <c r="C492" s="14" t="s">
        <v>101</v>
      </c>
      <c r="D492" s="12"/>
      <c r="E492" s="14" t="s">
        <v>60</v>
      </c>
      <c r="F492" s="16" t="s">
        <v>92</v>
      </c>
      <c r="G492" s="12"/>
      <c r="H492" s="17" t="s">
        <v>93</v>
      </c>
      <c r="I492" s="17" t="s">
        <v>63</v>
      </c>
      <c r="J492" s="17" t="s">
        <v>1650</v>
      </c>
      <c r="K492" s="24"/>
      <c r="L492" s="18"/>
      <c r="M492" s="17"/>
      <c r="N492" s="24"/>
      <c r="O492" s="30" t="str">
        <f t="shared" ref="O492:O493" si="75">HYPERLINK("http://www.rc.edu/admissions/financial-services/paying-for-rc/","http://www.rc.edu/admissions/financial-services/paying-for-rc/")</f>
        <v>http://www.rc.edu/admissions/financial-services/paying-for-rc/</v>
      </c>
      <c r="P492" s="33">
        <v>22544</v>
      </c>
      <c r="Q492" s="25">
        <v>0.8</v>
      </c>
      <c r="R492" s="12" t="s">
        <v>130</v>
      </c>
      <c r="S492" s="12" t="s">
        <v>1651</v>
      </c>
      <c r="T492" s="12"/>
      <c r="U492" s="12">
        <v>3</v>
      </c>
      <c r="V492" s="12"/>
      <c r="W492" s="12"/>
      <c r="X492" s="12"/>
      <c r="Y492" s="12"/>
      <c r="Z492" s="12"/>
      <c r="AA492" s="12"/>
    </row>
    <row r="493" spans="1:27" ht="209" x14ac:dyDescent="0.2">
      <c r="A493" s="23" t="s">
        <v>1576</v>
      </c>
      <c r="B493" s="14" t="s">
        <v>1649</v>
      </c>
      <c r="C493" s="14" t="s">
        <v>101</v>
      </c>
      <c r="D493" s="12"/>
      <c r="E493" s="14" t="s">
        <v>60</v>
      </c>
      <c r="F493" s="14" t="s">
        <v>72</v>
      </c>
      <c r="G493" s="12"/>
      <c r="H493" s="17" t="s">
        <v>250</v>
      </c>
      <c r="I493" s="17" t="s">
        <v>74</v>
      </c>
      <c r="J493" s="17" t="s">
        <v>1652</v>
      </c>
      <c r="K493" s="24">
        <v>30</v>
      </c>
      <c r="L493" s="18">
        <v>1390</v>
      </c>
      <c r="M493" s="17" t="s">
        <v>76</v>
      </c>
      <c r="N493" s="24">
        <v>3.6</v>
      </c>
      <c r="O493" s="30" t="str">
        <f t="shared" si="75"/>
        <v>http://www.rc.edu/admissions/financial-services/paying-for-rc/</v>
      </c>
      <c r="P493" s="33">
        <v>22544</v>
      </c>
      <c r="Q493" s="25">
        <v>0.8</v>
      </c>
      <c r="R493" s="12" t="s">
        <v>130</v>
      </c>
      <c r="S493" s="12" t="s">
        <v>1651</v>
      </c>
      <c r="T493" s="12"/>
      <c r="U493" s="12">
        <v>3</v>
      </c>
      <c r="V493" s="12"/>
      <c r="W493" s="12"/>
      <c r="X493" s="12"/>
      <c r="Y493" s="12"/>
      <c r="Z493" s="12"/>
      <c r="AA493" s="12"/>
    </row>
    <row r="494" spans="1:27" ht="174" customHeight="1" x14ac:dyDescent="0.2">
      <c r="A494" s="23" t="s">
        <v>1576</v>
      </c>
      <c r="B494" s="14" t="s">
        <v>1653</v>
      </c>
      <c r="C494" s="14" t="s">
        <v>101</v>
      </c>
      <c r="D494" s="12"/>
      <c r="E494" s="14" t="s">
        <v>238</v>
      </c>
      <c r="F494" s="14" t="s">
        <v>72</v>
      </c>
      <c r="G494" s="12"/>
      <c r="H494" s="17" t="s">
        <v>1123</v>
      </c>
      <c r="I494" s="17" t="s">
        <v>74</v>
      </c>
      <c r="J494" s="14" t="s">
        <v>1654</v>
      </c>
      <c r="K494" s="12"/>
      <c r="L494" s="12"/>
      <c r="M494" s="12"/>
      <c r="N494" s="24">
        <v>3.5</v>
      </c>
      <c r="O494" s="30" t="str">
        <f>HYPERLINK("http://www.sienaheights.edu/Admissions/ScholarshipsGrants.aspx","http://www.sienaheights.edu/Admissions/ScholarshipsGrants.aspx")</f>
        <v>http://www.sienaheights.edu/Admissions/ScholarshipsGrants.aspx</v>
      </c>
      <c r="P494" s="33">
        <v>24856</v>
      </c>
      <c r="Q494" s="25">
        <v>0.74</v>
      </c>
      <c r="R494" s="14" t="s">
        <v>130</v>
      </c>
      <c r="S494" s="14" t="s">
        <v>1184</v>
      </c>
      <c r="T494" s="12"/>
      <c r="U494" s="12">
        <v>3.2</v>
      </c>
      <c r="V494" s="12"/>
      <c r="W494" s="12"/>
      <c r="X494" s="12"/>
      <c r="Y494" s="12"/>
      <c r="Z494" s="12"/>
      <c r="AA494" s="12"/>
    </row>
    <row r="495" spans="1:27" ht="90.75" customHeight="1" x14ac:dyDescent="0.2">
      <c r="A495" s="39" t="s">
        <v>1576</v>
      </c>
      <c r="B495" s="40" t="s">
        <v>1655</v>
      </c>
      <c r="C495" s="40" t="s">
        <v>101</v>
      </c>
      <c r="D495" s="40"/>
      <c r="E495" s="40" t="s">
        <v>243</v>
      </c>
      <c r="F495" s="40" t="s">
        <v>92</v>
      </c>
      <c r="G495" s="40"/>
      <c r="H495" s="69" t="s">
        <v>93</v>
      </c>
      <c r="I495" s="69">
        <v>2</v>
      </c>
      <c r="J495" s="40" t="s">
        <v>1656</v>
      </c>
      <c r="K495" s="40"/>
      <c r="L495" s="40"/>
      <c r="M495" s="40"/>
      <c r="N495" s="40"/>
      <c r="O495" s="30" t="str">
        <f>HYPERLINK("http://www.arbor.edu/admissions/financial-aid/financial-aid-resources/scholarships/","http://www.arbor.edu/admissions/financial-aid/financial-aid-resources/scholarships/")</f>
        <v>http://www.arbor.edu/admissions/financial-aid/financial-aid-resources/scholarships/</v>
      </c>
      <c r="P495" s="41">
        <v>26730</v>
      </c>
      <c r="Q495" s="42">
        <v>0.69</v>
      </c>
      <c r="R495" s="40" t="s">
        <v>126</v>
      </c>
      <c r="S495" s="40" t="s">
        <v>1184</v>
      </c>
      <c r="T495" s="40"/>
      <c r="U495" s="40">
        <v>3.46</v>
      </c>
      <c r="V495" s="40"/>
      <c r="W495" s="40"/>
      <c r="X495" s="40"/>
      <c r="Y495" s="40"/>
      <c r="Z495" s="40"/>
      <c r="AA495" s="40"/>
    </row>
    <row r="496" spans="1:27" ht="189.75" customHeight="1" x14ac:dyDescent="0.2">
      <c r="A496" s="23" t="s">
        <v>1576</v>
      </c>
      <c r="B496" s="14" t="s">
        <v>1657</v>
      </c>
      <c r="C496" s="14" t="s">
        <v>101</v>
      </c>
      <c r="D496" s="17" t="s">
        <v>1658</v>
      </c>
      <c r="E496" s="14" t="s">
        <v>177</v>
      </c>
      <c r="F496" s="14" t="s">
        <v>72</v>
      </c>
      <c r="G496" s="12"/>
      <c r="H496" s="17" t="s">
        <v>239</v>
      </c>
      <c r="I496" s="17">
        <v>2</v>
      </c>
      <c r="J496" s="14" t="s">
        <v>1659</v>
      </c>
      <c r="K496" s="12"/>
      <c r="L496" s="12"/>
      <c r="M496" s="12"/>
      <c r="N496" s="12"/>
      <c r="O496" s="30" t="str">
        <f>HYPERLINK("http://www.udmercy.edu/apply/financial-aid/scholarships/freshmen/index.htm","http://www.udmercy.edu/apply/financial-aid/scholarships/freshmen/index.htm")</f>
        <v>http://www.udmercy.edu/apply/financial-aid/scholarships/freshmen/index.htm</v>
      </c>
      <c r="P496" s="33">
        <v>39882</v>
      </c>
      <c r="Q496" s="31">
        <v>0.73</v>
      </c>
      <c r="R496" s="26" t="s">
        <v>142</v>
      </c>
      <c r="S496" s="26" t="s">
        <v>1660</v>
      </c>
      <c r="T496" s="12"/>
      <c r="U496" s="12">
        <v>3.51</v>
      </c>
      <c r="V496" s="12"/>
      <c r="W496" s="12"/>
      <c r="X496" s="12"/>
      <c r="Y496" s="12"/>
      <c r="Z496" s="12"/>
      <c r="AA496" s="12"/>
    </row>
    <row r="497" spans="1:27" ht="111" customHeight="1" x14ac:dyDescent="0.2">
      <c r="A497" s="109" t="s">
        <v>1576</v>
      </c>
      <c r="B497" s="110" t="s">
        <v>1661</v>
      </c>
      <c r="C497" s="110" t="s">
        <v>59</v>
      </c>
      <c r="D497" s="112"/>
      <c r="E497" s="128" t="s">
        <v>1662</v>
      </c>
      <c r="F497" s="110" t="s">
        <v>72</v>
      </c>
      <c r="G497" s="112"/>
      <c r="H497" s="117" t="s">
        <v>250</v>
      </c>
      <c r="I497" s="117" t="s">
        <v>1663</v>
      </c>
      <c r="J497" s="110" t="s">
        <v>1664</v>
      </c>
      <c r="K497" s="112">
        <v>24</v>
      </c>
      <c r="L497" s="117">
        <v>1160</v>
      </c>
      <c r="M497" s="117" t="s">
        <v>76</v>
      </c>
      <c r="N497" s="112">
        <v>3.25</v>
      </c>
      <c r="O497" s="113" t="str">
        <f>HYPERLINK("https://www.umflint.edu/admissions/new-freshmen-merit-scholarships","https://www.umflint.edu/admissions/new-freshmen-merit-scholarships")</f>
        <v>https://www.umflint.edu/admissions/new-freshmen-merit-scholarships</v>
      </c>
      <c r="P497" s="110" t="s">
        <v>1665</v>
      </c>
      <c r="Q497" s="114">
        <v>0.74</v>
      </c>
      <c r="R497" s="110" t="s">
        <v>259</v>
      </c>
      <c r="S497" s="110" t="s">
        <v>1666</v>
      </c>
      <c r="T497" s="112"/>
      <c r="U497" s="112">
        <v>3.29</v>
      </c>
      <c r="V497" s="112"/>
      <c r="W497" s="112"/>
      <c r="X497" s="112"/>
      <c r="Y497" s="112"/>
      <c r="Z497" s="112"/>
      <c r="AA497" s="112"/>
    </row>
    <row r="498" spans="1:27" ht="95.25" customHeight="1" x14ac:dyDescent="0.2">
      <c r="A498" s="23" t="s">
        <v>1576</v>
      </c>
      <c r="B498" s="14" t="s">
        <v>1667</v>
      </c>
      <c r="C498" s="14" t="s">
        <v>59</v>
      </c>
      <c r="D498" s="12"/>
      <c r="E498" s="14" t="s">
        <v>60</v>
      </c>
      <c r="F498" s="16" t="s">
        <v>61</v>
      </c>
      <c r="G498" s="12"/>
      <c r="H498" s="17" t="s">
        <v>62</v>
      </c>
      <c r="I498" s="17" t="s">
        <v>1668</v>
      </c>
      <c r="J498" s="14" t="s">
        <v>1669</v>
      </c>
      <c r="K498" s="24">
        <v>31</v>
      </c>
      <c r="L498" s="24">
        <v>1420</v>
      </c>
      <c r="M498" s="16" t="s">
        <v>76</v>
      </c>
      <c r="N498" s="24">
        <v>4</v>
      </c>
      <c r="O498" s="30" t="str">
        <f>HYPERLINK("http://umdearborn.edu/scholarships0#chancellor","http://umdearborn.edu/scholarships0#chancellor")</f>
        <v>http://umdearborn.edu/scholarships0#chancellor</v>
      </c>
      <c r="P498" s="14" t="s">
        <v>1670</v>
      </c>
      <c r="Q498" s="25">
        <v>0.62</v>
      </c>
      <c r="R498" s="14" t="s">
        <v>182</v>
      </c>
      <c r="S498" s="14" t="s">
        <v>1184</v>
      </c>
      <c r="T498" s="12"/>
      <c r="U498" s="12" t="s">
        <v>81</v>
      </c>
      <c r="V498" s="12"/>
      <c r="W498" s="12"/>
      <c r="X498" s="12"/>
      <c r="Y498" s="12"/>
      <c r="Z498" s="12"/>
      <c r="AA498" s="12"/>
    </row>
    <row r="499" spans="1:27" ht="126.75" customHeight="1" x14ac:dyDescent="0.2">
      <c r="A499" s="23" t="s">
        <v>1576</v>
      </c>
      <c r="B499" s="14" t="s">
        <v>1667</v>
      </c>
      <c r="C499" s="14" t="s">
        <v>59</v>
      </c>
      <c r="D499" s="122" t="s">
        <v>1671</v>
      </c>
      <c r="E499" s="14" t="s">
        <v>60</v>
      </c>
      <c r="F499" s="14" t="s">
        <v>72</v>
      </c>
      <c r="G499" s="12"/>
      <c r="H499" s="17" t="s">
        <v>239</v>
      </c>
      <c r="I499" s="17">
        <v>15</v>
      </c>
      <c r="J499" s="16" t="s">
        <v>1672</v>
      </c>
      <c r="K499" s="12"/>
      <c r="L499" s="12"/>
      <c r="M499" s="12"/>
      <c r="N499" s="12"/>
      <c r="O499" s="30" t="str">
        <f>HYPERLINK("http://umdearborn.edu/opportunityscholarship","http://umdearborn.edu/opportunityscholarship")</f>
        <v>http://umdearborn.edu/opportunityscholarship</v>
      </c>
      <c r="P499" s="14" t="s">
        <v>1670</v>
      </c>
      <c r="Q499" s="25">
        <v>0.62</v>
      </c>
      <c r="R499" s="14" t="s">
        <v>182</v>
      </c>
      <c r="S499" s="14" t="s">
        <v>1184</v>
      </c>
      <c r="T499" s="12"/>
      <c r="U499" s="12" t="s">
        <v>81</v>
      </c>
      <c r="V499" s="12"/>
      <c r="W499" s="12"/>
      <c r="X499" s="12"/>
      <c r="Y499" s="12"/>
      <c r="Z499" s="12"/>
      <c r="AA499" s="12"/>
    </row>
    <row r="500" spans="1:27" ht="116.25" customHeight="1" x14ac:dyDescent="0.2">
      <c r="A500" s="11" t="s">
        <v>1576</v>
      </c>
      <c r="B500" s="12" t="s">
        <v>1673</v>
      </c>
      <c r="C500" s="26" t="s">
        <v>59</v>
      </c>
      <c r="D500" s="26"/>
      <c r="E500" s="12" t="s">
        <v>263</v>
      </c>
      <c r="F500" s="12" t="s">
        <v>72</v>
      </c>
      <c r="G500" s="12"/>
      <c r="H500" s="17" t="s">
        <v>837</v>
      </c>
      <c r="I500" s="17">
        <v>20</v>
      </c>
      <c r="J500" s="17" t="s">
        <v>1674</v>
      </c>
      <c r="K500" s="24">
        <v>26</v>
      </c>
      <c r="L500" s="18">
        <v>1240</v>
      </c>
      <c r="M500" s="29" t="s">
        <v>76</v>
      </c>
      <c r="N500" s="26">
        <v>3.7</v>
      </c>
      <c r="O500" s="30" t="str">
        <f>HYPERLINK("http://www.wmich.edu/admissions/freshmen/cost-scholarships/scholarships","http://www.wmich.edu/admissions/freshmen/cost-scholarships/scholarships")</f>
        <v>http://www.wmich.edu/admissions/freshmen/cost-scholarships/scholarships</v>
      </c>
      <c r="P500" s="26" t="s">
        <v>1675</v>
      </c>
      <c r="Q500" s="31">
        <v>0.82</v>
      </c>
      <c r="R500" s="26" t="s">
        <v>130</v>
      </c>
      <c r="S500" s="26" t="s">
        <v>1184</v>
      </c>
      <c r="T500" s="12"/>
      <c r="U500" s="12">
        <v>3.34</v>
      </c>
      <c r="V500" s="12"/>
      <c r="W500" s="12"/>
      <c r="X500" s="12"/>
      <c r="Y500" s="12"/>
      <c r="Z500" s="12"/>
      <c r="AA500" s="12"/>
    </row>
    <row r="501" spans="1:27" ht="205" x14ac:dyDescent="0.2">
      <c r="A501" s="23" t="s">
        <v>1676</v>
      </c>
      <c r="B501" s="14" t="s">
        <v>1677</v>
      </c>
      <c r="C501" s="14" t="s">
        <v>101</v>
      </c>
      <c r="D501" s="17" t="s">
        <v>194</v>
      </c>
      <c r="E501" s="14" t="s">
        <v>177</v>
      </c>
      <c r="F501" s="14" t="s">
        <v>72</v>
      </c>
      <c r="G501" s="12"/>
      <c r="H501" s="17" t="s">
        <v>1678</v>
      </c>
      <c r="I501" s="17">
        <v>30</v>
      </c>
      <c r="J501" s="56" t="s">
        <v>1679</v>
      </c>
      <c r="K501" s="24">
        <v>20</v>
      </c>
      <c r="L501" s="12"/>
      <c r="M501" s="12"/>
      <c r="N501" s="24">
        <v>3.25</v>
      </c>
      <c r="O501" s="30" t="str">
        <f>HYPERLINK("http://www.augsburg.edu/firstyear/scholarships/acap-grant/","http://www.augsburg.edu/firstyear/scholarships/acap-grant/")</f>
        <v>http://www.augsburg.edu/firstyear/scholarships/acap-grant/</v>
      </c>
      <c r="P501" s="33">
        <v>36400</v>
      </c>
      <c r="Q501" s="31">
        <v>0.59</v>
      </c>
      <c r="R501" s="26" t="s">
        <v>385</v>
      </c>
      <c r="S501" s="26" t="s">
        <v>1680</v>
      </c>
      <c r="T501" s="12"/>
      <c r="U501" s="12">
        <v>3.14</v>
      </c>
      <c r="V501" s="12"/>
      <c r="W501" s="12"/>
      <c r="X501" s="12"/>
      <c r="Y501" s="12"/>
      <c r="Z501" s="12"/>
      <c r="AA501" s="12"/>
    </row>
    <row r="502" spans="1:27" ht="181" x14ac:dyDescent="0.2">
      <c r="A502" s="23" t="s">
        <v>1676</v>
      </c>
      <c r="B502" s="14" t="s">
        <v>1677</v>
      </c>
      <c r="C502" s="14" t="s">
        <v>101</v>
      </c>
      <c r="D502" s="12"/>
      <c r="E502" s="14" t="s">
        <v>60</v>
      </c>
      <c r="F502" s="14" t="s">
        <v>72</v>
      </c>
      <c r="G502" s="12"/>
      <c r="H502" s="17" t="s">
        <v>1123</v>
      </c>
      <c r="I502" s="17">
        <v>2</v>
      </c>
      <c r="J502" s="56" t="s">
        <v>1681</v>
      </c>
      <c r="K502" s="24"/>
      <c r="L502" s="24"/>
      <c r="M502" s="14"/>
      <c r="N502" s="24"/>
      <c r="O502" s="30" t="str">
        <f>HYPERLINK("http://www.augsburg.edu/firstyear/scholarships/","http://www.augsburg.edu/firstyear/scholarships/")</f>
        <v>http://www.augsburg.edu/firstyear/scholarships/</v>
      </c>
      <c r="P502" s="33">
        <v>36400</v>
      </c>
      <c r="Q502" s="31">
        <v>0.59</v>
      </c>
      <c r="R502" s="26" t="s">
        <v>385</v>
      </c>
      <c r="S502" s="26" t="s">
        <v>1680</v>
      </c>
      <c r="T502" s="12"/>
      <c r="U502" s="12">
        <v>3.14</v>
      </c>
      <c r="V502" s="12"/>
      <c r="W502" s="12"/>
      <c r="X502" s="12"/>
      <c r="Y502" s="12"/>
      <c r="Z502" s="12"/>
      <c r="AA502" s="12"/>
    </row>
    <row r="503" spans="1:27" ht="217" x14ac:dyDescent="0.2">
      <c r="A503" s="23" t="s">
        <v>1676</v>
      </c>
      <c r="B503" s="14" t="s">
        <v>1682</v>
      </c>
      <c r="C503" s="14" t="s">
        <v>101</v>
      </c>
      <c r="D503" s="12"/>
      <c r="E503" s="14" t="s">
        <v>60</v>
      </c>
      <c r="F503" s="14" t="s">
        <v>72</v>
      </c>
      <c r="G503" s="12"/>
      <c r="H503" s="17" t="s">
        <v>1123</v>
      </c>
      <c r="I503" s="17">
        <v>1</v>
      </c>
      <c r="J503" s="56" t="s">
        <v>1683</v>
      </c>
      <c r="K503" s="24">
        <v>26</v>
      </c>
      <c r="L503" s="18"/>
      <c r="M503" s="16"/>
      <c r="N503" s="24">
        <v>3.6</v>
      </c>
      <c r="O503" s="30" t="str">
        <f>HYPERLINK("http://www.blc.edu/scholarships#academic","http://www.blc.edu/scholarships#academic")</f>
        <v>http://www.blc.edu/scholarships#academic</v>
      </c>
      <c r="P503" s="33">
        <v>26020</v>
      </c>
      <c r="Q503" s="25">
        <v>0.85</v>
      </c>
      <c r="R503" s="52" t="s">
        <v>126</v>
      </c>
      <c r="S503" s="34" t="s">
        <v>1184</v>
      </c>
      <c r="T503" s="12"/>
      <c r="U503" s="12">
        <v>3.39</v>
      </c>
      <c r="V503" s="12"/>
      <c r="W503" s="12"/>
      <c r="X503" s="12"/>
      <c r="Y503" s="12"/>
      <c r="Z503" s="12"/>
      <c r="AA503" s="12"/>
    </row>
    <row r="504" spans="1:27" ht="105.75" customHeight="1" x14ac:dyDescent="0.2">
      <c r="A504" s="23" t="s">
        <v>1676</v>
      </c>
      <c r="B504" s="14" t="s">
        <v>1684</v>
      </c>
      <c r="C504" s="14" t="s">
        <v>101</v>
      </c>
      <c r="D504" s="17" t="s">
        <v>1685</v>
      </c>
      <c r="E504" s="14" t="s">
        <v>111</v>
      </c>
      <c r="F504" s="14" t="s">
        <v>72</v>
      </c>
      <c r="G504" s="14" t="s">
        <v>186</v>
      </c>
      <c r="H504" s="16" t="s">
        <v>1686</v>
      </c>
      <c r="I504" s="16" t="s">
        <v>74</v>
      </c>
      <c r="J504" s="14" t="s">
        <v>1687</v>
      </c>
      <c r="K504" s="12"/>
      <c r="L504" s="12"/>
      <c r="M504" s="12"/>
      <c r="N504" s="12"/>
      <c r="O504" s="30" t="str">
        <f>HYPERLINK("http://www.css.edu/undergraduate/undergraduate-traditional/admissions/international-student-admissions/scholarships-and-finances.html","http://www.css.edu/undergraduate/undergraduate-traditional/admissions/international-student-admissions/scholarships-and-finances.html")</f>
        <v>http://www.css.edu/undergraduate/undergraduate-traditional/admissions/international-student-admissions/scholarships-and-finances.html</v>
      </c>
      <c r="P504" s="33">
        <v>35326</v>
      </c>
      <c r="Q504" s="31">
        <v>0.61</v>
      </c>
      <c r="R504" s="26" t="s">
        <v>126</v>
      </c>
      <c r="S504" s="26" t="s">
        <v>1688</v>
      </c>
      <c r="T504" s="12"/>
      <c r="U504" s="12">
        <v>3.49</v>
      </c>
      <c r="V504" s="12"/>
      <c r="W504" s="12"/>
      <c r="X504" s="12"/>
      <c r="Y504" s="12"/>
      <c r="Z504" s="12"/>
      <c r="AA504" s="12"/>
    </row>
    <row r="505" spans="1:27" ht="158.25" customHeight="1" x14ac:dyDescent="0.2">
      <c r="A505" s="23" t="s">
        <v>1676</v>
      </c>
      <c r="B505" s="14" t="s">
        <v>1689</v>
      </c>
      <c r="C505" s="14" t="s">
        <v>101</v>
      </c>
      <c r="D505" s="12"/>
      <c r="E505" s="14" t="s">
        <v>60</v>
      </c>
      <c r="F505" s="14" t="s">
        <v>72</v>
      </c>
      <c r="G505" s="12"/>
      <c r="H505" s="17" t="s">
        <v>1690</v>
      </c>
      <c r="I505" s="17" t="s">
        <v>74</v>
      </c>
      <c r="J505" s="14" t="s">
        <v>1691</v>
      </c>
      <c r="K505" s="12"/>
      <c r="L505" s="12"/>
      <c r="M505" s="12"/>
      <c r="N505" s="12"/>
      <c r="O505" s="30" t="str">
        <f>HYPERLINK("http://www.hamline.edu/undergraduate/admission/first-year-scholarships.html","http://www.hamline.edu/undergraduate/admission/first-year-scholarships.html")</f>
        <v>http://www.hamline.edu/undergraduate/admission/first-year-scholarships.html</v>
      </c>
      <c r="P505" s="33">
        <v>39629</v>
      </c>
      <c r="Q505" s="25">
        <v>0.72</v>
      </c>
      <c r="R505" s="14" t="s">
        <v>364</v>
      </c>
      <c r="S505" s="14" t="s">
        <v>1692</v>
      </c>
      <c r="T505" s="12"/>
      <c r="U505" s="12">
        <v>3.44</v>
      </c>
      <c r="V505" s="12"/>
      <c r="W505" s="12"/>
      <c r="X505" s="12"/>
      <c r="Y505" s="12"/>
      <c r="Z505" s="12"/>
      <c r="AA505" s="12"/>
    </row>
    <row r="506" spans="1:27" ht="126.75" customHeight="1" x14ac:dyDescent="0.2">
      <c r="A506" s="23" t="s">
        <v>1676</v>
      </c>
      <c r="B506" s="14" t="s">
        <v>1693</v>
      </c>
      <c r="C506" s="14" t="s">
        <v>59</v>
      </c>
      <c r="D506" s="12"/>
      <c r="E506" s="14" t="s">
        <v>60</v>
      </c>
      <c r="F506" s="14" t="s">
        <v>145</v>
      </c>
      <c r="G506" s="12"/>
      <c r="H506" s="17" t="s">
        <v>157</v>
      </c>
      <c r="I506" s="17" t="s">
        <v>74</v>
      </c>
      <c r="J506" s="14" t="s">
        <v>1694</v>
      </c>
      <c r="K506" s="12"/>
      <c r="L506" s="12"/>
      <c r="M506" s="12"/>
      <c r="N506" s="12"/>
      <c r="O506" s="30" t="str">
        <f>HYPERLINK("http://www.mnsu.edu/admissions/scholarships/","http://www.mnsu.edu/admissions/scholarships/")</f>
        <v>http://www.mnsu.edu/admissions/scholarships/</v>
      </c>
      <c r="P506" s="14" t="s">
        <v>1695</v>
      </c>
      <c r="Q506" s="25">
        <v>0.66600000000000004</v>
      </c>
      <c r="R506" s="14" t="s">
        <v>120</v>
      </c>
      <c r="S506" s="14" t="s">
        <v>1184</v>
      </c>
      <c r="T506" s="12"/>
      <c r="U506" s="12">
        <v>3.17</v>
      </c>
      <c r="V506" s="12"/>
      <c r="W506" s="12"/>
      <c r="X506" s="12"/>
      <c r="Y506" s="12"/>
      <c r="Z506" s="12"/>
      <c r="AA506" s="12"/>
    </row>
    <row r="507" spans="1:27" ht="301" x14ac:dyDescent="0.2">
      <c r="A507" s="23" t="s">
        <v>1676</v>
      </c>
      <c r="B507" s="14" t="s">
        <v>1696</v>
      </c>
      <c r="C507" s="14" t="s">
        <v>101</v>
      </c>
      <c r="D507" s="12"/>
      <c r="E507" s="14" t="s">
        <v>177</v>
      </c>
      <c r="F507" s="14" t="s">
        <v>72</v>
      </c>
      <c r="G507" s="12"/>
      <c r="H507" s="17" t="s">
        <v>1697</v>
      </c>
      <c r="I507" s="17">
        <v>1</v>
      </c>
      <c r="J507" s="56" t="s">
        <v>1698</v>
      </c>
      <c r="K507" s="24">
        <v>30</v>
      </c>
      <c r="L507" s="24">
        <v>1320</v>
      </c>
      <c r="M507" s="12"/>
      <c r="N507" s="24">
        <v>3.5</v>
      </c>
      <c r="O507" s="30" t="str">
        <f>HYPERLINK("http://www.northcentral.edu/financial-aid/types-of-aid-available/regents-scholarship","http://www.northcentral.edu/financial-aid/types-of-aid-available/regents-scholarship")</f>
        <v>http://www.northcentral.edu/financial-aid/types-of-aid-available/regents-scholarship</v>
      </c>
      <c r="P507" s="33">
        <v>22240</v>
      </c>
      <c r="Q507" s="25">
        <v>0.91200000000000003</v>
      </c>
      <c r="R507" s="12" t="s">
        <v>259</v>
      </c>
      <c r="S507" s="12" t="s">
        <v>1699</v>
      </c>
      <c r="T507" s="12"/>
      <c r="U507" s="12" t="s">
        <v>81</v>
      </c>
      <c r="V507" s="12"/>
      <c r="W507" s="12"/>
      <c r="X507" s="12"/>
      <c r="Y507" s="12"/>
      <c r="Z507" s="12"/>
      <c r="AA507" s="12"/>
    </row>
    <row r="508" spans="1:27" ht="79.5" customHeight="1" x14ac:dyDescent="0.2">
      <c r="A508" s="23" t="s">
        <v>1676</v>
      </c>
      <c r="B508" s="14" t="s">
        <v>1700</v>
      </c>
      <c r="C508" s="14" t="s">
        <v>59</v>
      </c>
      <c r="D508" s="14"/>
      <c r="E508" s="14" t="s">
        <v>177</v>
      </c>
      <c r="F508" s="14" t="s">
        <v>72</v>
      </c>
      <c r="G508" s="12"/>
      <c r="H508" s="17" t="s">
        <v>239</v>
      </c>
      <c r="I508" s="17" t="s">
        <v>74</v>
      </c>
      <c r="J508" s="14" t="s">
        <v>1701</v>
      </c>
      <c r="K508" s="12"/>
      <c r="L508" s="12"/>
      <c r="M508" s="12"/>
      <c r="N508" s="12"/>
      <c r="O508" s="30" t="str">
        <f t="shared" ref="O508:O509" si="76">HYPERLINK("http://admissions.morris.umn.edu/scholarships/","http://admissions.morris.umn.edu/scholarships/")</f>
        <v>http://admissions.morris.umn.edu/scholarships/</v>
      </c>
      <c r="P508" s="14" t="s">
        <v>1702</v>
      </c>
      <c r="Q508" s="25">
        <v>0.6</v>
      </c>
      <c r="R508" s="34" t="s">
        <v>224</v>
      </c>
      <c r="S508" s="34" t="s">
        <v>1703</v>
      </c>
      <c r="T508" s="12"/>
      <c r="U508" s="12">
        <v>3.62</v>
      </c>
      <c r="V508" s="12"/>
      <c r="W508" s="12"/>
      <c r="X508" s="12"/>
      <c r="Y508" s="12"/>
      <c r="Z508" s="12"/>
      <c r="AA508" s="12"/>
    </row>
    <row r="509" spans="1:27" ht="221.25" customHeight="1" x14ac:dyDescent="0.2">
      <c r="A509" s="23" t="s">
        <v>1676</v>
      </c>
      <c r="B509" s="14" t="s">
        <v>1700</v>
      </c>
      <c r="C509" s="14" t="s">
        <v>59</v>
      </c>
      <c r="D509" s="14"/>
      <c r="E509" s="14" t="s">
        <v>1704</v>
      </c>
      <c r="F509" s="14" t="s">
        <v>92</v>
      </c>
      <c r="G509" s="12"/>
      <c r="H509" s="17" t="s">
        <v>93</v>
      </c>
      <c r="I509" s="17" t="s">
        <v>63</v>
      </c>
      <c r="J509" s="14" t="s">
        <v>1705</v>
      </c>
      <c r="K509" s="12"/>
      <c r="L509" s="12"/>
      <c r="M509" s="12"/>
      <c r="N509" s="12"/>
      <c r="O509" s="30" t="str">
        <f t="shared" si="76"/>
        <v>http://admissions.morris.umn.edu/scholarships/</v>
      </c>
      <c r="P509" s="14" t="s">
        <v>1702</v>
      </c>
      <c r="Q509" s="25">
        <v>0.6</v>
      </c>
      <c r="R509" s="34" t="s">
        <v>224</v>
      </c>
      <c r="S509" s="34" t="s">
        <v>1703</v>
      </c>
      <c r="T509" s="12"/>
      <c r="U509" s="12">
        <v>3.62</v>
      </c>
      <c r="V509" s="12"/>
      <c r="W509" s="12"/>
      <c r="X509" s="12"/>
      <c r="Y509" s="12"/>
      <c r="Z509" s="12"/>
      <c r="AA509" s="12"/>
    </row>
    <row r="510" spans="1:27" ht="158.25" customHeight="1" x14ac:dyDescent="0.2">
      <c r="A510" s="23" t="s">
        <v>1676</v>
      </c>
      <c r="B510" s="14" t="s">
        <v>1706</v>
      </c>
      <c r="C510" s="14" t="s">
        <v>101</v>
      </c>
      <c r="D510" s="17" t="s">
        <v>1707</v>
      </c>
      <c r="E510" s="14" t="s">
        <v>60</v>
      </c>
      <c r="F510" s="14" t="s">
        <v>72</v>
      </c>
      <c r="G510" s="12"/>
      <c r="H510" s="17" t="s">
        <v>1708</v>
      </c>
      <c r="I510" s="17" t="s">
        <v>74</v>
      </c>
      <c r="J510" s="14" t="s">
        <v>1709</v>
      </c>
      <c r="K510" s="12"/>
      <c r="L510" s="12"/>
      <c r="M510" s="12"/>
      <c r="N510" s="12"/>
      <c r="O510" s="30" t="str">
        <f t="shared" ref="O510:O511" si="77">HYPERLINK("https://www.stthomas.edu/financialaid/undergraduate/typesofaid/scholarships/stthomasscholarships/","https://www.stthomas.edu/financialaid/undergraduate/typesofaid/scholarships/stthomasscholarships/")</f>
        <v>https://www.stthomas.edu/financialaid/undergraduate/typesofaid/scholarships/stthomasscholarships/</v>
      </c>
      <c r="P510" s="33">
        <v>39594</v>
      </c>
      <c r="Q510" s="25">
        <v>0.84</v>
      </c>
      <c r="R510" s="14" t="s">
        <v>687</v>
      </c>
      <c r="S510" s="14" t="s">
        <v>1184</v>
      </c>
      <c r="T510" s="12"/>
      <c r="U510" s="12">
        <v>3.6</v>
      </c>
      <c r="V510" s="12"/>
      <c r="W510" s="12"/>
      <c r="X510" s="12"/>
      <c r="Y510" s="12"/>
      <c r="Z510" s="12"/>
      <c r="AA510" s="12"/>
    </row>
    <row r="511" spans="1:27" ht="174" customHeight="1" x14ac:dyDescent="0.2">
      <c r="A511" s="23" t="s">
        <v>1676</v>
      </c>
      <c r="B511" s="14" t="s">
        <v>1706</v>
      </c>
      <c r="C511" s="14" t="s">
        <v>101</v>
      </c>
      <c r="D511" s="12"/>
      <c r="E511" s="14" t="s">
        <v>60</v>
      </c>
      <c r="F511" s="14" t="s">
        <v>72</v>
      </c>
      <c r="G511" s="12"/>
      <c r="H511" s="17" t="s">
        <v>1710</v>
      </c>
      <c r="I511" s="17">
        <v>2</v>
      </c>
      <c r="J511" s="14" t="s">
        <v>1711</v>
      </c>
      <c r="K511" s="12"/>
      <c r="L511" s="12"/>
      <c r="M511" s="12"/>
      <c r="N511" s="12"/>
      <c r="O511" s="30" t="str">
        <f t="shared" si="77"/>
        <v>https://www.stthomas.edu/financialaid/undergraduate/typesofaid/scholarships/stthomasscholarships/</v>
      </c>
      <c r="P511" s="33">
        <v>39594</v>
      </c>
      <c r="Q511" s="25">
        <v>0.84</v>
      </c>
      <c r="R511" s="14" t="s">
        <v>687</v>
      </c>
      <c r="S511" s="14" t="s">
        <v>1184</v>
      </c>
      <c r="T511" s="12"/>
      <c r="U511" s="12">
        <v>3.6</v>
      </c>
      <c r="V511" s="12"/>
      <c r="W511" s="12"/>
      <c r="X511" s="12"/>
      <c r="Y511" s="12"/>
      <c r="Z511" s="12"/>
      <c r="AA511" s="12"/>
    </row>
    <row r="512" spans="1:27" ht="231" customHeight="1" x14ac:dyDescent="0.2">
      <c r="A512" s="23" t="s">
        <v>1712</v>
      </c>
      <c r="B512" s="14" t="s">
        <v>1713</v>
      </c>
      <c r="C512" s="14" t="s">
        <v>101</v>
      </c>
      <c r="D512" s="12"/>
      <c r="E512" s="14" t="s">
        <v>238</v>
      </c>
      <c r="F512" s="14" t="s">
        <v>72</v>
      </c>
      <c r="G512" s="12"/>
      <c r="H512" s="17" t="s">
        <v>837</v>
      </c>
      <c r="I512" s="17" t="s">
        <v>74</v>
      </c>
      <c r="J512" s="12" t="s">
        <v>1714</v>
      </c>
      <c r="K512" s="24">
        <v>26</v>
      </c>
      <c r="L512" s="12"/>
      <c r="M512" s="12"/>
      <c r="N512" s="24">
        <v>3.5</v>
      </c>
      <c r="O512" s="19" t="s">
        <v>1715</v>
      </c>
      <c r="P512" s="33">
        <v>23010</v>
      </c>
      <c r="Q512" s="25">
        <v>0.57999999999999996</v>
      </c>
      <c r="R512" s="12" t="s">
        <v>124</v>
      </c>
      <c r="S512" s="12" t="s">
        <v>1716</v>
      </c>
      <c r="T512" s="12"/>
      <c r="U512" s="12">
        <v>3.45</v>
      </c>
      <c r="V512" s="12"/>
      <c r="W512" s="12"/>
      <c r="X512" s="12"/>
      <c r="Y512" s="12"/>
      <c r="Z512" s="12"/>
      <c r="AA512" s="12"/>
    </row>
    <row r="513" spans="1:27" ht="90.75" customHeight="1" x14ac:dyDescent="0.2">
      <c r="A513" s="11" t="s">
        <v>1712</v>
      </c>
      <c r="B513" s="12" t="s">
        <v>1717</v>
      </c>
      <c r="C513" s="26" t="s">
        <v>101</v>
      </c>
      <c r="D513" s="12"/>
      <c r="E513" s="12" t="s">
        <v>60</v>
      </c>
      <c r="F513" s="11" t="s">
        <v>72</v>
      </c>
      <c r="G513" s="12"/>
      <c r="H513" s="17" t="s">
        <v>1718</v>
      </c>
      <c r="I513" s="17">
        <v>10</v>
      </c>
      <c r="J513" s="26" t="s">
        <v>1719</v>
      </c>
      <c r="K513" s="28">
        <v>26</v>
      </c>
      <c r="L513" s="12"/>
      <c r="M513" s="12"/>
      <c r="N513" s="26">
        <v>3.6</v>
      </c>
      <c r="O513" s="30" t="str">
        <f>HYPERLINK("http://www.ccis.edu/offices/financialaid/scholarshipfinder/FreshmanScholarships-categorized.aspx","http://www.ccis.edu/offices/financialaid/scholarshipfinder/FreshmanScholarships-categorized.aspx")</f>
        <v>http://www.ccis.edu/offices/financialaid/scholarshipfinder/FreshmanScholarships-categorized.aspx</v>
      </c>
      <c r="P513" s="38">
        <v>20936</v>
      </c>
      <c r="Q513" s="62">
        <v>0.71</v>
      </c>
      <c r="R513" s="26" t="s">
        <v>1720</v>
      </c>
      <c r="S513" s="26" t="s">
        <v>1721</v>
      </c>
      <c r="T513" s="12"/>
      <c r="U513" s="12">
        <v>3.48</v>
      </c>
      <c r="V513" s="12"/>
      <c r="W513" s="12"/>
      <c r="X513" s="12"/>
      <c r="Y513" s="12"/>
      <c r="Z513" s="12"/>
      <c r="AA513" s="12"/>
    </row>
    <row r="514" spans="1:27" ht="241" x14ac:dyDescent="0.2">
      <c r="A514" s="23" t="s">
        <v>1712</v>
      </c>
      <c r="B514" s="14" t="s">
        <v>1722</v>
      </c>
      <c r="C514" s="14" t="s">
        <v>101</v>
      </c>
      <c r="D514" s="12"/>
      <c r="E514" s="14" t="s">
        <v>177</v>
      </c>
      <c r="F514" s="14" t="s">
        <v>72</v>
      </c>
      <c r="G514" s="12"/>
      <c r="H514" s="17" t="s">
        <v>1723</v>
      </c>
      <c r="I514" s="17" t="s">
        <v>74</v>
      </c>
      <c r="J514" s="56" t="s">
        <v>1724</v>
      </c>
      <c r="K514" s="24">
        <v>26</v>
      </c>
      <c r="L514" s="18">
        <v>1240</v>
      </c>
      <c r="M514" s="16" t="s">
        <v>76</v>
      </c>
      <c r="N514" s="24">
        <v>3.75</v>
      </c>
      <c r="O514" s="19" t="s">
        <v>1725</v>
      </c>
      <c r="P514" s="33">
        <v>25415</v>
      </c>
      <c r="Q514" s="25">
        <v>0.56000000000000005</v>
      </c>
      <c r="R514" s="12" t="s">
        <v>550</v>
      </c>
      <c r="S514" s="12" t="s">
        <v>1726</v>
      </c>
      <c r="T514" s="12"/>
      <c r="U514" s="12">
        <v>3.12</v>
      </c>
      <c r="V514" s="12"/>
      <c r="W514" s="12"/>
      <c r="X514" s="12"/>
      <c r="Y514" s="12"/>
      <c r="Z514" s="12"/>
      <c r="AA514" s="12"/>
    </row>
    <row r="515" spans="1:27" ht="95.25" customHeight="1" x14ac:dyDescent="0.2">
      <c r="A515" s="23" t="s">
        <v>1712</v>
      </c>
      <c r="B515" s="14" t="s">
        <v>1727</v>
      </c>
      <c r="C515" s="14" t="s">
        <v>101</v>
      </c>
      <c r="D515" s="12"/>
      <c r="E515" s="14" t="s">
        <v>60</v>
      </c>
      <c r="F515" s="14" t="s">
        <v>72</v>
      </c>
      <c r="G515" s="12"/>
      <c r="H515" s="17" t="s">
        <v>950</v>
      </c>
      <c r="I515" s="17">
        <v>5</v>
      </c>
      <c r="J515" s="14" t="s">
        <v>1728</v>
      </c>
      <c r="K515" s="12"/>
      <c r="L515" s="12"/>
      <c r="M515" s="12"/>
      <c r="N515" s="12"/>
      <c r="O515" s="30" t="str">
        <f>HYPERLINK("https://www.fontbonne.edu/financial-aid/available-aid-2/fontbonne-scholarships-and-institutional-aid-2/#merit","https://www.fontbonne.edu/financial-aid/available-aid-2/fontbonne-scholarships-and-institutional-aid-2/#merit")</f>
        <v>https://www.fontbonne.edu/financial-aid/available-aid-2/fontbonne-scholarships-and-institutional-aid-2/#merit</v>
      </c>
      <c r="P515" s="33">
        <v>24610</v>
      </c>
      <c r="Q515" s="25">
        <v>0.97</v>
      </c>
      <c r="R515" s="14" t="s">
        <v>124</v>
      </c>
      <c r="S515" s="14" t="s">
        <v>1184</v>
      </c>
      <c r="T515" s="12"/>
      <c r="U515" s="12">
        <v>3.43</v>
      </c>
      <c r="V515" s="12"/>
      <c r="W515" s="12"/>
      <c r="X515" s="12"/>
      <c r="Y515" s="12"/>
      <c r="Z515" s="12"/>
      <c r="AA515" s="12"/>
    </row>
    <row r="516" spans="1:27" ht="95.25" customHeight="1" x14ac:dyDescent="0.2">
      <c r="A516" s="23" t="s">
        <v>1712</v>
      </c>
      <c r="B516" s="14" t="s">
        <v>1729</v>
      </c>
      <c r="C516" s="14" t="s">
        <v>101</v>
      </c>
      <c r="D516" s="17" t="s">
        <v>1730</v>
      </c>
      <c r="E516" s="14" t="s">
        <v>111</v>
      </c>
      <c r="F516" s="14" t="s">
        <v>72</v>
      </c>
      <c r="G516" s="12"/>
      <c r="H516" s="17" t="s">
        <v>1731</v>
      </c>
      <c r="I516" s="17" t="s">
        <v>74</v>
      </c>
      <c r="J516" s="14" t="s">
        <v>1732</v>
      </c>
      <c r="K516" s="24">
        <v>23</v>
      </c>
      <c r="L516" s="24">
        <v>1040</v>
      </c>
      <c r="M516" s="16" t="s">
        <v>76</v>
      </c>
      <c r="N516" s="24">
        <v>3.25</v>
      </c>
      <c r="O516" s="30" t="str">
        <f t="shared" ref="O516:O518" si="78">HYPERLINK("https://www.maryville.edu/admissions/financial-aid/scholarships/","https://www.maryville.edu/admissions/financial-aid/scholarships/")</f>
        <v>https://www.maryville.edu/admissions/financial-aid/scholarships/</v>
      </c>
      <c r="P516" s="33">
        <v>27958</v>
      </c>
      <c r="Q516" s="58">
        <v>0.72</v>
      </c>
      <c r="R516" s="14" t="s">
        <v>1733</v>
      </c>
      <c r="S516" s="14" t="s">
        <v>1184</v>
      </c>
      <c r="T516" s="12"/>
      <c r="U516" s="12">
        <v>3.7</v>
      </c>
      <c r="V516" s="12"/>
      <c r="W516" s="12"/>
      <c r="X516" s="12"/>
      <c r="Y516" s="12"/>
      <c r="Z516" s="12"/>
      <c r="AA516" s="12"/>
    </row>
    <row r="517" spans="1:27" ht="126.75" customHeight="1" x14ac:dyDescent="0.2">
      <c r="A517" s="23" t="s">
        <v>1712</v>
      </c>
      <c r="B517" s="14" t="s">
        <v>1729</v>
      </c>
      <c r="C517" s="14" t="s">
        <v>101</v>
      </c>
      <c r="D517" s="12"/>
      <c r="E517" s="14" t="s">
        <v>111</v>
      </c>
      <c r="F517" s="14" t="s">
        <v>72</v>
      </c>
      <c r="G517" s="12"/>
      <c r="H517" s="17" t="s">
        <v>1045</v>
      </c>
      <c r="I517" s="17" t="s">
        <v>74</v>
      </c>
      <c r="J517" s="14" t="s">
        <v>1734</v>
      </c>
      <c r="K517" s="24">
        <v>27</v>
      </c>
      <c r="L517" s="18">
        <v>1290</v>
      </c>
      <c r="M517" s="16" t="s">
        <v>76</v>
      </c>
      <c r="N517" s="24">
        <v>3.75</v>
      </c>
      <c r="O517" s="30" t="str">
        <f t="shared" si="78"/>
        <v>https://www.maryville.edu/admissions/financial-aid/scholarships/</v>
      </c>
      <c r="P517" s="33">
        <v>27958</v>
      </c>
      <c r="Q517" s="58">
        <v>0.72</v>
      </c>
      <c r="R517" s="14" t="s">
        <v>1733</v>
      </c>
      <c r="S517" s="14" t="s">
        <v>1184</v>
      </c>
      <c r="T517" s="12"/>
      <c r="U517" s="12">
        <v>3.7</v>
      </c>
      <c r="V517" s="12"/>
      <c r="W517" s="12"/>
      <c r="X517" s="12"/>
      <c r="Y517" s="12"/>
      <c r="Z517" s="12"/>
      <c r="AA517" s="12"/>
    </row>
    <row r="518" spans="1:27" ht="126.75" customHeight="1" x14ac:dyDescent="0.2">
      <c r="A518" s="23" t="s">
        <v>1712</v>
      </c>
      <c r="B518" s="14" t="s">
        <v>1729</v>
      </c>
      <c r="C518" s="14" t="s">
        <v>101</v>
      </c>
      <c r="D518" s="12"/>
      <c r="E518" s="14" t="s">
        <v>60</v>
      </c>
      <c r="F518" s="14" t="s">
        <v>72</v>
      </c>
      <c r="G518" s="12"/>
      <c r="H518" s="17" t="s">
        <v>1045</v>
      </c>
      <c r="I518" s="17" t="s">
        <v>74</v>
      </c>
      <c r="J518" s="14" t="s">
        <v>1735</v>
      </c>
      <c r="K518" s="24">
        <v>27</v>
      </c>
      <c r="L518" s="18">
        <v>1290</v>
      </c>
      <c r="M518" s="16" t="s">
        <v>76</v>
      </c>
      <c r="N518" s="24">
        <v>3.75</v>
      </c>
      <c r="O518" s="30" t="str">
        <f t="shared" si="78"/>
        <v>https://www.maryville.edu/admissions/financial-aid/scholarships/</v>
      </c>
      <c r="P518" s="33">
        <v>27958</v>
      </c>
      <c r="Q518" s="58">
        <v>0.72</v>
      </c>
      <c r="R518" s="14" t="s">
        <v>1733</v>
      </c>
      <c r="S518" s="14" t="s">
        <v>1184</v>
      </c>
      <c r="T518" s="12"/>
      <c r="U518" s="12">
        <v>3.7</v>
      </c>
      <c r="V518" s="14"/>
      <c r="W518" s="14"/>
      <c r="X518" s="14"/>
      <c r="Y518" s="14"/>
      <c r="Z518" s="14"/>
      <c r="AA518" s="14"/>
    </row>
    <row r="519" spans="1:27" ht="280" x14ac:dyDescent="0.2">
      <c r="A519" s="23" t="s">
        <v>1712</v>
      </c>
      <c r="B519" s="14" t="s">
        <v>1736</v>
      </c>
      <c r="C519" s="61" t="s">
        <v>59</v>
      </c>
      <c r="D519" s="61"/>
      <c r="E519" s="14" t="s">
        <v>1737</v>
      </c>
      <c r="F519" s="23" t="s">
        <v>72</v>
      </c>
      <c r="G519" s="14"/>
      <c r="H519" s="16" t="s">
        <v>1738</v>
      </c>
      <c r="I519" s="16">
        <v>35</v>
      </c>
      <c r="J519" s="27" t="s">
        <v>1739</v>
      </c>
      <c r="K519" s="28">
        <v>30</v>
      </c>
      <c r="L519" s="28">
        <v>1400</v>
      </c>
      <c r="M519" s="181" t="s">
        <v>76</v>
      </c>
      <c r="N519" s="61">
        <v>3.9</v>
      </c>
      <c r="O519" s="49" t="str">
        <f>HYPERLINK("http://www.missouristate.edu/FinancialAid/scholarships/Freshman.htm","http://www.missouristate.edu/FinancialAid/scholarships/Freshman.htm")</f>
        <v>http://www.missouristate.edu/FinancialAid/scholarships/Freshman.htm</v>
      </c>
      <c r="P519" s="61" t="s">
        <v>1740</v>
      </c>
      <c r="Q519" s="182">
        <v>0.16</v>
      </c>
      <c r="R519" s="61" t="s">
        <v>565</v>
      </c>
      <c r="S519" s="61" t="s">
        <v>1741</v>
      </c>
      <c r="T519" s="14"/>
      <c r="U519" s="14">
        <v>3.63</v>
      </c>
      <c r="V519" s="12"/>
      <c r="W519" s="12"/>
      <c r="X519" s="12"/>
      <c r="Y519" s="12"/>
      <c r="Z519" s="12"/>
      <c r="AA519" s="12"/>
    </row>
    <row r="520" spans="1:27" ht="126.75" customHeight="1" x14ac:dyDescent="0.2">
      <c r="A520" s="23" t="s">
        <v>1712</v>
      </c>
      <c r="B520" s="14" t="s">
        <v>1742</v>
      </c>
      <c r="C520" s="14" t="s">
        <v>101</v>
      </c>
      <c r="D520" s="12"/>
      <c r="E520" s="14" t="s">
        <v>177</v>
      </c>
      <c r="F520" s="14" t="s">
        <v>72</v>
      </c>
      <c r="G520" s="12"/>
      <c r="H520" s="17" t="s">
        <v>1743</v>
      </c>
      <c r="I520" s="17" t="s">
        <v>74</v>
      </c>
      <c r="J520" s="14" t="s">
        <v>1744</v>
      </c>
      <c r="K520" s="12"/>
      <c r="L520" s="12"/>
      <c r="M520" s="12"/>
      <c r="N520" s="12"/>
      <c r="O520" s="30" t="str">
        <f t="shared" ref="O520:O521" si="79">HYPERLINK("http://www.rockhurst.edu/admissions/scholarships-financial-aid/undergraduate-students/first-time-freshmen-scholarship/","http://www.rockhurst.edu/admissions/scholarships-financial-aid/undergraduate-students/first-time-freshmen-scholarship/")</f>
        <v>http://www.rockhurst.edu/admissions/scholarships-financial-aid/undergraduate-students/first-time-freshmen-scholarship/</v>
      </c>
      <c r="P520" s="33">
        <v>35670</v>
      </c>
      <c r="Q520" s="25">
        <v>0.74</v>
      </c>
      <c r="R520" s="14" t="s">
        <v>266</v>
      </c>
      <c r="S520" s="14" t="s">
        <v>1745</v>
      </c>
      <c r="T520" s="12"/>
      <c r="U520" s="12">
        <v>3.62</v>
      </c>
      <c r="V520" s="12"/>
      <c r="W520" s="12"/>
      <c r="X520" s="12"/>
      <c r="Y520" s="12"/>
      <c r="Z520" s="12"/>
      <c r="AA520" s="12"/>
    </row>
    <row r="521" spans="1:27" ht="237" customHeight="1" x14ac:dyDescent="0.2">
      <c r="A521" s="23" t="s">
        <v>1712</v>
      </c>
      <c r="B521" s="14" t="s">
        <v>1742</v>
      </c>
      <c r="C521" s="14" t="s">
        <v>101</v>
      </c>
      <c r="D521" s="12"/>
      <c r="E521" s="14" t="s">
        <v>177</v>
      </c>
      <c r="F521" s="14" t="s">
        <v>72</v>
      </c>
      <c r="G521" s="12"/>
      <c r="H521" s="17" t="s">
        <v>1529</v>
      </c>
      <c r="I521" s="17" t="s">
        <v>74</v>
      </c>
      <c r="J521" s="14" t="s">
        <v>1746</v>
      </c>
      <c r="K521" s="12"/>
      <c r="L521" s="12"/>
      <c r="M521" s="12"/>
      <c r="N521" s="12"/>
      <c r="O521" s="30" t="str">
        <f t="shared" si="79"/>
        <v>http://www.rockhurst.edu/admissions/scholarships-financial-aid/undergraduate-students/first-time-freshmen-scholarship/</v>
      </c>
      <c r="P521" s="33">
        <v>35670</v>
      </c>
      <c r="Q521" s="25">
        <v>0.74</v>
      </c>
      <c r="R521" s="14" t="s">
        <v>266</v>
      </c>
      <c r="S521" s="14" t="s">
        <v>1745</v>
      </c>
      <c r="T521" s="12"/>
      <c r="U521" s="12">
        <v>3.62</v>
      </c>
      <c r="V521" s="12"/>
      <c r="W521" s="12"/>
      <c r="X521" s="12"/>
      <c r="Y521" s="12"/>
      <c r="Z521" s="12"/>
      <c r="AA521" s="12"/>
    </row>
    <row r="522" spans="1:27" ht="237" customHeight="1" x14ac:dyDescent="0.2">
      <c r="A522" s="23" t="s">
        <v>1712</v>
      </c>
      <c r="B522" s="14" t="s">
        <v>1747</v>
      </c>
      <c r="C522" s="14" t="s">
        <v>101</v>
      </c>
      <c r="D522" s="12"/>
      <c r="E522" s="14" t="s">
        <v>60</v>
      </c>
      <c r="F522" s="14" t="s">
        <v>72</v>
      </c>
      <c r="G522" s="12"/>
      <c r="H522" s="17" t="s">
        <v>250</v>
      </c>
      <c r="I522" s="17" t="s">
        <v>74</v>
      </c>
      <c r="J522" s="14" t="s">
        <v>1748</v>
      </c>
      <c r="K522" s="24">
        <v>30</v>
      </c>
      <c r="L522" s="18">
        <v>1390</v>
      </c>
      <c r="M522" s="16" t="s">
        <v>76</v>
      </c>
      <c r="N522" s="24">
        <v>3.85</v>
      </c>
      <c r="O522" s="30" t="str">
        <f>HYPERLINK("http://www.slu.edu/financial-aid/types-of-aid/scholarships.php","http://www.slu.edu/financial-aid/types-of-aid/scholarships.php")</f>
        <v>http://www.slu.edu/financial-aid/types-of-aid/scholarships.php</v>
      </c>
      <c r="P522" s="33">
        <v>40726</v>
      </c>
      <c r="Q522" s="25">
        <v>0.63</v>
      </c>
      <c r="R522" s="14" t="s">
        <v>231</v>
      </c>
      <c r="S522" s="14" t="s">
        <v>1749</v>
      </c>
      <c r="T522" s="12"/>
      <c r="U522" s="12">
        <v>3.93</v>
      </c>
      <c r="V522" s="12"/>
      <c r="W522" s="12"/>
      <c r="X522" s="12"/>
      <c r="Y522" s="12"/>
      <c r="Z522" s="12"/>
      <c r="AA522" s="12"/>
    </row>
    <row r="523" spans="1:27" ht="221.25" customHeight="1" x14ac:dyDescent="0.2">
      <c r="A523" s="23" t="s">
        <v>1712</v>
      </c>
      <c r="B523" s="14" t="s">
        <v>1750</v>
      </c>
      <c r="C523" s="14" t="s">
        <v>59</v>
      </c>
      <c r="D523" s="14"/>
      <c r="E523" s="14" t="s">
        <v>82</v>
      </c>
      <c r="F523" s="14" t="s">
        <v>72</v>
      </c>
      <c r="G523" s="14" t="s">
        <v>186</v>
      </c>
      <c r="H523" s="16" t="s">
        <v>1751</v>
      </c>
      <c r="I523" s="16">
        <v>12</v>
      </c>
      <c r="J523" s="14" t="s">
        <v>1752</v>
      </c>
      <c r="K523" s="12"/>
      <c r="L523" s="12"/>
      <c r="M523" s="12"/>
      <c r="N523" s="12"/>
      <c r="O523" s="30" t="str">
        <f>HYPERLINK("http://www.truman.edu/admission-cost/cost-aid/scholarships/competitive-scholarships/","http://www.truman.edu/admission-cost/cost-aid/scholarships/competitive-scholarships/")</f>
        <v>http://www.truman.edu/admission-cost/cost-aid/scholarships/competitive-scholarships/</v>
      </c>
      <c r="P523" s="14" t="s">
        <v>1753</v>
      </c>
      <c r="Q523" s="25">
        <v>0.79</v>
      </c>
      <c r="R523" s="14" t="s">
        <v>426</v>
      </c>
      <c r="S523" s="14" t="s">
        <v>1754</v>
      </c>
      <c r="T523" s="12"/>
      <c r="U523" s="12">
        <v>3.76</v>
      </c>
      <c r="V523" s="12"/>
      <c r="W523" s="12"/>
      <c r="X523" s="12"/>
      <c r="Y523" s="12"/>
      <c r="Z523" s="12"/>
      <c r="AA523" s="12"/>
    </row>
    <row r="524" spans="1:27" ht="126.75" customHeight="1" x14ac:dyDescent="0.2">
      <c r="A524" s="23" t="s">
        <v>1712</v>
      </c>
      <c r="B524" s="14" t="s">
        <v>1755</v>
      </c>
      <c r="C524" s="14" t="s">
        <v>59</v>
      </c>
      <c r="D524" s="12"/>
      <c r="E524" s="14" t="s">
        <v>111</v>
      </c>
      <c r="F524" s="14" t="s">
        <v>145</v>
      </c>
      <c r="G524" s="12"/>
      <c r="H524" s="17" t="s">
        <v>157</v>
      </c>
      <c r="I524" s="17" t="s">
        <v>74</v>
      </c>
      <c r="J524" s="14" t="s">
        <v>1756</v>
      </c>
      <c r="K524" s="12"/>
      <c r="L524" s="12"/>
      <c r="M524" s="12"/>
      <c r="N524" s="12"/>
      <c r="O524" s="30" t="str">
        <f>HYPERLINK("http://financialaid.missouri.edu/types-of-aid/scholarships/scholarships/rotc/index.php","http://financialaid.missouri.edu/types-of-aid/scholarships/scholarships/rotc/index.php")</f>
        <v>http://financialaid.missouri.edu/types-of-aid/scholarships/scholarships/rotc/index.php</v>
      </c>
      <c r="P524" s="14" t="s">
        <v>1757</v>
      </c>
      <c r="Q524" s="25">
        <v>0.78</v>
      </c>
      <c r="R524" s="14" t="s">
        <v>687</v>
      </c>
      <c r="S524" s="14" t="s">
        <v>1758</v>
      </c>
      <c r="T524" s="12"/>
      <c r="U524" s="12" t="s">
        <v>81</v>
      </c>
      <c r="V524" s="12"/>
      <c r="W524" s="12"/>
      <c r="X524" s="12"/>
      <c r="Y524" s="12"/>
      <c r="Z524" s="12"/>
      <c r="AA524" s="12"/>
    </row>
    <row r="525" spans="1:27" ht="111" customHeight="1" x14ac:dyDescent="0.2">
      <c r="A525" s="23" t="s">
        <v>1712</v>
      </c>
      <c r="B525" s="14" t="s">
        <v>1759</v>
      </c>
      <c r="C525" s="14" t="s">
        <v>59</v>
      </c>
      <c r="D525" s="12"/>
      <c r="E525" s="14" t="s">
        <v>724</v>
      </c>
      <c r="F525" s="14" t="s">
        <v>72</v>
      </c>
      <c r="G525" s="12"/>
      <c r="H525" s="17" t="s">
        <v>1760</v>
      </c>
      <c r="I525" s="17" t="s">
        <v>74</v>
      </c>
      <c r="J525" s="14" t="s">
        <v>1761</v>
      </c>
      <c r="K525" s="24">
        <v>30</v>
      </c>
      <c r="L525" s="12"/>
      <c r="M525" s="12"/>
      <c r="N525" s="17">
        <v>3.5</v>
      </c>
      <c r="O525" s="30" t="str">
        <f>HYPERLINK("http://finaid.umkc.edu/financial-aid/scholarships/","http://finaid.umkc.edu/financial-aid/scholarships/")</f>
        <v>http://finaid.umkc.edu/financial-aid/scholarships/</v>
      </c>
      <c r="P525" s="14" t="s">
        <v>1762</v>
      </c>
      <c r="Q525" s="25">
        <v>0.63</v>
      </c>
      <c r="R525" s="14" t="s">
        <v>364</v>
      </c>
      <c r="S525" s="14" t="s">
        <v>1763</v>
      </c>
      <c r="T525" s="12"/>
      <c r="U525" s="12">
        <v>3.36</v>
      </c>
      <c r="V525" s="14"/>
      <c r="W525" s="14"/>
      <c r="X525" s="14"/>
      <c r="Y525" s="14"/>
      <c r="Z525" s="14"/>
      <c r="AA525" s="14"/>
    </row>
    <row r="526" spans="1:27" ht="231" customHeight="1" x14ac:dyDescent="0.2">
      <c r="A526" s="23" t="s">
        <v>1712</v>
      </c>
      <c r="B526" s="14" t="s">
        <v>1764</v>
      </c>
      <c r="C526" s="61" t="s">
        <v>101</v>
      </c>
      <c r="D526" s="14"/>
      <c r="E526" s="14" t="s">
        <v>136</v>
      </c>
      <c r="F526" s="14" t="s">
        <v>72</v>
      </c>
      <c r="G526" s="14"/>
      <c r="H526" s="16" t="s">
        <v>239</v>
      </c>
      <c r="I526" s="16" t="s">
        <v>74</v>
      </c>
      <c r="J526" s="27" t="s">
        <v>1765</v>
      </c>
      <c r="K526" s="14"/>
      <c r="L526" s="14"/>
      <c r="M526" s="14"/>
      <c r="N526" s="14"/>
      <c r="O526" s="49" t="str">
        <f>HYPERLINK("https://admissions.wustl.edu/Financial_Aid_Scholarships/First_Year_Academic_Scholarships/Pages/Ervin-Scholars-Program.aspx","https://admissions.wustl.edu/Financial_Aid_Scholarships/First_Year_Academic_Scholarships/Pages/Ervin-Scholars-Program.aspx")</f>
        <v>https://admissions.wustl.edu/Financial_Aid_Scholarships/First_Year_Academic_Scholarships/Pages/Ervin-Scholars-Program.aspx</v>
      </c>
      <c r="P526" s="183">
        <v>49770</v>
      </c>
      <c r="Q526" s="182">
        <v>0.17</v>
      </c>
      <c r="R526" s="61" t="s">
        <v>1520</v>
      </c>
      <c r="S526" s="61" t="s">
        <v>1766</v>
      </c>
      <c r="T526" s="14"/>
      <c r="U526" s="14" t="s">
        <v>81</v>
      </c>
      <c r="V526" s="14"/>
      <c r="W526" s="14"/>
      <c r="X526" s="14"/>
      <c r="Y526" s="14"/>
      <c r="Z526" s="14"/>
      <c r="AA526" s="14"/>
    </row>
    <row r="527" spans="1:27" ht="294" x14ac:dyDescent="0.2">
      <c r="A527" s="23" t="s">
        <v>1712</v>
      </c>
      <c r="B527" s="14" t="s">
        <v>1764</v>
      </c>
      <c r="C527" s="61" t="s">
        <v>101</v>
      </c>
      <c r="D527" s="14"/>
      <c r="E527" s="14" t="s">
        <v>136</v>
      </c>
      <c r="F527" s="14" t="s">
        <v>72</v>
      </c>
      <c r="G527" s="14"/>
      <c r="H527" s="16" t="s">
        <v>1767</v>
      </c>
      <c r="I527" s="16" t="s">
        <v>74</v>
      </c>
      <c r="J527" s="27" t="s">
        <v>1768</v>
      </c>
      <c r="K527" s="14"/>
      <c r="L527" s="14"/>
      <c r="M527" s="14"/>
      <c r="N527" s="14"/>
      <c r="O527" s="49" t="str">
        <f>HYPERLINK("https://admissions.wustl.edu/Financial_Aid_Scholarships/First_Year_Academic_Scholarships/Pages/Rodriguez-Scholars-Program.aspx","https://admissions.wustl.edu/Financial_Aid_Scholarships/First_Year_Academic_Scholarships/Pages/Rodriguez-Scholars-Program.aspx")</f>
        <v>https://admissions.wustl.edu/Financial_Aid_Scholarships/First_Year_Academic_Scholarships/Pages/Rodriguez-Scholars-Program.aspx</v>
      </c>
      <c r="P527" s="183">
        <v>49770</v>
      </c>
      <c r="Q527" s="182">
        <v>0.17</v>
      </c>
      <c r="R527" s="61" t="s">
        <v>1520</v>
      </c>
      <c r="S527" s="61" t="s">
        <v>1766</v>
      </c>
      <c r="T527" s="14"/>
      <c r="U527" s="14" t="s">
        <v>81</v>
      </c>
      <c r="V527" s="14"/>
      <c r="W527" s="14"/>
      <c r="X527" s="14"/>
      <c r="Y527" s="14"/>
      <c r="Z527" s="14"/>
      <c r="AA527" s="14"/>
    </row>
    <row r="528" spans="1:27" ht="282" customHeight="1" x14ac:dyDescent="0.2">
      <c r="A528" s="23" t="s">
        <v>1712</v>
      </c>
      <c r="B528" s="14" t="s">
        <v>1764</v>
      </c>
      <c r="C528" s="61" t="s">
        <v>101</v>
      </c>
      <c r="D528" s="14"/>
      <c r="E528" s="14" t="s">
        <v>243</v>
      </c>
      <c r="F528" s="14" t="s">
        <v>72</v>
      </c>
      <c r="G528" s="14"/>
      <c r="H528" s="16" t="s">
        <v>1769</v>
      </c>
      <c r="I528" s="16">
        <v>40</v>
      </c>
      <c r="J528" s="27" t="s">
        <v>1770</v>
      </c>
      <c r="K528" s="14"/>
      <c r="L528" s="14"/>
      <c r="M528" s="14"/>
      <c r="N528" s="14"/>
      <c r="O528" s="49" t="str">
        <f>HYPERLINK("https://admissions.wustl.edu/Financial_Aid_Scholarships/First_Year_Academic_Scholarships/Pages/Danforth-Scholars-Program.aspx","https://admissions.wustl.edu/Financial_Aid_Scholarships/First_Year_Academic_Scholarships/Pages/Danforth-Scholars-Program.aspx")</f>
        <v>https://admissions.wustl.edu/Financial_Aid_Scholarships/First_Year_Academic_Scholarships/Pages/Danforth-Scholars-Program.aspx</v>
      </c>
      <c r="P528" s="183">
        <v>49770</v>
      </c>
      <c r="Q528" s="182">
        <v>0.17</v>
      </c>
      <c r="R528" s="61" t="s">
        <v>1520</v>
      </c>
      <c r="S528" s="61" t="s">
        <v>1766</v>
      </c>
      <c r="T528" s="14"/>
      <c r="U528" s="14" t="s">
        <v>81</v>
      </c>
      <c r="V528" s="14"/>
      <c r="W528" s="14"/>
      <c r="X528" s="14"/>
      <c r="Y528" s="14"/>
      <c r="Z528" s="14"/>
      <c r="AA528" s="14"/>
    </row>
    <row r="529" spans="1:27" ht="181" x14ac:dyDescent="0.2">
      <c r="A529" s="23" t="s">
        <v>1712</v>
      </c>
      <c r="B529" s="14" t="s">
        <v>1764</v>
      </c>
      <c r="C529" s="61" t="s">
        <v>101</v>
      </c>
      <c r="D529" s="14"/>
      <c r="E529" s="14" t="s">
        <v>243</v>
      </c>
      <c r="F529" s="14" t="s">
        <v>72</v>
      </c>
      <c r="G529" s="14"/>
      <c r="H529" s="16" t="s">
        <v>1771</v>
      </c>
      <c r="I529" s="16" t="s">
        <v>1772</v>
      </c>
      <c r="J529" s="176" t="s">
        <v>1773</v>
      </c>
      <c r="K529" s="14"/>
      <c r="L529" s="14"/>
      <c r="M529" s="14"/>
      <c r="N529" s="14"/>
      <c r="O529" s="184" t="str">
        <f>HYPERLINK("https://admissions.wustl.edu/Financial_Aid_Scholarships/First_Year_Academic_Scholarships/Pages/Olin-Business-School-Distinguished-Scholars.aspx","https://admissions.wustl.edu/Financial_Aid_Scholarships/First_Year_Academic_Scholarships/Pages/Olin-Business-School-Distinguished-Scholars.aspx")</f>
        <v>https://admissions.wustl.edu/Financial_Aid_Scholarships/First_Year_Academic_Scholarships/Pages/Olin-Business-School-Distinguished-Scholars.aspx</v>
      </c>
      <c r="P529" s="183">
        <v>49770</v>
      </c>
      <c r="Q529" s="182">
        <v>0.17</v>
      </c>
      <c r="R529" s="61" t="s">
        <v>1520</v>
      </c>
      <c r="S529" s="61" t="s">
        <v>1766</v>
      </c>
      <c r="T529" s="14"/>
      <c r="U529" s="14" t="s">
        <v>81</v>
      </c>
      <c r="V529" s="14"/>
      <c r="W529" s="14"/>
      <c r="X529" s="14"/>
      <c r="Y529" s="14"/>
      <c r="Z529" s="14"/>
      <c r="AA529" s="14"/>
    </row>
    <row r="530" spans="1:27" ht="256.5" customHeight="1" x14ac:dyDescent="0.2">
      <c r="A530" s="23" t="s">
        <v>1712</v>
      </c>
      <c r="B530" s="14" t="s">
        <v>1764</v>
      </c>
      <c r="C530" s="61" t="s">
        <v>101</v>
      </c>
      <c r="D530" s="14"/>
      <c r="E530" s="14" t="s">
        <v>136</v>
      </c>
      <c r="F530" s="14" t="s">
        <v>72</v>
      </c>
      <c r="G530" s="14"/>
      <c r="H530" s="16" t="s">
        <v>1774</v>
      </c>
      <c r="I530" s="16" t="s">
        <v>1775</v>
      </c>
      <c r="J530" s="26" t="s">
        <v>1776</v>
      </c>
      <c r="K530" s="14"/>
      <c r="L530" s="14"/>
      <c r="M530" s="14"/>
      <c r="N530" s="14"/>
      <c r="O530" s="184" t="str">
        <f>HYPERLINK("https://admissions.wustl.edu/Financial_Aid_Scholarships/First_Year_Academic_Scholarships/Pages/Honorary-Scholars-Program.aspx","https://admissions.wustl.edu/Financial_Aid_Scholarships/First_Year_Academic_Scholarships/Pages/Honorary-Scholars-Program.aspx")</f>
        <v>https://admissions.wustl.edu/Financial_Aid_Scholarships/First_Year_Academic_Scholarships/Pages/Honorary-Scholars-Program.aspx</v>
      </c>
      <c r="P530" s="183">
        <v>49770</v>
      </c>
      <c r="Q530" s="182">
        <v>0.17</v>
      </c>
      <c r="R530" s="61" t="s">
        <v>1520</v>
      </c>
      <c r="S530" s="61" t="s">
        <v>1766</v>
      </c>
      <c r="T530" s="14"/>
      <c r="U530" s="14" t="s">
        <v>81</v>
      </c>
      <c r="V530" s="14"/>
      <c r="W530" s="14"/>
      <c r="X530" s="14"/>
      <c r="Y530" s="14"/>
      <c r="Z530" s="14"/>
      <c r="AA530" s="14"/>
    </row>
    <row r="531" spans="1:27" ht="269.25" customHeight="1" x14ac:dyDescent="0.2">
      <c r="A531" s="23" t="s">
        <v>1712</v>
      </c>
      <c r="B531" s="14" t="s">
        <v>1764</v>
      </c>
      <c r="C531" s="61" t="s">
        <v>101</v>
      </c>
      <c r="D531" s="14"/>
      <c r="E531" s="14" t="s">
        <v>243</v>
      </c>
      <c r="F531" s="14" t="s">
        <v>72</v>
      </c>
      <c r="G531" s="14"/>
      <c r="H531" s="16" t="s">
        <v>1777</v>
      </c>
      <c r="I531" s="16" t="s">
        <v>1778</v>
      </c>
      <c r="J531" s="27" t="s">
        <v>1779</v>
      </c>
      <c r="K531" s="14"/>
      <c r="L531" s="14"/>
      <c r="M531" s="14"/>
      <c r="N531" s="14"/>
      <c r="O531" s="184" t="str">
        <f>HYPERLINK("https://admissions.wustl.edu/Financial_Aid_Scholarships/First_Year_Academic_Scholarships/Pages/Fitzgibbon-Scholarships.aspx","https://admissions.wustl.edu/Financial_Aid_Scholarships/First_Year_Academic_Scholarships/Pages/Fitzgibbon-Scholarships.aspx")</f>
        <v>https://admissions.wustl.edu/Financial_Aid_Scholarships/First_Year_Academic_Scholarships/Pages/Fitzgibbon-Scholarships.aspx</v>
      </c>
      <c r="P531" s="183">
        <v>49770</v>
      </c>
      <c r="Q531" s="182">
        <v>0.17</v>
      </c>
      <c r="R531" s="61" t="s">
        <v>1520</v>
      </c>
      <c r="S531" s="61" t="s">
        <v>1766</v>
      </c>
      <c r="T531" s="14"/>
      <c r="U531" s="14" t="s">
        <v>81</v>
      </c>
      <c r="V531" s="14"/>
      <c r="W531" s="14"/>
      <c r="X531" s="14"/>
      <c r="Y531" s="14"/>
      <c r="Z531" s="14"/>
      <c r="AA531" s="14"/>
    </row>
    <row r="532" spans="1:27" ht="231" customHeight="1" x14ac:dyDescent="0.2">
      <c r="A532" s="23" t="s">
        <v>1712</v>
      </c>
      <c r="B532" s="14" t="s">
        <v>1764</v>
      </c>
      <c r="C532" s="61" t="s">
        <v>101</v>
      </c>
      <c r="D532" s="14"/>
      <c r="E532" s="14" t="s">
        <v>243</v>
      </c>
      <c r="F532" s="14" t="s">
        <v>72</v>
      </c>
      <c r="G532" s="14"/>
      <c r="H532" s="16" t="s">
        <v>1780</v>
      </c>
      <c r="I532" s="16" t="s">
        <v>1778</v>
      </c>
      <c r="J532" s="27" t="s">
        <v>1781</v>
      </c>
      <c r="K532" s="14"/>
      <c r="L532" s="14"/>
      <c r="M532" s="14"/>
      <c r="N532" s="14"/>
      <c r="O532" s="184" t="str">
        <f>HYPERLINK("https://admissions.wustl.edu/Financial_Aid_Scholarships/First_Year_Academic_Scholarships/Pages/Conway-Proetz-Scholarships.aspx","https://admissions.wustl.edu/Financial_Aid_Scholarships/First_Year_Academic_Scholarships/Pages/Conway-Proetz-Scholarships.aspx")</f>
        <v>https://admissions.wustl.edu/Financial_Aid_Scholarships/First_Year_Academic_Scholarships/Pages/Conway-Proetz-Scholarships.aspx</v>
      </c>
      <c r="P532" s="183">
        <v>49770</v>
      </c>
      <c r="Q532" s="182">
        <v>0.17</v>
      </c>
      <c r="R532" s="61" t="s">
        <v>1520</v>
      </c>
      <c r="S532" s="61" t="s">
        <v>1766</v>
      </c>
      <c r="T532" s="14"/>
      <c r="U532" s="14" t="s">
        <v>81</v>
      </c>
      <c r="V532" s="14"/>
      <c r="W532" s="14"/>
      <c r="X532" s="14"/>
      <c r="Y532" s="14"/>
      <c r="Z532" s="14"/>
      <c r="AA532" s="14"/>
    </row>
    <row r="533" spans="1:27" ht="181" x14ac:dyDescent="0.2">
      <c r="A533" s="23" t="s">
        <v>1712</v>
      </c>
      <c r="B533" s="14" t="s">
        <v>1764</v>
      </c>
      <c r="C533" s="14" t="s">
        <v>101</v>
      </c>
      <c r="D533" s="12"/>
      <c r="E533" s="14" t="s">
        <v>243</v>
      </c>
      <c r="F533" s="14" t="s">
        <v>72</v>
      </c>
      <c r="G533" s="12"/>
      <c r="H533" s="17" t="s">
        <v>1782</v>
      </c>
      <c r="I533" s="17">
        <v>10</v>
      </c>
      <c r="J533" s="56" t="s">
        <v>1783</v>
      </c>
      <c r="K533" s="24"/>
      <c r="L533" s="24"/>
      <c r="M533" s="14"/>
      <c r="N533" s="24"/>
      <c r="O533" s="185" t="str">
        <f>HYPERLINK("https://admissions.wustl.edu/Financial_Aid_Scholarships/First_Year_Academic_Scholarships/Pages/Langsdorf-Fellowships.aspx","https://admissions.wustl.edu/Financial_Aid_Scholarships/First_Year_Academic_Scholarships/Pages/Langsdorf-Fellowships.aspx")</f>
        <v>https://admissions.wustl.edu/Financial_Aid_Scholarships/First_Year_Academic_Scholarships/Pages/Langsdorf-Fellowships.aspx</v>
      </c>
      <c r="P533" s="183">
        <v>49770</v>
      </c>
      <c r="Q533" s="182">
        <v>0.17</v>
      </c>
      <c r="R533" s="61" t="s">
        <v>1520</v>
      </c>
      <c r="S533" s="61" t="s">
        <v>1766</v>
      </c>
      <c r="T533" s="14"/>
      <c r="U533" s="14" t="s">
        <v>81</v>
      </c>
      <c r="V533" s="12"/>
      <c r="W533" s="12"/>
      <c r="X533" s="12"/>
      <c r="Y533" s="12"/>
      <c r="Z533" s="12"/>
      <c r="AA533" s="12"/>
    </row>
    <row r="534" spans="1:27" ht="192" x14ac:dyDescent="0.2">
      <c r="A534" s="23" t="s">
        <v>1712</v>
      </c>
      <c r="B534" s="14" t="s">
        <v>1784</v>
      </c>
      <c r="C534" s="14" t="s">
        <v>101</v>
      </c>
      <c r="D534" s="12"/>
      <c r="E534" s="14" t="s">
        <v>177</v>
      </c>
      <c r="F534" s="14" t="s">
        <v>72</v>
      </c>
      <c r="G534" s="12"/>
      <c r="H534" s="17" t="s">
        <v>1738</v>
      </c>
      <c r="I534" s="17" t="s">
        <v>1225</v>
      </c>
      <c r="J534" s="16" t="s">
        <v>1785</v>
      </c>
      <c r="K534" s="24">
        <v>27</v>
      </c>
      <c r="L534" s="24">
        <v>1280</v>
      </c>
      <c r="M534" s="14" t="s">
        <v>197</v>
      </c>
      <c r="N534" s="24">
        <v>3.75</v>
      </c>
      <c r="O534" s="30" t="str">
        <f>HYPERLINK("http://www.webster.edu/financialaid/scholarships.html#freshman","http://www.webster.edu/financialaid/scholarships.html#freshman")</f>
        <v>http://www.webster.edu/financialaid/scholarships.html#freshman</v>
      </c>
      <c r="P534" s="33">
        <v>26425</v>
      </c>
      <c r="Q534" s="31">
        <v>0.56000000000000005</v>
      </c>
      <c r="R534" s="26" t="s">
        <v>182</v>
      </c>
      <c r="S534" s="26" t="s">
        <v>1184</v>
      </c>
      <c r="T534" s="12"/>
      <c r="U534" s="12">
        <v>3.48</v>
      </c>
      <c r="V534" s="12"/>
      <c r="W534" s="12"/>
      <c r="X534" s="12"/>
      <c r="Y534" s="12"/>
      <c r="Z534" s="12"/>
      <c r="AA534" s="12"/>
    </row>
    <row r="535" spans="1:27" ht="111" customHeight="1" x14ac:dyDescent="0.2">
      <c r="A535" s="23" t="s">
        <v>1712</v>
      </c>
      <c r="B535" s="14" t="s">
        <v>1784</v>
      </c>
      <c r="C535" s="14" t="s">
        <v>101</v>
      </c>
      <c r="D535" s="12"/>
      <c r="E535" s="14" t="s">
        <v>789</v>
      </c>
      <c r="F535" s="14" t="s">
        <v>145</v>
      </c>
      <c r="G535" s="12"/>
      <c r="H535" s="17" t="s">
        <v>157</v>
      </c>
      <c r="I535" s="17" t="s">
        <v>74</v>
      </c>
      <c r="J535" s="14" t="s">
        <v>1786</v>
      </c>
      <c r="K535" s="12"/>
      <c r="L535" s="12"/>
      <c r="M535" s="12"/>
      <c r="N535" s="12"/>
      <c r="O535" s="30" t="str">
        <f>HYPERLINK("http://www.webster.edu/military/financial-assistance/rotc.html","http://www.webster.edu/military/financial-assistance/rotc.html")</f>
        <v>http://www.webster.edu/military/financial-assistance/rotc.html</v>
      </c>
      <c r="P535" s="33">
        <v>26425</v>
      </c>
      <c r="Q535" s="31">
        <v>0.56000000000000005</v>
      </c>
      <c r="R535" s="26" t="s">
        <v>182</v>
      </c>
      <c r="S535" s="26" t="s">
        <v>1184</v>
      </c>
      <c r="T535" s="12"/>
      <c r="U535" s="12">
        <v>3.48</v>
      </c>
      <c r="V535" s="12"/>
      <c r="W535" s="12"/>
      <c r="X535" s="12"/>
      <c r="Y535" s="12"/>
      <c r="Z535" s="12"/>
      <c r="AA535" s="12"/>
    </row>
    <row r="536" spans="1:27" ht="77.25" customHeight="1" x14ac:dyDescent="0.2">
      <c r="A536" s="23" t="s">
        <v>1712</v>
      </c>
      <c r="B536" s="14" t="s">
        <v>1787</v>
      </c>
      <c r="C536" s="14" t="s">
        <v>101</v>
      </c>
      <c r="D536" s="12"/>
      <c r="E536" s="14" t="s">
        <v>60</v>
      </c>
      <c r="F536" s="14" t="s">
        <v>72</v>
      </c>
      <c r="G536" s="12"/>
      <c r="H536" s="17" t="s">
        <v>1123</v>
      </c>
      <c r="I536" s="17">
        <v>2</v>
      </c>
      <c r="J536" s="14" t="s">
        <v>1788</v>
      </c>
      <c r="K536" s="12"/>
      <c r="L536" s="12"/>
      <c r="M536" s="12"/>
      <c r="N536" s="12"/>
      <c r="O536" s="30" t="str">
        <f>HYPERLINK("http://www.westminster-mo.edu/admissions/finaid/Types/Scholarships/default.html","http://www.westminster-mo.edu/admissions/finaid/Types/Scholarships/default.html")</f>
        <v>http://www.westminster-mo.edu/admissions/finaid/Types/Scholarships/default.html</v>
      </c>
      <c r="P536" s="33">
        <v>24540</v>
      </c>
      <c r="Q536" s="25">
        <v>0.64</v>
      </c>
      <c r="R536" s="34" t="s">
        <v>565</v>
      </c>
      <c r="S536" s="34" t="s">
        <v>1789</v>
      </c>
      <c r="T536" s="12"/>
      <c r="U536" s="12">
        <v>3.38</v>
      </c>
      <c r="V536" s="12"/>
      <c r="W536" s="12"/>
      <c r="X536" s="12"/>
      <c r="Y536" s="12"/>
      <c r="Z536" s="12"/>
      <c r="AA536" s="12"/>
    </row>
    <row r="537" spans="1:27" ht="79.5" customHeight="1" x14ac:dyDescent="0.2">
      <c r="A537" s="23" t="s">
        <v>1712</v>
      </c>
      <c r="B537" s="14" t="s">
        <v>1790</v>
      </c>
      <c r="C537" s="14" t="s">
        <v>101</v>
      </c>
      <c r="D537" s="12"/>
      <c r="E537" s="14" t="s">
        <v>111</v>
      </c>
      <c r="F537" s="16" t="s">
        <v>72</v>
      </c>
      <c r="G537" s="12"/>
      <c r="H537" s="17" t="s">
        <v>250</v>
      </c>
      <c r="I537" s="17">
        <v>1</v>
      </c>
      <c r="J537" s="14" t="s">
        <v>1791</v>
      </c>
      <c r="K537" s="24">
        <v>31</v>
      </c>
      <c r="L537" s="24">
        <v>1360</v>
      </c>
      <c r="M537" s="16" t="s">
        <v>76</v>
      </c>
      <c r="N537" s="24">
        <v>3.75</v>
      </c>
      <c r="O537" s="30" t="str">
        <f t="shared" ref="O537:O538" si="80">HYPERLINK("https://www.williamwoods.edu/admissions/undergraduate/scholarships/incoming_freshman.html","https://www.williamwoods.edu/admissions/undergraduate/scholarships/incoming_freshman.html")</f>
        <v>https://www.williamwoods.edu/admissions/undergraduate/scholarships/incoming_freshman.html</v>
      </c>
      <c r="P537" s="33">
        <v>23040</v>
      </c>
      <c r="Q537" s="25">
        <v>0.73</v>
      </c>
      <c r="R537" s="14" t="s">
        <v>67</v>
      </c>
      <c r="S537" s="14" t="s">
        <v>1792</v>
      </c>
      <c r="T537" s="12"/>
      <c r="U537" s="12">
        <v>3.4</v>
      </c>
      <c r="V537" s="12"/>
      <c r="W537" s="12"/>
      <c r="X537" s="12"/>
      <c r="Y537" s="12"/>
      <c r="Z537" s="12"/>
      <c r="AA537" s="12"/>
    </row>
    <row r="538" spans="1:27" ht="95.25" customHeight="1" x14ac:dyDescent="0.2">
      <c r="A538" s="23" t="s">
        <v>1712</v>
      </c>
      <c r="B538" s="14" t="s">
        <v>1790</v>
      </c>
      <c r="C538" s="14" t="s">
        <v>101</v>
      </c>
      <c r="D538" s="12"/>
      <c r="E538" s="14" t="s">
        <v>60</v>
      </c>
      <c r="F538" s="14" t="s">
        <v>61</v>
      </c>
      <c r="G538" s="12"/>
      <c r="H538" s="17" t="s">
        <v>1227</v>
      </c>
      <c r="I538" s="17" t="s">
        <v>74</v>
      </c>
      <c r="J538" s="14" t="s">
        <v>1793</v>
      </c>
      <c r="K538" s="24">
        <v>30</v>
      </c>
      <c r="L538" s="24">
        <v>1330</v>
      </c>
      <c r="M538" s="16" t="s">
        <v>76</v>
      </c>
      <c r="N538" s="24">
        <v>3.5</v>
      </c>
      <c r="O538" s="30" t="str">
        <f t="shared" si="80"/>
        <v>https://www.williamwoods.edu/admissions/undergraduate/scholarships/incoming_freshman.html</v>
      </c>
      <c r="P538" s="33">
        <v>23040</v>
      </c>
      <c r="Q538" s="25">
        <v>0.73</v>
      </c>
      <c r="R538" s="14" t="s">
        <v>67</v>
      </c>
      <c r="S538" s="14" t="s">
        <v>1792</v>
      </c>
      <c r="T538" s="12"/>
      <c r="U538" s="12">
        <v>3.4</v>
      </c>
      <c r="V538" s="12"/>
      <c r="W538" s="12"/>
      <c r="X538" s="12"/>
      <c r="Y538" s="12"/>
      <c r="Z538" s="12"/>
      <c r="AA538" s="12"/>
    </row>
    <row r="539" spans="1:27" ht="294.75" customHeight="1" x14ac:dyDescent="0.2">
      <c r="A539" s="23" t="s">
        <v>1794</v>
      </c>
      <c r="B539" s="14" t="s">
        <v>1795</v>
      </c>
      <c r="C539" s="14" t="s">
        <v>59</v>
      </c>
      <c r="D539" s="12"/>
      <c r="E539" s="14" t="s">
        <v>82</v>
      </c>
      <c r="F539" s="14" t="s">
        <v>72</v>
      </c>
      <c r="G539" s="12"/>
      <c r="H539" s="17" t="s">
        <v>1796</v>
      </c>
      <c r="I539" s="17" t="s">
        <v>74</v>
      </c>
      <c r="J539" s="12" t="s">
        <v>1797</v>
      </c>
      <c r="K539" s="24">
        <v>28</v>
      </c>
      <c r="L539" s="12">
        <v>1250</v>
      </c>
      <c r="M539" s="17" t="s">
        <v>1798</v>
      </c>
      <c r="N539" s="24">
        <v>3</v>
      </c>
      <c r="O539" s="30" t="str">
        <f t="shared" ref="O539:O541" si="81">HYPERLINK("http://www.alcorn.edu/admissions/admissions-scholarship_requirements/index.aspx","http://www.alcorn.edu/admissions/admissions-scholarship_requirements/index.aspx")</f>
        <v>http://www.alcorn.edu/admissions/admissions-scholarship_requirements/index.aspx</v>
      </c>
      <c r="P539" s="186">
        <v>6546</v>
      </c>
      <c r="Q539" s="25">
        <v>0.81</v>
      </c>
      <c r="R539" s="14" t="s">
        <v>320</v>
      </c>
      <c r="S539" s="14" t="s">
        <v>1799</v>
      </c>
      <c r="T539" s="12"/>
      <c r="U539" s="12">
        <v>2.98</v>
      </c>
      <c r="V539" s="12"/>
      <c r="W539" s="12"/>
      <c r="X539" s="12"/>
      <c r="Y539" s="12"/>
      <c r="Z539" s="12"/>
      <c r="AA539" s="12"/>
    </row>
    <row r="540" spans="1:27" ht="256.5" customHeight="1" x14ac:dyDescent="0.2">
      <c r="A540" s="23" t="s">
        <v>1794</v>
      </c>
      <c r="B540" s="14" t="s">
        <v>1795</v>
      </c>
      <c r="C540" s="14" t="s">
        <v>59</v>
      </c>
      <c r="D540" s="12"/>
      <c r="E540" s="14" t="s">
        <v>82</v>
      </c>
      <c r="F540" s="14" t="s">
        <v>72</v>
      </c>
      <c r="G540" s="12"/>
      <c r="H540" s="17" t="s">
        <v>250</v>
      </c>
      <c r="I540" s="17" t="s">
        <v>74</v>
      </c>
      <c r="J540" s="12" t="s">
        <v>1800</v>
      </c>
      <c r="K540" s="24">
        <v>24</v>
      </c>
      <c r="L540" s="12">
        <v>1090</v>
      </c>
      <c r="M540" s="17" t="s">
        <v>1798</v>
      </c>
      <c r="N540" s="24">
        <v>3</v>
      </c>
      <c r="O540" s="30" t="str">
        <f t="shared" si="81"/>
        <v>http://www.alcorn.edu/admissions/admissions-scholarship_requirements/index.aspx</v>
      </c>
      <c r="P540" s="186">
        <v>6546</v>
      </c>
      <c r="Q540" s="25">
        <v>0.81</v>
      </c>
      <c r="R540" s="14" t="s">
        <v>320</v>
      </c>
      <c r="S540" s="14" t="s">
        <v>1799</v>
      </c>
      <c r="T540" s="12"/>
      <c r="U540" s="12">
        <v>2.98</v>
      </c>
      <c r="V540" s="12"/>
      <c r="W540" s="12"/>
      <c r="X540" s="12"/>
      <c r="Y540" s="12"/>
      <c r="Z540" s="12"/>
      <c r="AA540" s="12"/>
    </row>
    <row r="541" spans="1:27" ht="231" customHeight="1" x14ac:dyDescent="0.2">
      <c r="A541" s="23" t="s">
        <v>1794</v>
      </c>
      <c r="B541" s="14" t="s">
        <v>1795</v>
      </c>
      <c r="C541" s="14" t="s">
        <v>59</v>
      </c>
      <c r="D541" s="12"/>
      <c r="E541" s="12" t="s">
        <v>88</v>
      </c>
      <c r="F541" s="12" t="s">
        <v>72</v>
      </c>
      <c r="G541" s="12"/>
      <c r="H541" s="17" t="s">
        <v>250</v>
      </c>
      <c r="I541" s="17" t="s">
        <v>74</v>
      </c>
      <c r="J541" s="26" t="s">
        <v>1801</v>
      </c>
      <c r="K541" s="24">
        <v>22</v>
      </c>
      <c r="L541" s="24">
        <v>1020</v>
      </c>
      <c r="M541" s="29" t="s">
        <v>1798</v>
      </c>
      <c r="N541" s="26">
        <v>3</v>
      </c>
      <c r="O541" s="187" t="str">
        <f t="shared" si="81"/>
        <v>http://www.alcorn.edu/admissions/admissions-scholarship_requirements/index.aspx</v>
      </c>
      <c r="P541" s="186">
        <v>6546</v>
      </c>
      <c r="Q541" s="25">
        <v>0.81</v>
      </c>
      <c r="R541" s="14" t="s">
        <v>320</v>
      </c>
      <c r="S541" s="14" t="s">
        <v>1799</v>
      </c>
      <c r="T541" s="12"/>
      <c r="U541" s="12">
        <v>2.98</v>
      </c>
      <c r="V541" s="12"/>
      <c r="W541" s="12"/>
      <c r="X541" s="12"/>
      <c r="Y541" s="12"/>
      <c r="Z541" s="12"/>
      <c r="AA541" s="12"/>
    </row>
    <row r="542" spans="1:27" ht="78" customHeight="1" x14ac:dyDescent="0.2">
      <c r="A542" s="20" t="s">
        <v>1794</v>
      </c>
      <c r="B542" s="20" t="s">
        <v>1802</v>
      </c>
      <c r="C542" s="20" t="s">
        <v>59</v>
      </c>
      <c r="D542" s="20"/>
      <c r="E542" s="20" t="s">
        <v>583</v>
      </c>
      <c r="F542" s="188" t="s">
        <v>1803</v>
      </c>
      <c r="G542" s="12"/>
      <c r="H542" s="17" t="s">
        <v>62</v>
      </c>
      <c r="I542" s="17" t="s">
        <v>63</v>
      </c>
      <c r="J542" s="29" t="s">
        <v>1804</v>
      </c>
      <c r="K542" s="18">
        <v>28</v>
      </c>
      <c r="L542" s="18">
        <v>1250</v>
      </c>
      <c r="M542" s="29" t="s">
        <v>197</v>
      </c>
      <c r="N542" s="29">
        <v>3.5</v>
      </c>
      <c r="O542" s="19" t="s">
        <v>1805</v>
      </c>
      <c r="P542" s="179" t="s">
        <v>1806</v>
      </c>
      <c r="Q542" s="21">
        <v>0.68</v>
      </c>
      <c r="R542" s="20" t="s">
        <v>631</v>
      </c>
      <c r="S542" s="189" t="s">
        <v>148</v>
      </c>
      <c r="T542" s="12"/>
      <c r="U542" s="12"/>
      <c r="V542" s="12"/>
      <c r="W542" s="12"/>
      <c r="X542" s="12"/>
      <c r="Y542" s="12"/>
      <c r="Z542" s="12"/>
      <c r="AA542" s="12"/>
    </row>
    <row r="543" spans="1:27" ht="78" customHeight="1" x14ac:dyDescent="0.2">
      <c r="A543" s="20" t="s">
        <v>1794</v>
      </c>
      <c r="B543" s="20" t="s">
        <v>1802</v>
      </c>
      <c r="C543" s="20" t="s">
        <v>59</v>
      </c>
      <c r="D543" s="20"/>
      <c r="E543" s="142" t="s">
        <v>191</v>
      </c>
      <c r="F543" s="188" t="s">
        <v>1803</v>
      </c>
      <c r="G543" s="12"/>
      <c r="H543" s="17" t="s">
        <v>62</v>
      </c>
      <c r="I543" s="17" t="s">
        <v>63</v>
      </c>
      <c r="J543" s="29" t="s">
        <v>1807</v>
      </c>
      <c r="K543" s="18">
        <v>25</v>
      </c>
      <c r="L543" s="18">
        <v>1130</v>
      </c>
      <c r="M543" s="29" t="s">
        <v>197</v>
      </c>
      <c r="N543" s="29">
        <v>3</v>
      </c>
      <c r="O543" s="19" t="s">
        <v>1805</v>
      </c>
      <c r="P543" s="179" t="s">
        <v>1806</v>
      </c>
      <c r="Q543" s="21">
        <v>0.68</v>
      </c>
      <c r="R543" s="20" t="s">
        <v>631</v>
      </c>
      <c r="S543" s="189" t="s">
        <v>148</v>
      </c>
      <c r="T543" s="12"/>
      <c r="U543" s="12"/>
      <c r="V543" s="12"/>
      <c r="W543" s="12"/>
      <c r="X543" s="12"/>
      <c r="Y543" s="12"/>
      <c r="Z543" s="12"/>
      <c r="AA543" s="12"/>
    </row>
    <row r="544" spans="1:27" ht="78" customHeight="1" x14ac:dyDescent="0.2">
      <c r="A544" s="190" t="s">
        <v>1794</v>
      </c>
      <c r="B544" s="191" t="s">
        <v>1802</v>
      </c>
      <c r="C544" s="192" t="s">
        <v>59</v>
      </c>
      <c r="D544" s="193"/>
      <c r="E544" s="191" t="s">
        <v>1007</v>
      </c>
      <c r="F544" s="191" t="s">
        <v>61</v>
      </c>
      <c r="G544" s="12"/>
      <c r="H544" s="17" t="s">
        <v>62</v>
      </c>
      <c r="I544" s="17" t="s">
        <v>63</v>
      </c>
      <c r="J544" s="29" t="s">
        <v>1808</v>
      </c>
      <c r="K544" s="24"/>
      <c r="L544" s="18"/>
      <c r="M544" s="29"/>
      <c r="N544" s="26"/>
      <c r="O544" s="160"/>
      <c r="P544" s="194"/>
      <c r="Q544" s="195"/>
      <c r="R544" s="196"/>
      <c r="S544" s="196"/>
      <c r="T544" s="12"/>
      <c r="U544" s="12"/>
      <c r="V544" s="12"/>
      <c r="W544" s="12"/>
      <c r="X544" s="12"/>
      <c r="Y544" s="12"/>
      <c r="Z544" s="12"/>
      <c r="AA544" s="12"/>
    </row>
    <row r="545" spans="1:27" ht="78" customHeight="1" x14ac:dyDescent="0.2">
      <c r="A545" s="11" t="s">
        <v>1794</v>
      </c>
      <c r="B545" s="12" t="s">
        <v>1809</v>
      </c>
      <c r="C545" s="26" t="s">
        <v>101</v>
      </c>
      <c r="D545" s="12"/>
      <c r="E545" s="12" t="s">
        <v>1810</v>
      </c>
      <c r="F545" s="17" t="s">
        <v>72</v>
      </c>
      <c r="G545" s="12"/>
      <c r="H545" s="17" t="s">
        <v>1253</v>
      </c>
      <c r="I545" s="17" t="s">
        <v>74</v>
      </c>
      <c r="J545" s="26" t="s">
        <v>1811</v>
      </c>
      <c r="K545" s="24">
        <v>32</v>
      </c>
      <c r="L545" s="18">
        <v>1450</v>
      </c>
      <c r="M545" s="29" t="s">
        <v>76</v>
      </c>
      <c r="N545" s="26">
        <v>3.9</v>
      </c>
      <c r="O545" s="160" t="str">
        <f>HYPERLINK("http://www.millsaps.edu/financial-aid/scholarships-grants-loans-students.php","http://www.millsaps.edu/financial-aid/scholarships-grants-loans-students.php")</f>
        <v>http://www.millsaps.edu/financial-aid/scholarships-grants-loans-students.php</v>
      </c>
      <c r="P545" s="38">
        <v>37110</v>
      </c>
      <c r="Q545" s="31">
        <v>0.53</v>
      </c>
      <c r="R545" s="26" t="s">
        <v>1812</v>
      </c>
      <c r="S545" s="26" t="s">
        <v>1813</v>
      </c>
      <c r="T545" s="12"/>
      <c r="U545" s="12">
        <v>3.59</v>
      </c>
      <c r="V545" s="12"/>
      <c r="W545" s="12"/>
      <c r="X545" s="12"/>
      <c r="Y545" s="12"/>
      <c r="Z545" s="12"/>
      <c r="AA545" s="12"/>
    </row>
    <row r="546" spans="1:27" ht="90.75" customHeight="1" x14ac:dyDescent="0.2">
      <c r="A546" s="149" t="s">
        <v>1794</v>
      </c>
      <c r="B546" s="112" t="s">
        <v>1809</v>
      </c>
      <c r="C546" s="150" t="s">
        <v>101</v>
      </c>
      <c r="D546" s="112"/>
      <c r="E546" s="112" t="s">
        <v>1810</v>
      </c>
      <c r="F546" s="149" t="s">
        <v>72</v>
      </c>
      <c r="G546" s="150" t="s">
        <v>186</v>
      </c>
      <c r="H546" s="197" t="s">
        <v>239</v>
      </c>
      <c r="I546" s="197" t="s">
        <v>74</v>
      </c>
      <c r="J546" s="112" t="s">
        <v>1814</v>
      </c>
      <c r="K546" s="112"/>
      <c r="L546" s="112"/>
      <c r="M546" s="112"/>
      <c r="N546" s="112">
        <v>3.9</v>
      </c>
      <c r="O546" s="198" t="s">
        <v>1815</v>
      </c>
      <c r="P546" s="172">
        <v>37110</v>
      </c>
      <c r="Q546" s="151">
        <v>0.53</v>
      </c>
      <c r="R546" s="150" t="s">
        <v>1812</v>
      </c>
      <c r="S546" s="150" t="s">
        <v>1813</v>
      </c>
      <c r="T546" s="112"/>
      <c r="U546" s="112">
        <v>3.59</v>
      </c>
      <c r="V546" s="112"/>
      <c r="W546" s="112"/>
      <c r="X546" s="112"/>
      <c r="Y546" s="112"/>
      <c r="Z546" s="112"/>
      <c r="AA546" s="112"/>
    </row>
    <row r="547" spans="1:27" ht="90.75" customHeight="1" x14ac:dyDescent="0.2">
      <c r="A547" s="149" t="s">
        <v>1794</v>
      </c>
      <c r="B547" s="112" t="s">
        <v>1809</v>
      </c>
      <c r="C547" s="150" t="s">
        <v>101</v>
      </c>
      <c r="D547" s="117" t="s">
        <v>1816</v>
      </c>
      <c r="E547" s="117" t="s">
        <v>238</v>
      </c>
      <c r="F547" s="149" t="s">
        <v>72</v>
      </c>
      <c r="G547" s="150" t="s">
        <v>186</v>
      </c>
      <c r="H547" s="197" t="s">
        <v>239</v>
      </c>
      <c r="I547" s="197" t="s">
        <v>74</v>
      </c>
      <c r="J547" s="117" t="s">
        <v>1817</v>
      </c>
      <c r="K547" s="112"/>
      <c r="L547" s="112"/>
      <c r="M547" s="112"/>
      <c r="N547" s="112">
        <v>3.9</v>
      </c>
      <c r="O547" s="198" t="s">
        <v>1815</v>
      </c>
      <c r="P547" s="172">
        <v>37110</v>
      </c>
      <c r="Q547" s="151">
        <v>0.53</v>
      </c>
      <c r="R547" s="150" t="s">
        <v>1812</v>
      </c>
      <c r="S547" s="150" t="s">
        <v>1813</v>
      </c>
      <c r="T547" s="112"/>
      <c r="U547" s="112">
        <v>3.59</v>
      </c>
      <c r="V547" s="112"/>
      <c r="W547" s="112"/>
      <c r="X547" s="112"/>
      <c r="Y547" s="112"/>
      <c r="Z547" s="112"/>
      <c r="AA547" s="112"/>
    </row>
    <row r="548" spans="1:27" ht="111" customHeight="1" x14ac:dyDescent="0.2">
      <c r="A548" s="23" t="s">
        <v>1794</v>
      </c>
      <c r="B548" s="14" t="s">
        <v>1818</v>
      </c>
      <c r="C548" s="14" t="s">
        <v>101</v>
      </c>
      <c r="D548" s="12"/>
      <c r="E548" s="14" t="s">
        <v>111</v>
      </c>
      <c r="F548" s="14" t="s">
        <v>72</v>
      </c>
      <c r="G548" s="12"/>
      <c r="H548" s="17" t="s">
        <v>1529</v>
      </c>
      <c r="I548" s="17" t="s">
        <v>74</v>
      </c>
      <c r="J548" s="14" t="s">
        <v>1819</v>
      </c>
      <c r="K548" s="12"/>
      <c r="L548" s="12"/>
      <c r="M548" s="12"/>
      <c r="N548" s="12"/>
      <c r="O548" s="30" t="str">
        <f>HYPERLINK("http://www.mc.edu/admissions/undergraduate/freshmen/admissions-events/presidential-scholarship-interviews/","http://www.mc.edu/admissions/undergraduate/freshmen/admissions-events/presidential-scholarship-interviews/")</f>
        <v>http://www.mc.edu/admissions/undergraduate/freshmen/admissions-events/presidential-scholarship-interviews/</v>
      </c>
      <c r="P548" s="33">
        <v>16740</v>
      </c>
      <c r="Q548" s="58">
        <v>0.82</v>
      </c>
      <c r="R548" s="14" t="s">
        <v>182</v>
      </c>
      <c r="S548" s="14" t="s">
        <v>1820</v>
      </c>
      <c r="T548" s="12"/>
      <c r="U548" s="12">
        <v>3.56</v>
      </c>
      <c r="V548" s="12"/>
      <c r="W548" s="12"/>
      <c r="X548" s="12"/>
      <c r="Y548" s="12"/>
      <c r="Z548" s="12"/>
      <c r="AA548" s="12"/>
    </row>
    <row r="549" spans="1:27" ht="111" customHeight="1" x14ac:dyDescent="0.2">
      <c r="A549" s="23" t="s">
        <v>1794</v>
      </c>
      <c r="B549" s="14" t="s">
        <v>1821</v>
      </c>
      <c r="C549" s="14" t="s">
        <v>59</v>
      </c>
      <c r="D549" s="12"/>
      <c r="E549" s="14" t="s">
        <v>111</v>
      </c>
      <c r="F549" s="14" t="s">
        <v>92</v>
      </c>
      <c r="G549" s="12"/>
      <c r="H549" s="17" t="s">
        <v>93</v>
      </c>
      <c r="I549" s="17" t="s">
        <v>63</v>
      </c>
      <c r="J549" s="14" t="s">
        <v>1822</v>
      </c>
      <c r="K549" s="12"/>
      <c r="L549" s="12"/>
      <c r="M549" s="12"/>
      <c r="N549" s="12"/>
      <c r="O549" s="30" t="str">
        <f t="shared" ref="O549:O551" si="82">HYPERLINK("http://www.admissions.msstate.edu/freshmen/money-matters/scholarships/academic-scholarships/","http://www.admissions.msstate.edu/freshmen/money-matters/scholarships/academic-scholarships/")</f>
        <v>http://www.admissions.msstate.edu/freshmen/money-matters/scholarships/academic-scholarships/</v>
      </c>
      <c r="P549" s="14" t="s">
        <v>1823</v>
      </c>
      <c r="Q549" s="58">
        <v>0.72</v>
      </c>
      <c r="R549" s="14" t="s">
        <v>973</v>
      </c>
      <c r="S549" s="14" t="s">
        <v>1824</v>
      </c>
      <c r="T549" s="12"/>
      <c r="U549" s="12">
        <v>3.32</v>
      </c>
      <c r="V549" s="12"/>
      <c r="W549" s="12"/>
      <c r="X549" s="12"/>
      <c r="Y549" s="12"/>
      <c r="Z549" s="12"/>
      <c r="AA549" s="12"/>
    </row>
    <row r="550" spans="1:27" ht="90.75" customHeight="1" x14ac:dyDescent="0.2">
      <c r="A550" s="39" t="s">
        <v>1794</v>
      </c>
      <c r="B550" s="40" t="s">
        <v>1821</v>
      </c>
      <c r="C550" s="40" t="s">
        <v>59</v>
      </c>
      <c r="D550" s="40"/>
      <c r="E550" s="40" t="s">
        <v>88</v>
      </c>
      <c r="F550" s="40" t="s">
        <v>92</v>
      </c>
      <c r="G550" s="40"/>
      <c r="H550" s="69" t="s">
        <v>93</v>
      </c>
      <c r="I550" s="69" t="s">
        <v>63</v>
      </c>
      <c r="J550" s="40" t="s">
        <v>1825</v>
      </c>
      <c r="K550" s="40"/>
      <c r="L550" s="40"/>
      <c r="M550" s="40"/>
      <c r="N550" s="40"/>
      <c r="O550" s="30" t="str">
        <f t="shared" si="82"/>
        <v>http://www.admissions.msstate.edu/freshmen/money-matters/scholarships/academic-scholarships/</v>
      </c>
      <c r="P550" s="40" t="s">
        <v>1823</v>
      </c>
      <c r="Q550" s="60">
        <v>0.72</v>
      </c>
      <c r="R550" s="40" t="s">
        <v>973</v>
      </c>
      <c r="S550" s="40" t="s">
        <v>1824</v>
      </c>
      <c r="T550" s="40"/>
      <c r="U550" s="40">
        <v>3.32</v>
      </c>
      <c r="V550" s="40"/>
      <c r="W550" s="40"/>
      <c r="X550" s="40"/>
      <c r="Y550" s="40"/>
      <c r="Z550" s="40"/>
      <c r="AA550" s="40"/>
    </row>
    <row r="551" spans="1:27" ht="111" customHeight="1" x14ac:dyDescent="0.2">
      <c r="A551" s="23" t="s">
        <v>1794</v>
      </c>
      <c r="B551" s="14" t="s">
        <v>1821</v>
      </c>
      <c r="C551" s="14" t="s">
        <v>59</v>
      </c>
      <c r="D551" s="12"/>
      <c r="E551" s="14" t="s">
        <v>88</v>
      </c>
      <c r="F551" s="14" t="s">
        <v>92</v>
      </c>
      <c r="G551" s="12"/>
      <c r="H551" s="17" t="s">
        <v>1826</v>
      </c>
      <c r="I551" s="17" t="s">
        <v>63</v>
      </c>
      <c r="J551" s="14" t="s">
        <v>1827</v>
      </c>
      <c r="K551" s="12"/>
      <c r="L551" s="12"/>
      <c r="M551" s="12"/>
      <c r="N551" s="12"/>
      <c r="O551" s="30" t="str">
        <f t="shared" si="82"/>
        <v>http://www.admissions.msstate.edu/freshmen/money-matters/scholarships/academic-scholarships/</v>
      </c>
      <c r="P551" s="14" t="s">
        <v>1823</v>
      </c>
      <c r="Q551" s="58">
        <v>0.72</v>
      </c>
      <c r="R551" s="14" t="s">
        <v>973</v>
      </c>
      <c r="S551" s="14" t="s">
        <v>1824</v>
      </c>
      <c r="T551" s="12"/>
      <c r="U551" s="12">
        <v>3.32</v>
      </c>
      <c r="V551" s="12"/>
      <c r="W551" s="12"/>
      <c r="X551" s="12"/>
      <c r="Y551" s="12"/>
      <c r="Z551" s="12"/>
      <c r="AA551" s="12"/>
    </row>
    <row r="552" spans="1:27" ht="322" x14ac:dyDescent="0.2">
      <c r="A552" s="23" t="s">
        <v>1794</v>
      </c>
      <c r="B552" s="14" t="s">
        <v>1821</v>
      </c>
      <c r="C552" s="14" t="s">
        <v>59</v>
      </c>
      <c r="D552" s="12"/>
      <c r="E552" s="14" t="s">
        <v>82</v>
      </c>
      <c r="F552" s="14" t="s">
        <v>72</v>
      </c>
      <c r="G552" s="12"/>
      <c r="H552" s="17" t="s">
        <v>1828</v>
      </c>
      <c r="I552" s="136">
        <v>43020</v>
      </c>
      <c r="J552" s="81" t="s">
        <v>1829</v>
      </c>
      <c r="K552" s="12">
        <v>30</v>
      </c>
      <c r="L552" s="17">
        <v>1390</v>
      </c>
      <c r="M552" s="17" t="s">
        <v>76</v>
      </c>
      <c r="N552" s="12">
        <v>3.75</v>
      </c>
      <c r="O552" s="63" t="s">
        <v>1830</v>
      </c>
      <c r="P552" s="14" t="s">
        <v>1823</v>
      </c>
      <c r="Q552" s="58">
        <v>0.72</v>
      </c>
      <c r="R552" s="14" t="s">
        <v>973</v>
      </c>
      <c r="S552" s="14" t="s">
        <v>1824</v>
      </c>
      <c r="T552" s="12"/>
      <c r="U552" s="12">
        <v>3.32</v>
      </c>
      <c r="V552" s="12"/>
      <c r="W552" s="12"/>
      <c r="X552" s="12"/>
      <c r="Y552" s="12"/>
      <c r="Z552" s="12"/>
      <c r="AA552" s="12"/>
    </row>
    <row r="553" spans="1:27" ht="142.5" customHeight="1" x14ac:dyDescent="0.2">
      <c r="A553" s="23" t="s">
        <v>1794</v>
      </c>
      <c r="B553" s="14" t="s">
        <v>1831</v>
      </c>
      <c r="C553" s="14" t="s">
        <v>101</v>
      </c>
      <c r="D553" s="12"/>
      <c r="E553" s="14" t="s">
        <v>111</v>
      </c>
      <c r="F553" s="16" t="s">
        <v>72</v>
      </c>
      <c r="G553" s="12"/>
      <c r="H553" s="17" t="s">
        <v>62</v>
      </c>
      <c r="I553" s="17" t="s">
        <v>74</v>
      </c>
      <c r="J553" s="14" t="s">
        <v>1832</v>
      </c>
      <c r="K553" s="24">
        <v>22</v>
      </c>
      <c r="L553" s="24">
        <v>1530</v>
      </c>
      <c r="M553" s="14" t="s">
        <v>647</v>
      </c>
      <c r="N553" s="12">
        <v>3.5</v>
      </c>
      <c r="O553" s="19" t="s">
        <v>1833</v>
      </c>
      <c r="P553" s="33">
        <v>9500</v>
      </c>
      <c r="Q553" s="25">
        <v>0.05</v>
      </c>
      <c r="R553" s="52" t="s">
        <v>1834</v>
      </c>
      <c r="S553" s="34" t="s">
        <v>1184</v>
      </c>
      <c r="T553" s="12"/>
      <c r="U553" s="12">
        <v>2.34</v>
      </c>
      <c r="V553" s="12"/>
      <c r="W553" s="12"/>
      <c r="X553" s="12"/>
      <c r="Y553" s="12"/>
      <c r="Z553" s="12"/>
      <c r="AA553" s="12"/>
    </row>
    <row r="554" spans="1:27" ht="284.25" customHeight="1" x14ac:dyDescent="0.2">
      <c r="A554" s="23" t="s">
        <v>1794</v>
      </c>
      <c r="B554" s="14" t="s">
        <v>1835</v>
      </c>
      <c r="C554" s="14" t="s">
        <v>59</v>
      </c>
      <c r="D554" s="12"/>
      <c r="E554" s="14" t="s">
        <v>302</v>
      </c>
      <c r="F554" s="14" t="s">
        <v>72</v>
      </c>
      <c r="G554" s="12"/>
      <c r="H554" s="17" t="s">
        <v>454</v>
      </c>
      <c r="I554" s="17" t="s">
        <v>74</v>
      </c>
      <c r="J554" s="14" t="s">
        <v>1836</v>
      </c>
      <c r="K554" s="12"/>
      <c r="L554" s="12"/>
      <c r="M554" s="12"/>
      <c r="N554" s="12"/>
      <c r="O554" s="30" t="str">
        <f t="shared" ref="O554:O555" si="83">HYPERLINK("http://finaid.olemiss.edu/scholarships/","http://finaid.olemiss.edu/scholarships/")</f>
        <v>http://finaid.olemiss.edu/scholarships/</v>
      </c>
      <c r="P554" s="14" t="s">
        <v>1837</v>
      </c>
      <c r="Q554" s="25">
        <v>0.79</v>
      </c>
      <c r="R554" s="14" t="s">
        <v>364</v>
      </c>
      <c r="S554" s="14" t="s">
        <v>1838</v>
      </c>
      <c r="T554" s="12"/>
      <c r="U554" s="12">
        <v>3.54</v>
      </c>
      <c r="V554" s="12"/>
      <c r="W554" s="12"/>
      <c r="X554" s="12"/>
      <c r="Y554" s="12"/>
      <c r="Z554" s="12"/>
      <c r="AA554" s="12"/>
    </row>
    <row r="555" spans="1:27" ht="105.75" customHeight="1" x14ac:dyDescent="0.2">
      <c r="A555" s="39" t="s">
        <v>1794</v>
      </c>
      <c r="B555" s="40" t="s">
        <v>1835</v>
      </c>
      <c r="C555" s="40" t="s">
        <v>59</v>
      </c>
      <c r="D555" s="40"/>
      <c r="E555" s="69" t="s">
        <v>111</v>
      </c>
      <c r="F555" s="40" t="s">
        <v>92</v>
      </c>
      <c r="G555" s="40"/>
      <c r="H555" s="69" t="s">
        <v>93</v>
      </c>
      <c r="I555" s="69" t="s">
        <v>63</v>
      </c>
      <c r="J555" s="40" t="s">
        <v>1839</v>
      </c>
      <c r="K555" s="40" t="s">
        <v>416</v>
      </c>
      <c r="L555" s="40" t="s">
        <v>416</v>
      </c>
      <c r="M555" s="40"/>
      <c r="N555" s="166">
        <v>3</v>
      </c>
      <c r="O555" s="30" t="str">
        <f t="shared" si="83"/>
        <v>http://finaid.olemiss.edu/scholarships/</v>
      </c>
      <c r="P555" s="40" t="s">
        <v>1837</v>
      </c>
      <c r="Q555" s="42">
        <v>0.79</v>
      </c>
      <c r="R555" s="40" t="s">
        <v>364</v>
      </c>
      <c r="S555" s="40" t="s">
        <v>1838</v>
      </c>
      <c r="T555" s="40"/>
      <c r="U555" s="40">
        <v>3.54</v>
      </c>
      <c r="V555" s="40"/>
      <c r="W555" s="40"/>
      <c r="X555" s="40"/>
      <c r="Y555" s="40"/>
      <c r="Z555" s="40"/>
      <c r="AA555" s="40"/>
    </row>
    <row r="556" spans="1:27" ht="95.25" customHeight="1" x14ac:dyDescent="0.2">
      <c r="A556" s="109" t="s">
        <v>1794</v>
      </c>
      <c r="B556" s="110" t="s">
        <v>1835</v>
      </c>
      <c r="C556" s="110" t="s">
        <v>59</v>
      </c>
      <c r="D556" s="110"/>
      <c r="E556" s="110" t="s">
        <v>88</v>
      </c>
      <c r="F556" s="110" t="s">
        <v>61</v>
      </c>
      <c r="G556" s="112"/>
      <c r="H556" s="117" t="s">
        <v>62</v>
      </c>
      <c r="I556" s="117" t="s">
        <v>63</v>
      </c>
      <c r="J556" s="128" t="s">
        <v>1840</v>
      </c>
      <c r="K556" s="119">
        <v>32</v>
      </c>
      <c r="L556" s="120">
        <v>1450</v>
      </c>
      <c r="M556" s="128" t="s">
        <v>76</v>
      </c>
      <c r="N556" s="119">
        <v>3</v>
      </c>
      <c r="O556" s="121" t="s">
        <v>1841</v>
      </c>
      <c r="P556" s="110" t="s">
        <v>1837</v>
      </c>
      <c r="Q556" s="114">
        <v>0.79</v>
      </c>
      <c r="R556" s="110" t="s">
        <v>364</v>
      </c>
      <c r="S556" s="110" t="s">
        <v>1838</v>
      </c>
      <c r="T556" s="112"/>
      <c r="U556" s="112">
        <v>3.54</v>
      </c>
      <c r="V556" s="112"/>
      <c r="W556" s="112"/>
      <c r="X556" s="112"/>
      <c r="Y556" s="112"/>
      <c r="Z556" s="112"/>
      <c r="AA556" s="112"/>
    </row>
    <row r="557" spans="1:27" ht="95.25" customHeight="1" x14ac:dyDescent="0.2">
      <c r="A557" s="23" t="s">
        <v>1794</v>
      </c>
      <c r="B557" s="14" t="s">
        <v>1835</v>
      </c>
      <c r="C557" s="14" t="s">
        <v>59</v>
      </c>
      <c r="D557" s="14" t="s">
        <v>194</v>
      </c>
      <c r="E557" s="14" t="s">
        <v>88</v>
      </c>
      <c r="F557" s="14" t="s">
        <v>72</v>
      </c>
      <c r="G557" s="12"/>
      <c r="H557" s="17" t="s">
        <v>454</v>
      </c>
      <c r="I557" s="17" t="s">
        <v>74</v>
      </c>
      <c r="J557" s="14" t="s">
        <v>1842</v>
      </c>
      <c r="K557" s="24"/>
      <c r="L557" s="24"/>
      <c r="M557" s="14"/>
      <c r="N557" s="24"/>
      <c r="O557" s="30" t="str">
        <f t="shared" ref="O557:O564" si="84">HYPERLINK("http://finaid.olemiss.edu/scholarships/","http://finaid.olemiss.edu/scholarships/")</f>
        <v>http://finaid.olemiss.edu/scholarships/</v>
      </c>
      <c r="P557" s="14" t="s">
        <v>1837</v>
      </c>
      <c r="Q557" s="25">
        <v>0.79</v>
      </c>
      <c r="R557" s="14" t="s">
        <v>364</v>
      </c>
      <c r="S557" s="14" t="s">
        <v>1838</v>
      </c>
      <c r="T557" s="12"/>
      <c r="U557" s="12">
        <v>3.54</v>
      </c>
      <c r="V557" s="12"/>
      <c r="W557" s="12"/>
      <c r="X557" s="12"/>
      <c r="Y557" s="12"/>
      <c r="Z557" s="12"/>
      <c r="AA557" s="12"/>
    </row>
    <row r="558" spans="1:27" ht="95.25" customHeight="1" x14ac:dyDescent="0.2">
      <c r="A558" s="23" t="s">
        <v>1794</v>
      </c>
      <c r="B558" s="14" t="s">
        <v>1835</v>
      </c>
      <c r="C558" s="14" t="s">
        <v>59</v>
      </c>
      <c r="D558" s="14" t="s">
        <v>194</v>
      </c>
      <c r="E558" s="14" t="s">
        <v>88</v>
      </c>
      <c r="F558" s="14" t="s">
        <v>72</v>
      </c>
      <c r="G558" s="12"/>
      <c r="H558" s="17" t="s">
        <v>454</v>
      </c>
      <c r="I558" s="17" t="s">
        <v>74</v>
      </c>
      <c r="J558" s="16" t="s">
        <v>1843</v>
      </c>
      <c r="K558" s="24"/>
      <c r="L558" s="24"/>
      <c r="M558" s="14"/>
      <c r="N558" s="24"/>
      <c r="O558" s="30" t="str">
        <f t="shared" si="84"/>
        <v>http://finaid.olemiss.edu/scholarships/</v>
      </c>
      <c r="P558" s="14" t="s">
        <v>1837</v>
      </c>
      <c r="Q558" s="25">
        <v>0.79</v>
      </c>
      <c r="R558" s="14" t="s">
        <v>364</v>
      </c>
      <c r="S558" s="14" t="s">
        <v>1838</v>
      </c>
      <c r="T558" s="12"/>
      <c r="U558" s="12">
        <v>3.54</v>
      </c>
      <c r="V558" s="12"/>
      <c r="W558" s="12"/>
      <c r="X558" s="12"/>
      <c r="Y558" s="12"/>
      <c r="Z558" s="12"/>
      <c r="AA558" s="12"/>
    </row>
    <row r="559" spans="1:27" ht="95.25" customHeight="1" x14ac:dyDescent="0.2">
      <c r="A559" s="23" t="s">
        <v>1794</v>
      </c>
      <c r="B559" s="14" t="s">
        <v>1835</v>
      </c>
      <c r="C559" s="14" t="s">
        <v>59</v>
      </c>
      <c r="D559" s="14" t="s">
        <v>194</v>
      </c>
      <c r="E559" s="14" t="s">
        <v>88</v>
      </c>
      <c r="F559" s="14" t="s">
        <v>72</v>
      </c>
      <c r="G559" s="12"/>
      <c r="H559" s="17" t="s">
        <v>454</v>
      </c>
      <c r="I559" s="17" t="s">
        <v>74</v>
      </c>
      <c r="J559" s="14" t="s">
        <v>1844</v>
      </c>
      <c r="K559" s="24"/>
      <c r="L559" s="24"/>
      <c r="M559" s="14"/>
      <c r="N559" s="24"/>
      <c r="O559" s="30" t="str">
        <f t="shared" si="84"/>
        <v>http://finaid.olemiss.edu/scholarships/</v>
      </c>
      <c r="P559" s="14" t="s">
        <v>1837</v>
      </c>
      <c r="Q559" s="25">
        <v>0.79</v>
      </c>
      <c r="R559" s="14" t="s">
        <v>364</v>
      </c>
      <c r="S559" s="14" t="s">
        <v>1838</v>
      </c>
      <c r="T559" s="12"/>
      <c r="U559" s="12">
        <v>3.54</v>
      </c>
      <c r="V559" s="12"/>
      <c r="W559" s="12"/>
      <c r="X559" s="12"/>
      <c r="Y559" s="12"/>
      <c r="Z559" s="12"/>
      <c r="AA559" s="12"/>
    </row>
    <row r="560" spans="1:27" ht="111" customHeight="1" x14ac:dyDescent="0.2">
      <c r="A560" s="23" t="s">
        <v>1794</v>
      </c>
      <c r="B560" s="14" t="s">
        <v>1835</v>
      </c>
      <c r="C560" s="14" t="s">
        <v>59</v>
      </c>
      <c r="D560" s="14" t="s">
        <v>194</v>
      </c>
      <c r="E560" s="14" t="s">
        <v>88</v>
      </c>
      <c r="F560" s="14" t="s">
        <v>72</v>
      </c>
      <c r="G560" s="12"/>
      <c r="H560" s="17" t="s">
        <v>1845</v>
      </c>
      <c r="I560" s="17" t="s">
        <v>74</v>
      </c>
      <c r="J560" s="14" t="s">
        <v>1846</v>
      </c>
      <c r="K560" s="24"/>
      <c r="L560" s="24"/>
      <c r="M560" s="14"/>
      <c r="N560" s="24"/>
      <c r="O560" s="30" t="str">
        <f t="shared" si="84"/>
        <v>http://finaid.olemiss.edu/scholarships/</v>
      </c>
      <c r="P560" s="14" t="s">
        <v>1837</v>
      </c>
      <c r="Q560" s="25">
        <v>0.79</v>
      </c>
      <c r="R560" s="14" t="s">
        <v>364</v>
      </c>
      <c r="S560" s="14" t="s">
        <v>1838</v>
      </c>
      <c r="T560" s="12"/>
      <c r="U560" s="12">
        <v>3.54</v>
      </c>
      <c r="V560" s="12"/>
      <c r="W560" s="12"/>
      <c r="X560" s="12"/>
      <c r="Y560" s="12"/>
      <c r="Z560" s="12"/>
      <c r="AA560" s="12"/>
    </row>
    <row r="561" spans="1:27" ht="95.25" customHeight="1" x14ac:dyDescent="0.2">
      <c r="A561" s="23" t="s">
        <v>1794</v>
      </c>
      <c r="B561" s="14" t="s">
        <v>1835</v>
      </c>
      <c r="C561" s="14" t="s">
        <v>59</v>
      </c>
      <c r="D561" s="14" t="s">
        <v>194</v>
      </c>
      <c r="E561" s="14" t="s">
        <v>88</v>
      </c>
      <c r="F561" s="14" t="s">
        <v>72</v>
      </c>
      <c r="G561" s="12"/>
      <c r="H561" s="17" t="s">
        <v>239</v>
      </c>
      <c r="I561" s="17" t="s">
        <v>74</v>
      </c>
      <c r="J561" s="14" t="s">
        <v>1847</v>
      </c>
      <c r="K561" s="24"/>
      <c r="L561" s="24"/>
      <c r="M561" s="14"/>
      <c r="N561" s="24"/>
      <c r="O561" s="30" t="str">
        <f t="shared" si="84"/>
        <v>http://finaid.olemiss.edu/scholarships/</v>
      </c>
      <c r="P561" s="14" t="s">
        <v>1837</v>
      </c>
      <c r="Q561" s="25">
        <v>0.79</v>
      </c>
      <c r="R561" s="14" t="s">
        <v>364</v>
      </c>
      <c r="S561" s="14" t="s">
        <v>1838</v>
      </c>
      <c r="T561" s="12"/>
      <c r="U561" s="12">
        <v>3.54</v>
      </c>
      <c r="V561" s="12"/>
      <c r="W561" s="12"/>
      <c r="X561" s="12"/>
      <c r="Y561" s="12"/>
      <c r="Z561" s="12"/>
      <c r="AA561" s="12"/>
    </row>
    <row r="562" spans="1:27" ht="95.25" customHeight="1" x14ac:dyDescent="0.2">
      <c r="A562" s="23" t="s">
        <v>1794</v>
      </c>
      <c r="B562" s="14" t="s">
        <v>1835</v>
      </c>
      <c r="C562" s="14" t="s">
        <v>59</v>
      </c>
      <c r="D562" s="14" t="s">
        <v>194</v>
      </c>
      <c r="E562" s="14" t="s">
        <v>88</v>
      </c>
      <c r="F562" s="14" t="s">
        <v>72</v>
      </c>
      <c r="G562" s="12"/>
      <c r="H562" s="17" t="s">
        <v>239</v>
      </c>
      <c r="I562" s="17" t="s">
        <v>74</v>
      </c>
      <c r="J562" s="14" t="s">
        <v>1848</v>
      </c>
      <c r="K562" s="24"/>
      <c r="L562" s="24"/>
      <c r="M562" s="14"/>
      <c r="N562" s="24"/>
      <c r="O562" s="30" t="str">
        <f t="shared" si="84"/>
        <v>http://finaid.olemiss.edu/scholarships/</v>
      </c>
      <c r="P562" s="14" t="s">
        <v>1837</v>
      </c>
      <c r="Q562" s="25">
        <v>0.79</v>
      </c>
      <c r="R562" s="14" t="s">
        <v>364</v>
      </c>
      <c r="S562" s="14" t="s">
        <v>1838</v>
      </c>
      <c r="T562" s="12"/>
      <c r="U562" s="12">
        <v>3.54</v>
      </c>
      <c r="V562" s="12"/>
      <c r="W562" s="12"/>
      <c r="X562" s="12"/>
      <c r="Y562" s="12"/>
      <c r="Z562" s="12"/>
      <c r="AA562" s="12"/>
    </row>
    <row r="563" spans="1:27" ht="95.25" customHeight="1" x14ac:dyDescent="0.2">
      <c r="A563" s="23" t="s">
        <v>1794</v>
      </c>
      <c r="B563" s="14" t="s">
        <v>1835</v>
      </c>
      <c r="C563" s="14" t="s">
        <v>59</v>
      </c>
      <c r="D563" s="14"/>
      <c r="E563" s="14" t="s">
        <v>1849</v>
      </c>
      <c r="F563" s="14" t="s">
        <v>72</v>
      </c>
      <c r="G563" s="12"/>
      <c r="H563" s="17" t="s">
        <v>239</v>
      </c>
      <c r="I563" s="17" t="s">
        <v>74</v>
      </c>
      <c r="J563" s="14" t="s">
        <v>1850</v>
      </c>
      <c r="K563" s="24"/>
      <c r="L563" s="24"/>
      <c r="M563" s="14"/>
      <c r="N563" s="24"/>
      <c r="O563" s="30" t="str">
        <f t="shared" si="84"/>
        <v>http://finaid.olemiss.edu/scholarships/</v>
      </c>
      <c r="P563" s="14" t="s">
        <v>1837</v>
      </c>
      <c r="Q563" s="25">
        <v>0.79</v>
      </c>
      <c r="R563" s="14" t="s">
        <v>364</v>
      </c>
      <c r="S563" s="14" t="s">
        <v>1838</v>
      </c>
      <c r="T563" s="12"/>
      <c r="U563" s="12">
        <v>3.54</v>
      </c>
      <c r="V563" s="12"/>
      <c r="W563" s="12"/>
      <c r="X563" s="12"/>
      <c r="Y563" s="12"/>
      <c r="Z563" s="12"/>
      <c r="AA563" s="12"/>
    </row>
    <row r="564" spans="1:27" ht="111" customHeight="1" x14ac:dyDescent="0.2">
      <c r="A564" s="23" t="s">
        <v>1794</v>
      </c>
      <c r="B564" s="14" t="s">
        <v>1835</v>
      </c>
      <c r="C564" s="14" t="s">
        <v>59</v>
      </c>
      <c r="D564" s="14"/>
      <c r="E564" s="14" t="s">
        <v>1849</v>
      </c>
      <c r="F564" s="14" t="s">
        <v>72</v>
      </c>
      <c r="G564" s="12"/>
      <c r="H564" s="17" t="s">
        <v>1851</v>
      </c>
      <c r="I564" s="17" t="s">
        <v>74</v>
      </c>
      <c r="J564" s="14" t="s">
        <v>1852</v>
      </c>
      <c r="K564" s="24"/>
      <c r="L564" s="24"/>
      <c r="M564" s="14"/>
      <c r="N564" s="24"/>
      <c r="O564" s="30" t="str">
        <f t="shared" si="84"/>
        <v>http://finaid.olemiss.edu/scholarships/</v>
      </c>
      <c r="P564" s="14" t="s">
        <v>1837</v>
      </c>
      <c r="Q564" s="25">
        <v>0.79</v>
      </c>
      <c r="R564" s="14" t="s">
        <v>364</v>
      </c>
      <c r="S564" s="14" t="s">
        <v>1838</v>
      </c>
      <c r="T564" s="12"/>
      <c r="U564" s="12">
        <v>3.54</v>
      </c>
      <c r="V564" s="12"/>
      <c r="W564" s="12"/>
      <c r="X564" s="12"/>
      <c r="Y564" s="12"/>
      <c r="Z564" s="12"/>
      <c r="AA564" s="12"/>
    </row>
    <row r="565" spans="1:27" ht="158.25" customHeight="1" x14ac:dyDescent="0.2">
      <c r="A565" s="23" t="s">
        <v>1794</v>
      </c>
      <c r="B565" s="14" t="s">
        <v>1835</v>
      </c>
      <c r="C565" s="14" t="s">
        <v>59</v>
      </c>
      <c r="D565" s="14"/>
      <c r="E565" s="14" t="s">
        <v>1849</v>
      </c>
      <c r="F565" s="14" t="s">
        <v>72</v>
      </c>
      <c r="G565" s="12"/>
      <c r="H565" s="17" t="s">
        <v>454</v>
      </c>
      <c r="I565" s="17" t="s">
        <v>74</v>
      </c>
      <c r="J565" s="16" t="s">
        <v>1853</v>
      </c>
      <c r="K565" s="24"/>
      <c r="L565" s="24"/>
      <c r="M565" s="14"/>
      <c r="N565" s="24"/>
      <c r="O565" s="30" t="str">
        <f t="shared" ref="O565:O566" si="85">HYPERLINK("http://finaid.olemiss.edu/scholarships/#19","http://finaid.olemiss.edu/scholarships/#19")</f>
        <v>http://finaid.olemiss.edu/scholarships/#19</v>
      </c>
      <c r="P565" s="14" t="s">
        <v>1837</v>
      </c>
      <c r="Q565" s="25">
        <v>0.79</v>
      </c>
      <c r="R565" s="14" t="s">
        <v>364</v>
      </c>
      <c r="S565" s="14" t="s">
        <v>1838</v>
      </c>
      <c r="T565" s="12"/>
      <c r="U565" s="12">
        <v>3.54</v>
      </c>
      <c r="V565" s="12"/>
      <c r="W565" s="12"/>
      <c r="X565" s="12"/>
      <c r="Y565" s="12"/>
      <c r="Z565" s="12"/>
      <c r="AA565" s="12"/>
    </row>
    <row r="566" spans="1:27" ht="158.25" customHeight="1" x14ac:dyDescent="0.2">
      <c r="A566" s="23" t="s">
        <v>1794</v>
      </c>
      <c r="B566" s="14" t="s">
        <v>1835</v>
      </c>
      <c r="C566" s="14" t="s">
        <v>59</v>
      </c>
      <c r="D566" s="14"/>
      <c r="E566" s="14" t="s">
        <v>1849</v>
      </c>
      <c r="F566" s="14" t="s">
        <v>72</v>
      </c>
      <c r="G566" s="12"/>
      <c r="H566" s="17" t="s">
        <v>881</v>
      </c>
      <c r="I566" s="17" t="s">
        <v>74</v>
      </c>
      <c r="J566" s="16" t="s">
        <v>1854</v>
      </c>
      <c r="K566" s="24"/>
      <c r="L566" s="24"/>
      <c r="M566" s="14"/>
      <c r="N566" s="24"/>
      <c r="O566" s="30" t="str">
        <f t="shared" si="85"/>
        <v>http://finaid.olemiss.edu/scholarships/#19</v>
      </c>
      <c r="P566" s="14" t="s">
        <v>1837</v>
      </c>
      <c r="Q566" s="25">
        <v>0.79</v>
      </c>
      <c r="R566" s="14" t="s">
        <v>364</v>
      </c>
      <c r="S566" s="14" t="s">
        <v>1838</v>
      </c>
      <c r="T566" s="12"/>
      <c r="U566" s="12">
        <v>3.54</v>
      </c>
      <c r="V566" s="12"/>
      <c r="W566" s="12"/>
      <c r="X566" s="12"/>
      <c r="Y566" s="12"/>
      <c r="Z566" s="12"/>
      <c r="AA566" s="12"/>
    </row>
    <row r="567" spans="1:27" ht="90.75" customHeight="1" x14ac:dyDescent="0.2">
      <c r="A567" s="39" t="s">
        <v>1794</v>
      </c>
      <c r="B567" s="40" t="s">
        <v>1855</v>
      </c>
      <c r="C567" s="40" t="s">
        <v>59</v>
      </c>
      <c r="D567" s="40"/>
      <c r="E567" s="40" t="s">
        <v>634</v>
      </c>
      <c r="F567" s="40" t="s">
        <v>680</v>
      </c>
      <c r="G567" s="40"/>
      <c r="H567" s="69" t="s">
        <v>93</v>
      </c>
      <c r="I567" s="69" t="s">
        <v>63</v>
      </c>
      <c r="J567" s="40" t="s">
        <v>1856</v>
      </c>
      <c r="K567" s="166"/>
      <c r="L567" s="166"/>
      <c r="M567" s="40"/>
      <c r="N567" s="166"/>
      <c r="O567" s="19" t="s">
        <v>1857</v>
      </c>
      <c r="P567" s="40" t="s">
        <v>1858</v>
      </c>
      <c r="Q567" s="42">
        <v>0.57999999999999996</v>
      </c>
      <c r="R567" s="40" t="s">
        <v>67</v>
      </c>
      <c r="S567" s="40" t="s">
        <v>1859</v>
      </c>
      <c r="T567" s="40"/>
      <c r="U567" s="40">
        <v>3.27</v>
      </c>
      <c r="V567" s="40"/>
      <c r="W567" s="40"/>
      <c r="X567" s="40"/>
      <c r="Y567" s="40"/>
      <c r="Z567" s="40"/>
      <c r="AA567" s="40"/>
    </row>
    <row r="568" spans="1:27" ht="111" customHeight="1" x14ac:dyDescent="0.2">
      <c r="A568" s="23" t="s">
        <v>1794</v>
      </c>
      <c r="B568" s="14" t="s">
        <v>1855</v>
      </c>
      <c r="C568" s="14" t="s">
        <v>59</v>
      </c>
      <c r="D568" s="14"/>
      <c r="E568" s="14" t="s">
        <v>82</v>
      </c>
      <c r="F568" s="14" t="s">
        <v>72</v>
      </c>
      <c r="G568" s="12"/>
      <c r="H568" s="17" t="s">
        <v>62</v>
      </c>
      <c r="I568" s="17" t="s">
        <v>74</v>
      </c>
      <c r="J568" s="14" t="s">
        <v>1860</v>
      </c>
      <c r="K568" s="24">
        <v>30</v>
      </c>
      <c r="L568" s="18">
        <v>1390</v>
      </c>
      <c r="M568" s="16" t="s">
        <v>76</v>
      </c>
      <c r="N568" s="24"/>
      <c r="O568" s="30" t="str">
        <f t="shared" ref="O568:O570" si="86">HYPERLINK("http://www.usm.edu/admissions/freshman-scholarships","http://www.usm.edu/admissions/freshman-scholarships")</f>
        <v>http://www.usm.edu/admissions/freshman-scholarships</v>
      </c>
      <c r="P568" s="14" t="s">
        <v>1858</v>
      </c>
      <c r="Q568" s="25">
        <v>0.57999999999999996</v>
      </c>
      <c r="R568" s="14" t="s">
        <v>67</v>
      </c>
      <c r="S568" s="14" t="s">
        <v>1859</v>
      </c>
      <c r="T568" s="12"/>
      <c r="U568" s="12">
        <v>3.27</v>
      </c>
      <c r="V568" s="12"/>
      <c r="W568" s="12"/>
      <c r="X568" s="12"/>
      <c r="Y568" s="12"/>
      <c r="Z568" s="12"/>
      <c r="AA568" s="12"/>
    </row>
    <row r="569" spans="1:27" ht="111" customHeight="1" x14ac:dyDescent="0.2">
      <c r="A569" s="23" t="s">
        <v>1794</v>
      </c>
      <c r="B569" s="14" t="s">
        <v>1855</v>
      </c>
      <c r="C569" s="14" t="s">
        <v>59</v>
      </c>
      <c r="D569" s="14"/>
      <c r="E569" s="14" t="s">
        <v>60</v>
      </c>
      <c r="F569" s="14" t="s">
        <v>61</v>
      </c>
      <c r="G569" s="12"/>
      <c r="H569" s="17" t="s">
        <v>62</v>
      </c>
      <c r="I569" s="17" t="s">
        <v>74</v>
      </c>
      <c r="J569" s="14" t="s">
        <v>1861</v>
      </c>
      <c r="K569" s="24">
        <v>30</v>
      </c>
      <c r="L569" s="18">
        <v>1390</v>
      </c>
      <c r="M569" s="16" t="s">
        <v>1798</v>
      </c>
      <c r="N569" s="24">
        <v>3</v>
      </c>
      <c r="O569" s="30" t="str">
        <f t="shared" si="86"/>
        <v>http://www.usm.edu/admissions/freshman-scholarships</v>
      </c>
      <c r="P569" s="14" t="s">
        <v>1858</v>
      </c>
      <c r="Q569" s="25">
        <v>0.57999999999999996</v>
      </c>
      <c r="R569" s="14" t="s">
        <v>67</v>
      </c>
      <c r="S569" s="14" t="s">
        <v>1859</v>
      </c>
      <c r="T569" s="12"/>
      <c r="U569" s="12">
        <v>3.27</v>
      </c>
      <c r="V569" s="12"/>
      <c r="W569" s="12"/>
      <c r="X569" s="12"/>
      <c r="Y569" s="12"/>
      <c r="Z569" s="12"/>
      <c r="AA569" s="12"/>
    </row>
    <row r="570" spans="1:27" ht="182" x14ac:dyDescent="0.2">
      <c r="A570" s="23" t="s">
        <v>1794</v>
      </c>
      <c r="B570" s="14" t="s">
        <v>1855</v>
      </c>
      <c r="C570" s="14" t="s">
        <v>59</v>
      </c>
      <c r="D570" s="14"/>
      <c r="E570" s="14" t="s">
        <v>88</v>
      </c>
      <c r="F570" s="14" t="s">
        <v>72</v>
      </c>
      <c r="G570" s="12"/>
      <c r="H570" s="17" t="s">
        <v>1401</v>
      </c>
      <c r="I570" s="17" t="s">
        <v>74</v>
      </c>
      <c r="J570" s="81" t="s">
        <v>1862</v>
      </c>
      <c r="K570" s="24"/>
      <c r="L570" s="24"/>
      <c r="M570" s="14"/>
      <c r="N570" s="24"/>
      <c r="O570" s="30" t="str">
        <f t="shared" si="86"/>
        <v>http://www.usm.edu/admissions/freshman-scholarships</v>
      </c>
      <c r="P570" s="14" t="s">
        <v>1858</v>
      </c>
      <c r="Q570" s="25">
        <v>0.57999999999999996</v>
      </c>
      <c r="R570" s="14" t="s">
        <v>67</v>
      </c>
      <c r="S570" s="14" t="s">
        <v>1859</v>
      </c>
      <c r="T570" s="12"/>
      <c r="U570" s="12">
        <v>3.27</v>
      </c>
      <c r="V570" s="12"/>
      <c r="W570" s="12"/>
      <c r="X570" s="12"/>
      <c r="Y570" s="12"/>
      <c r="Z570" s="12"/>
      <c r="AA570" s="12"/>
    </row>
    <row r="571" spans="1:27" ht="157" x14ac:dyDescent="0.2">
      <c r="A571" s="23" t="s">
        <v>1794</v>
      </c>
      <c r="B571" s="14" t="s">
        <v>1863</v>
      </c>
      <c r="C571" s="14" t="s">
        <v>59</v>
      </c>
      <c r="D571" s="14" t="s">
        <v>194</v>
      </c>
      <c r="E571" s="14" t="s">
        <v>88</v>
      </c>
      <c r="F571" s="14" t="s">
        <v>61</v>
      </c>
      <c r="G571" s="12"/>
      <c r="H571" s="17" t="s">
        <v>62</v>
      </c>
      <c r="I571" s="17" t="s">
        <v>63</v>
      </c>
      <c r="J571" s="56" t="s">
        <v>1864</v>
      </c>
      <c r="K571" s="24">
        <v>29</v>
      </c>
      <c r="L571" s="18">
        <v>1360</v>
      </c>
      <c r="M571" s="16" t="s">
        <v>76</v>
      </c>
      <c r="N571" s="24"/>
      <c r="O571" s="30" t="str">
        <f>HYPERLINK("https://www.wmcarey.edu/sites/default/files/documents/financialaid/Scholarship_Application.pdf","https://www.wmcarey.edu/sites/default/files/documents/financialaid/Scholarship_Application.pdf")</f>
        <v>https://www.wmcarey.edu/sites/default/files/documents/financialaid/Scholarship_Application.pdf</v>
      </c>
      <c r="P571" s="14">
        <v>11700</v>
      </c>
      <c r="Q571" s="25">
        <v>0.93</v>
      </c>
      <c r="R571" s="14" t="s">
        <v>364</v>
      </c>
      <c r="S571" s="14" t="s">
        <v>1865</v>
      </c>
      <c r="T571" s="12"/>
      <c r="U571" s="12" t="s">
        <v>81</v>
      </c>
      <c r="V571" s="12"/>
      <c r="W571" s="12"/>
      <c r="X571" s="12"/>
      <c r="Y571" s="12"/>
      <c r="Z571" s="12"/>
      <c r="AA571" s="12"/>
    </row>
    <row r="572" spans="1:27" ht="111" customHeight="1" x14ac:dyDescent="0.2">
      <c r="A572" s="23" t="s">
        <v>1866</v>
      </c>
      <c r="B572" s="14" t="s">
        <v>1867</v>
      </c>
      <c r="C572" s="14" t="s">
        <v>101</v>
      </c>
      <c r="D572" s="14"/>
      <c r="E572" s="14" t="s">
        <v>60</v>
      </c>
      <c r="F572" s="14" t="s">
        <v>145</v>
      </c>
      <c r="G572" s="12"/>
      <c r="H572" s="17" t="s">
        <v>157</v>
      </c>
      <c r="I572" s="17" t="s">
        <v>74</v>
      </c>
      <c r="J572" s="14" t="s">
        <v>1868</v>
      </c>
      <c r="K572" s="24"/>
      <c r="L572" s="24"/>
      <c r="M572" s="14"/>
      <c r="N572" s="24"/>
      <c r="O572" s="30" t="str">
        <f>HYPERLINK("http://www.carroll.edu/finaid/prostudents/","http://www.carroll.edu/finaid/prostudents/")</f>
        <v>http://www.carroll.edu/finaid/prostudents/</v>
      </c>
      <c r="P572" s="14">
        <v>33192</v>
      </c>
      <c r="Q572" s="25">
        <v>0.57999999999999996</v>
      </c>
      <c r="R572" s="14" t="s">
        <v>224</v>
      </c>
      <c r="S572" s="14" t="s">
        <v>1869</v>
      </c>
      <c r="T572" s="12"/>
      <c r="U572" s="12">
        <v>3.6</v>
      </c>
      <c r="V572" s="12"/>
      <c r="W572" s="12"/>
      <c r="X572" s="12"/>
      <c r="Y572" s="12"/>
      <c r="Z572" s="12"/>
      <c r="AA572" s="12"/>
    </row>
    <row r="573" spans="1:27" ht="205.5" customHeight="1" x14ac:dyDescent="0.2">
      <c r="A573" s="15" t="s">
        <v>1866</v>
      </c>
      <c r="B573" s="16" t="s">
        <v>1870</v>
      </c>
      <c r="C573" s="16" t="s">
        <v>59</v>
      </c>
      <c r="D573" s="14"/>
      <c r="E573" s="16" t="s">
        <v>88</v>
      </c>
      <c r="F573" s="16" t="s">
        <v>72</v>
      </c>
      <c r="G573" s="12"/>
      <c r="H573" s="17" t="s">
        <v>1871</v>
      </c>
      <c r="I573" s="17" t="s">
        <v>1872</v>
      </c>
      <c r="J573" s="16" t="s">
        <v>1873</v>
      </c>
      <c r="K573" s="24"/>
      <c r="L573" s="24"/>
      <c r="M573" s="14"/>
      <c r="N573" s="24"/>
      <c r="O573" s="19" t="s">
        <v>1874</v>
      </c>
      <c r="P573" s="131" t="s">
        <v>1875</v>
      </c>
      <c r="Q573" s="199" t="s">
        <v>734</v>
      </c>
      <c r="R573" s="20" t="s">
        <v>364</v>
      </c>
      <c r="S573" s="22" t="s">
        <v>1876</v>
      </c>
      <c r="T573" s="12"/>
      <c r="U573" s="17">
        <v>3.36</v>
      </c>
      <c r="V573" s="12"/>
      <c r="W573" s="12"/>
      <c r="X573" s="12"/>
      <c r="Y573" s="12"/>
      <c r="Z573" s="12"/>
      <c r="AA573" s="12"/>
    </row>
    <row r="574" spans="1:27" ht="205.5" customHeight="1" x14ac:dyDescent="0.2">
      <c r="A574" s="15" t="s">
        <v>1866</v>
      </c>
      <c r="B574" s="16" t="s">
        <v>1870</v>
      </c>
      <c r="C574" s="16" t="s">
        <v>59</v>
      </c>
      <c r="D574" s="14"/>
      <c r="E574" s="16" t="s">
        <v>136</v>
      </c>
      <c r="F574" s="16" t="s">
        <v>145</v>
      </c>
      <c r="G574" s="12"/>
      <c r="H574" s="17" t="s">
        <v>157</v>
      </c>
      <c r="I574" s="17" t="s">
        <v>74</v>
      </c>
      <c r="J574" s="16" t="s">
        <v>1877</v>
      </c>
      <c r="K574" s="24"/>
      <c r="L574" s="24"/>
      <c r="M574" s="14"/>
      <c r="N574" s="24"/>
      <c r="O574" s="19" t="s">
        <v>1878</v>
      </c>
      <c r="P574" s="131" t="s">
        <v>1875</v>
      </c>
      <c r="Q574" s="199" t="s">
        <v>734</v>
      </c>
      <c r="R574" s="20" t="s">
        <v>1879</v>
      </c>
      <c r="S574" s="22" t="s">
        <v>1876</v>
      </c>
      <c r="T574" s="12"/>
      <c r="U574" s="17">
        <v>3.36</v>
      </c>
      <c r="V574" s="12"/>
      <c r="W574" s="12"/>
      <c r="X574" s="12"/>
      <c r="Y574" s="12"/>
      <c r="Z574" s="12"/>
      <c r="AA574" s="12"/>
    </row>
    <row r="575" spans="1:27" ht="205.5" customHeight="1" x14ac:dyDescent="0.2">
      <c r="A575" s="23" t="s">
        <v>1866</v>
      </c>
      <c r="B575" s="14" t="s">
        <v>1880</v>
      </c>
      <c r="C575" s="14" t="s">
        <v>101</v>
      </c>
      <c r="D575" s="14"/>
      <c r="E575" s="14" t="s">
        <v>1881</v>
      </c>
      <c r="F575" s="14" t="s">
        <v>72</v>
      </c>
      <c r="G575" s="12"/>
      <c r="H575" s="17" t="s">
        <v>1529</v>
      </c>
      <c r="I575" s="17" t="s">
        <v>74</v>
      </c>
      <c r="J575" s="16" t="s">
        <v>1882</v>
      </c>
      <c r="K575" s="24"/>
      <c r="L575" s="24"/>
      <c r="M575" s="14"/>
      <c r="N575" s="24">
        <v>3.5</v>
      </c>
      <c r="O575" s="30" t="str">
        <f t="shared" ref="O575:O577" si="87">HYPERLINK("http://www.ugf.edu/ProspectiveStudents/FinancialAid/Scholarships/tabid/351/Default.aspx","http://www.ugf.edu/ProspectiveStudents/FinancialAid/Scholarships/tabid/351/Default.aspx")</f>
        <v>http://www.ugf.edu/ProspectiveStudents/FinancialAid/Scholarships/tabid/351/Default.aspx</v>
      </c>
      <c r="P575" s="14">
        <v>24084</v>
      </c>
      <c r="Q575" s="25">
        <v>0.84</v>
      </c>
      <c r="R575" s="14" t="s">
        <v>155</v>
      </c>
      <c r="S575" s="14" t="s">
        <v>1883</v>
      </c>
      <c r="T575" s="12"/>
      <c r="U575" s="12">
        <v>3.28</v>
      </c>
      <c r="V575" s="12"/>
      <c r="W575" s="12"/>
      <c r="X575" s="12"/>
      <c r="Y575" s="12"/>
      <c r="Z575" s="12"/>
      <c r="AA575" s="12"/>
    </row>
    <row r="576" spans="1:27" ht="111" customHeight="1" x14ac:dyDescent="0.2">
      <c r="A576" s="23" t="s">
        <v>1866</v>
      </c>
      <c r="B576" s="14" t="s">
        <v>1880</v>
      </c>
      <c r="C576" s="14" t="s">
        <v>101</v>
      </c>
      <c r="D576" s="16" t="s">
        <v>794</v>
      </c>
      <c r="E576" s="16" t="s">
        <v>111</v>
      </c>
      <c r="F576" s="14" t="s">
        <v>72</v>
      </c>
      <c r="G576" s="12"/>
      <c r="H576" s="17" t="s">
        <v>1884</v>
      </c>
      <c r="I576" s="17" t="s">
        <v>74</v>
      </c>
      <c r="J576" s="16" t="s">
        <v>1885</v>
      </c>
      <c r="K576" s="24"/>
      <c r="L576" s="18"/>
      <c r="M576" s="16"/>
      <c r="N576" s="24"/>
      <c r="O576" s="30" t="str">
        <f t="shared" si="87"/>
        <v>http://www.ugf.edu/ProspectiveStudents/FinancialAid/Scholarships/tabid/351/Default.aspx</v>
      </c>
      <c r="P576" s="14">
        <v>24084</v>
      </c>
      <c r="Q576" s="25">
        <v>0.84</v>
      </c>
      <c r="R576" s="14" t="s">
        <v>155</v>
      </c>
      <c r="S576" s="14" t="s">
        <v>1883</v>
      </c>
      <c r="T576" s="12"/>
      <c r="U576" s="12">
        <v>3.28</v>
      </c>
      <c r="V576" s="12"/>
      <c r="W576" s="12"/>
      <c r="X576" s="12"/>
      <c r="Y576" s="12"/>
      <c r="Z576" s="12"/>
      <c r="AA576" s="12"/>
    </row>
    <row r="577" spans="1:27" ht="111" customHeight="1" x14ac:dyDescent="0.2">
      <c r="A577" s="23" t="s">
        <v>1866</v>
      </c>
      <c r="B577" s="14" t="s">
        <v>1880</v>
      </c>
      <c r="C577" s="14" t="s">
        <v>101</v>
      </c>
      <c r="D577" s="16" t="s">
        <v>794</v>
      </c>
      <c r="E577" s="14" t="s">
        <v>60</v>
      </c>
      <c r="F577" s="14" t="s">
        <v>72</v>
      </c>
      <c r="G577" s="12"/>
      <c r="H577" s="17" t="s">
        <v>1886</v>
      </c>
      <c r="I577" s="17" t="s">
        <v>74</v>
      </c>
      <c r="J577" s="14" t="s">
        <v>1887</v>
      </c>
      <c r="K577" s="24">
        <v>22</v>
      </c>
      <c r="L577" s="18">
        <v>1000</v>
      </c>
      <c r="M577" s="16" t="s">
        <v>76</v>
      </c>
      <c r="N577" s="24"/>
      <c r="O577" s="30" t="str">
        <f t="shared" si="87"/>
        <v>http://www.ugf.edu/ProspectiveStudents/FinancialAid/Scholarships/tabid/351/Default.aspx</v>
      </c>
      <c r="P577" s="14">
        <v>24084</v>
      </c>
      <c r="Q577" s="25">
        <v>0.84</v>
      </c>
      <c r="R577" s="14" t="s">
        <v>155</v>
      </c>
      <c r="S577" s="14" t="s">
        <v>1883</v>
      </c>
      <c r="T577" s="12"/>
      <c r="U577" s="12">
        <v>3.28</v>
      </c>
      <c r="V577" s="12"/>
      <c r="W577" s="12"/>
      <c r="X577" s="12"/>
      <c r="Y577" s="12"/>
      <c r="Z577" s="12"/>
      <c r="AA577" s="12"/>
    </row>
    <row r="578" spans="1:27" ht="111" customHeight="1" x14ac:dyDescent="0.2">
      <c r="A578" s="15" t="s">
        <v>1866</v>
      </c>
      <c r="B578" s="16" t="s">
        <v>1888</v>
      </c>
      <c r="C578" s="16" t="s">
        <v>59</v>
      </c>
      <c r="D578" s="14"/>
      <c r="E578" s="16" t="s">
        <v>243</v>
      </c>
      <c r="F578" s="16" t="s">
        <v>72</v>
      </c>
      <c r="G578" s="12"/>
      <c r="H578" s="17" t="s">
        <v>250</v>
      </c>
      <c r="I578" s="17">
        <v>25</v>
      </c>
      <c r="J578" s="129" t="s">
        <v>1889</v>
      </c>
      <c r="K578" s="24"/>
      <c r="L578" s="24"/>
      <c r="M578" s="14"/>
      <c r="N578" s="24"/>
      <c r="O578" s="19" t="s">
        <v>1890</v>
      </c>
      <c r="P578" s="16" t="s">
        <v>1891</v>
      </c>
      <c r="Q578" s="18" t="s">
        <v>1892</v>
      </c>
      <c r="R578" s="16" t="s">
        <v>973</v>
      </c>
      <c r="S578" s="16" t="s">
        <v>1893</v>
      </c>
      <c r="T578" s="12"/>
      <c r="U578" s="12"/>
      <c r="V578" s="12"/>
      <c r="W578" s="12"/>
      <c r="X578" s="12"/>
      <c r="Y578" s="12"/>
      <c r="Z578" s="12"/>
      <c r="AA578" s="12"/>
    </row>
    <row r="579" spans="1:27" ht="111" customHeight="1" x14ac:dyDescent="0.2">
      <c r="A579" s="23" t="s">
        <v>1866</v>
      </c>
      <c r="B579" s="14" t="s">
        <v>1894</v>
      </c>
      <c r="C579" s="14" t="s">
        <v>59</v>
      </c>
      <c r="D579" s="14" t="s">
        <v>794</v>
      </c>
      <c r="E579" s="14" t="s">
        <v>60</v>
      </c>
      <c r="F579" s="14" t="s">
        <v>72</v>
      </c>
      <c r="G579" s="12"/>
      <c r="H579" s="17" t="s">
        <v>62</v>
      </c>
      <c r="I579" s="17" t="s">
        <v>74</v>
      </c>
      <c r="J579" s="14" t="s">
        <v>1895</v>
      </c>
      <c r="K579" s="24">
        <v>26</v>
      </c>
      <c r="L579" s="24">
        <v>1760</v>
      </c>
      <c r="M579" s="14" t="s">
        <v>647</v>
      </c>
      <c r="N579" s="24">
        <v>3.6</v>
      </c>
      <c r="O579" s="30" t="str">
        <f>HYPERLINK("http://financialaid.umwestern.edu/images/pdf/New-Student-Scholarships.pdf","http://financialaid.umwestern.edu/images/pdf/New-Student-Scholarships.pdf")</f>
        <v>http://financialaid.umwestern.edu/images/pdf/New-Student-Scholarships.pdf</v>
      </c>
      <c r="P579" s="14" t="s">
        <v>1896</v>
      </c>
      <c r="Q579" s="25">
        <v>0.74</v>
      </c>
      <c r="R579" s="14" t="s">
        <v>155</v>
      </c>
      <c r="S579" s="14" t="s">
        <v>1897</v>
      </c>
      <c r="T579" s="12"/>
      <c r="U579" s="12">
        <v>3.07</v>
      </c>
      <c r="V579" s="12"/>
      <c r="W579" s="12"/>
      <c r="X579" s="12"/>
      <c r="Y579" s="12"/>
      <c r="Z579" s="12"/>
      <c r="AA579" s="12"/>
    </row>
    <row r="580" spans="1:27" ht="224" x14ac:dyDescent="0.2">
      <c r="A580" s="23" t="s">
        <v>1898</v>
      </c>
      <c r="B580" s="14" t="s">
        <v>1899</v>
      </c>
      <c r="C580" s="14" t="s">
        <v>59</v>
      </c>
      <c r="D580" s="14"/>
      <c r="E580" s="14" t="s">
        <v>111</v>
      </c>
      <c r="F580" s="14" t="s">
        <v>72</v>
      </c>
      <c r="G580" s="12"/>
      <c r="H580" s="17" t="s">
        <v>239</v>
      </c>
      <c r="I580" s="17" t="s">
        <v>74</v>
      </c>
      <c r="J580" s="14" t="s">
        <v>1900</v>
      </c>
      <c r="K580" s="24"/>
      <c r="L580" s="24"/>
      <c r="M580" s="14"/>
      <c r="N580" s="24"/>
      <c r="O580" s="30" t="str">
        <f t="shared" ref="O580:O582" si="88">HYPERLINK("https://scholarships.appstate.edu/scholarships/freshmen","https://scholarships.appstate.edu/scholarships/freshmen")</f>
        <v>https://scholarships.appstate.edu/scholarships/freshmen</v>
      </c>
      <c r="P580" s="14" t="s">
        <v>1901</v>
      </c>
      <c r="Q580" s="25">
        <v>0.66</v>
      </c>
      <c r="R580" s="14" t="s">
        <v>266</v>
      </c>
      <c r="S580" s="14" t="s">
        <v>1902</v>
      </c>
      <c r="T580" s="12"/>
      <c r="U580" s="12">
        <v>4.1399999999999997</v>
      </c>
      <c r="V580" s="12"/>
      <c r="W580" s="12"/>
      <c r="X580" s="12"/>
      <c r="Y580" s="12"/>
      <c r="Z580" s="12"/>
      <c r="AA580" s="12"/>
    </row>
    <row r="581" spans="1:27" ht="256" x14ac:dyDescent="0.2">
      <c r="A581" s="23" t="s">
        <v>1898</v>
      </c>
      <c r="B581" s="14" t="s">
        <v>1899</v>
      </c>
      <c r="C581" s="14" t="s">
        <v>59</v>
      </c>
      <c r="D581" s="14"/>
      <c r="E581" s="14" t="s">
        <v>82</v>
      </c>
      <c r="F581" s="14" t="s">
        <v>72</v>
      </c>
      <c r="G581" s="12"/>
      <c r="H581" s="17" t="s">
        <v>553</v>
      </c>
      <c r="I581" s="17" t="s">
        <v>74</v>
      </c>
      <c r="J581" s="14" t="s">
        <v>1903</v>
      </c>
      <c r="K581" s="24"/>
      <c r="L581" s="24"/>
      <c r="M581" s="14"/>
      <c r="N581" s="24"/>
      <c r="O581" s="30" t="str">
        <f t="shared" si="88"/>
        <v>https://scholarships.appstate.edu/scholarships/freshmen</v>
      </c>
      <c r="P581" s="14" t="s">
        <v>1901</v>
      </c>
      <c r="Q581" s="25">
        <v>0.66</v>
      </c>
      <c r="R581" s="14" t="s">
        <v>266</v>
      </c>
      <c r="S581" s="14" t="s">
        <v>1902</v>
      </c>
      <c r="T581" s="12"/>
      <c r="U581" s="12">
        <v>4.1399999999999997</v>
      </c>
      <c r="V581" s="12"/>
      <c r="W581" s="12"/>
      <c r="X581" s="12"/>
      <c r="Y581" s="12"/>
      <c r="Z581" s="12"/>
      <c r="AA581" s="12"/>
    </row>
    <row r="582" spans="1:27" ht="135" x14ac:dyDescent="0.2">
      <c r="A582" s="23" t="s">
        <v>1898</v>
      </c>
      <c r="B582" s="14" t="s">
        <v>1899</v>
      </c>
      <c r="C582" s="14" t="s">
        <v>59</v>
      </c>
      <c r="D582" s="14"/>
      <c r="E582" s="16" t="s">
        <v>1904</v>
      </c>
      <c r="F582" s="14" t="s">
        <v>72</v>
      </c>
      <c r="G582" s="12"/>
      <c r="H582" s="17" t="s">
        <v>1905</v>
      </c>
      <c r="I582" s="17" t="s">
        <v>74</v>
      </c>
      <c r="J582" s="200" t="s">
        <v>1906</v>
      </c>
      <c r="K582" s="24"/>
      <c r="L582" s="24"/>
      <c r="M582" s="14"/>
      <c r="N582" s="24"/>
      <c r="O582" s="30" t="str">
        <f t="shared" si="88"/>
        <v>https://scholarships.appstate.edu/scholarships/freshmen</v>
      </c>
      <c r="P582" s="14" t="s">
        <v>1901</v>
      </c>
      <c r="Q582" s="25">
        <v>0.66</v>
      </c>
      <c r="R582" s="14" t="s">
        <v>266</v>
      </c>
      <c r="S582" s="14" t="s">
        <v>1902</v>
      </c>
      <c r="T582" s="12"/>
      <c r="U582" s="12">
        <v>4.1399999999999997</v>
      </c>
      <c r="V582" s="12"/>
      <c r="W582" s="12"/>
      <c r="X582" s="12"/>
      <c r="Y582" s="12"/>
      <c r="Z582" s="12"/>
      <c r="AA582" s="12"/>
    </row>
    <row r="583" spans="1:27" ht="126.75" customHeight="1" x14ac:dyDescent="0.2">
      <c r="A583" s="23" t="s">
        <v>1898</v>
      </c>
      <c r="B583" s="14" t="s">
        <v>1907</v>
      </c>
      <c r="C583" s="14" t="s">
        <v>101</v>
      </c>
      <c r="D583" s="14"/>
      <c r="E583" s="14" t="s">
        <v>243</v>
      </c>
      <c r="F583" s="14" t="s">
        <v>72</v>
      </c>
      <c r="G583" s="12"/>
      <c r="H583" s="17" t="s">
        <v>1908</v>
      </c>
      <c r="I583" s="17" t="s">
        <v>74</v>
      </c>
      <c r="J583" s="14" t="s">
        <v>1909</v>
      </c>
      <c r="K583" s="24">
        <v>25</v>
      </c>
      <c r="L583" s="18">
        <v>1220</v>
      </c>
      <c r="M583" s="16" t="s">
        <v>76</v>
      </c>
      <c r="N583" s="18">
        <v>3.75</v>
      </c>
      <c r="O583" s="30" t="str">
        <f t="shared" ref="O583:O584" si="89">HYPERLINK("http://catawba.edu/about/our-campus/offices/finaid/scholarships/","http://catawba.edu/about/our-campus/offices/finaid/scholarships/")</f>
        <v>http://catawba.edu/about/our-campus/offices/finaid/scholarships/</v>
      </c>
      <c r="P583" s="14">
        <v>29333</v>
      </c>
      <c r="Q583" s="25">
        <v>0.32</v>
      </c>
      <c r="R583" s="14" t="s">
        <v>259</v>
      </c>
      <c r="S583" s="14" t="s">
        <v>1910</v>
      </c>
      <c r="T583" s="12"/>
      <c r="U583" s="12">
        <v>3.66</v>
      </c>
      <c r="V583" s="12"/>
      <c r="W583" s="12"/>
      <c r="X583" s="12"/>
      <c r="Y583" s="12"/>
      <c r="Z583" s="12"/>
      <c r="AA583" s="12"/>
    </row>
    <row r="584" spans="1:27" ht="189.75" customHeight="1" x14ac:dyDescent="0.2">
      <c r="A584" s="23" t="s">
        <v>1898</v>
      </c>
      <c r="B584" s="14" t="s">
        <v>1907</v>
      </c>
      <c r="C584" s="14" t="s">
        <v>101</v>
      </c>
      <c r="D584" s="14"/>
      <c r="E584" s="14" t="s">
        <v>60</v>
      </c>
      <c r="F584" s="14" t="s">
        <v>72</v>
      </c>
      <c r="G584" s="12"/>
      <c r="H584" s="17" t="s">
        <v>1911</v>
      </c>
      <c r="I584" s="17" t="s">
        <v>74</v>
      </c>
      <c r="J584" s="14" t="s">
        <v>1912</v>
      </c>
      <c r="K584" s="24"/>
      <c r="L584" s="24"/>
      <c r="M584" s="14"/>
      <c r="N584" s="24"/>
      <c r="O584" s="30" t="str">
        <f t="shared" si="89"/>
        <v>http://catawba.edu/about/our-campus/offices/finaid/scholarships/</v>
      </c>
      <c r="P584" s="14">
        <v>29333</v>
      </c>
      <c r="Q584" s="25">
        <v>0.32</v>
      </c>
      <c r="R584" s="14" t="s">
        <v>259</v>
      </c>
      <c r="S584" s="14" t="s">
        <v>1910</v>
      </c>
      <c r="T584" s="12"/>
      <c r="U584" s="12">
        <v>3.66</v>
      </c>
      <c r="V584" s="12"/>
      <c r="W584" s="12"/>
      <c r="X584" s="12"/>
      <c r="Y584" s="12"/>
      <c r="Z584" s="12"/>
      <c r="AA584" s="12"/>
    </row>
    <row r="585" spans="1:27" ht="196" x14ac:dyDescent="0.2">
      <c r="A585" s="23" t="s">
        <v>1898</v>
      </c>
      <c r="B585" s="14" t="s">
        <v>1907</v>
      </c>
      <c r="C585" s="14" t="s">
        <v>101</v>
      </c>
      <c r="D585" s="14"/>
      <c r="E585" s="14" t="s">
        <v>60</v>
      </c>
      <c r="F585" s="14" t="s">
        <v>461</v>
      </c>
      <c r="G585" s="12"/>
      <c r="H585" s="17" t="s">
        <v>1913</v>
      </c>
      <c r="I585" s="17" t="s">
        <v>74</v>
      </c>
      <c r="J585" s="81" t="s">
        <v>1914</v>
      </c>
      <c r="K585" s="24"/>
      <c r="L585" s="24"/>
      <c r="M585" s="14"/>
      <c r="N585" s="24">
        <v>3.5</v>
      </c>
      <c r="O585" s="30" t="str">
        <f>HYPERLINK("http://catawba.edu/admissions/events/auditions/","http://catawba.edu/admissions/events/auditions/")</f>
        <v>http://catawba.edu/admissions/events/auditions/</v>
      </c>
      <c r="P585" s="14">
        <v>29333</v>
      </c>
      <c r="Q585" s="25">
        <v>0.32</v>
      </c>
      <c r="R585" s="14" t="s">
        <v>259</v>
      </c>
      <c r="S585" s="14" t="s">
        <v>1910</v>
      </c>
      <c r="T585" s="12"/>
      <c r="U585" s="12">
        <v>3.66</v>
      </c>
      <c r="V585" s="12"/>
      <c r="W585" s="12"/>
      <c r="X585" s="12"/>
      <c r="Y585" s="12"/>
      <c r="Z585" s="12"/>
      <c r="AA585" s="12"/>
    </row>
    <row r="586" spans="1:27" ht="240" x14ac:dyDescent="0.2">
      <c r="A586" s="23" t="s">
        <v>1898</v>
      </c>
      <c r="B586" s="14" t="s">
        <v>1915</v>
      </c>
      <c r="C586" s="14" t="s">
        <v>101</v>
      </c>
      <c r="D586" s="17" t="s">
        <v>1916</v>
      </c>
      <c r="E586" s="14" t="s">
        <v>82</v>
      </c>
      <c r="F586" s="14" t="s">
        <v>72</v>
      </c>
      <c r="G586" s="12"/>
      <c r="H586" s="17" t="s">
        <v>1917</v>
      </c>
      <c r="I586" s="17" t="s">
        <v>1228</v>
      </c>
      <c r="J586" s="14" t="s">
        <v>1918</v>
      </c>
      <c r="K586" s="12"/>
      <c r="L586" s="12"/>
      <c r="M586" s="12"/>
      <c r="N586" s="12"/>
      <c r="O586" s="30" t="str">
        <f>HYPERLINK("http://www.davidson.edu/admission-and-financial-aid/financial-aid/scholarships","http://www.davidson.edu/admission-and-financial-aid/financial-aid/scholarships")</f>
        <v>http://www.davidson.edu/admission-and-financial-aid/financial-aid/scholarships</v>
      </c>
      <c r="P586" s="33">
        <v>47897</v>
      </c>
      <c r="Q586" s="201">
        <v>0.22</v>
      </c>
      <c r="R586" s="52" t="s">
        <v>1357</v>
      </c>
      <c r="S586" s="34" t="s">
        <v>1919</v>
      </c>
      <c r="T586" s="12"/>
      <c r="U586" s="12">
        <v>4</v>
      </c>
      <c r="V586" s="12"/>
      <c r="W586" s="12"/>
      <c r="X586" s="12"/>
      <c r="Y586" s="12"/>
      <c r="Z586" s="12"/>
      <c r="AA586" s="12"/>
    </row>
    <row r="587" spans="1:27" ht="189.75" customHeight="1" x14ac:dyDescent="0.2">
      <c r="A587" s="23" t="s">
        <v>1898</v>
      </c>
      <c r="B587" s="14" t="s">
        <v>1915</v>
      </c>
      <c r="C587" s="14" t="s">
        <v>101</v>
      </c>
      <c r="D587" s="12"/>
      <c r="E587" s="14" t="s">
        <v>82</v>
      </c>
      <c r="F587" s="14" t="s">
        <v>72</v>
      </c>
      <c r="G587" s="12"/>
      <c r="H587" s="17" t="s">
        <v>1920</v>
      </c>
      <c r="I587" s="17" t="s">
        <v>1921</v>
      </c>
      <c r="J587" s="14" t="s">
        <v>1922</v>
      </c>
      <c r="K587" s="12"/>
      <c r="L587" s="12"/>
      <c r="M587" s="12"/>
      <c r="N587" s="12"/>
      <c r="O587" s="30" t="str">
        <f>HYPERLINK("http://www.davidson.edu/admission-and-financial-aid/financial-aid/scholarships/nomination-scholarships","http://www.davidson.edu/admission-and-financial-aid/financial-aid/scholarships/nomination-scholarships")</f>
        <v>http://www.davidson.edu/admission-and-financial-aid/financial-aid/scholarships/nomination-scholarships</v>
      </c>
      <c r="P587" s="33">
        <v>47897</v>
      </c>
      <c r="Q587" s="201">
        <v>0.22</v>
      </c>
      <c r="R587" s="52" t="s">
        <v>1357</v>
      </c>
      <c r="S587" s="34" t="s">
        <v>1919</v>
      </c>
      <c r="T587" s="12"/>
      <c r="U587" s="12">
        <v>4</v>
      </c>
      <c r="V587" s="12"/>
      <c r="W587" s="12"/>
      <c r="X587" s="12"/>
      <c r="Y587" s="12"/>
      <c r="Z587" s="12"/>
      <c r="AA587" s="12"/>
    </row>
    <row r="588" spans="1:27" ht="189.75" customHeight="1" x14ac:dyDescent="0.2">
      <c r="A588" s="23" t="s">
        <v>1898</v>
      </c>
      <c r="B588" s="14" t="s">
        <v>1915</v>
      </c>
      <c r="C588" s="14" t="s">
        <v>101</v>
      </c>
      <c r="D588" s="12"/>
      <c r="E588" s="14" t="s">
        <v>88</v>
      </c>
      <c r="F588" s="14" t="s">
        <v>72</v>
      </c>
      <c r="G588" s="12"/>
      <c r="H588" s="17" t="s">
        <v>1923</v>
      </c>
      <c r="I588" s="17">
        <v>2</v>
      </c>
      <c r="J588" s="14" t="s">
        <v>1924</v>
      </c>
      <c r="K588" s="12"/>
      <c r="L588" s="12"/>
      <c r="M588" s="12"/>
      <c r="N588" s="12"/>
      <c r="O588" s="30" t="str">
        <f>HYPERLINK("http://www.davidson.edu/admission-and-financial-aid/financial-aid/scholarships/competition-scholarships","http://www.davidson.edu/admission-and-financial-aid/financial-aid/scholarships/competition-scholarships")</f>
        <v>http://www.davidson.edu/admission-and-financial-aid/financial-aid/scholarships/competition-scholarships</v>
      </c>
      <c r="P588" s="33">
        <v>47897</v>
      </c>
      <c r="Q588" s="201">
        <v>0.22</v>
      </c>
      <c r="R588" s="52" t="s">
        <v>1357</v>
      </c>
      <c r="S588" s="34" t="s">
        <v>1919</v>
      </c>
      <c r="T588" s="12"/>
      <c r="U588" s="12">
        <v>4</v>
      </c>
      <c r="V588" s="14"/>
      <c r="W588" s="14"/>
      <c r="X588" s="14"/>
      <c r="Y588" s="14"/>
      <c r="Z588" s="14"/>
      <c r="AA588" s="14"/>
    </row>
    <row r="589" spans="1:27" ht="111" customHeight="1" x14ac:dyDescent="0.2">
      <c r="A589" s="23" t="s">
        <v>1898</v>
      </c>
      <c r="B589" s="14" t="s">
        <v>1925</v>
      </c>
      <c r="C589" s="61" t="s">
        <v>101</v>
      </c>
      <c r="D589" s="14"/>
      <c r="E589" s="14" t="s">
        <v>583</v>
      </c>
      <c r="F589" s="14" t="s">
        <v>72</v>
      </c>
      <c r="G589" s="14"/>
      <c r="H589" s="16" t="s">
        <v>1923</v>
      </c>
      <c r="I589" s="16" t="s">
        <v>74</v>
      </c>
      <c r="J589" s="14" t="s">
        <v>1926</v>
      </c>
      <c r="K589" s="14"/>
      <c r="L589" s="14"/>
      <c r="M589" s="14"/>
      <c r="N589" s="14"/>
      <c r="O589" s="49" t="str">
        <f>HYPERLINK("http://robertsonscholars.org/","http://robertsonscholars.org/")</f>
        <v>http://robertsonscholars.org/</v>
      </c>
      <c r="P589" s="183">
        <v>51265</v>
      </c>
      <c r="Q589" s="182">
        <v>0.13</v>
      </c>
      <c r="R589" s="61" t="s">
        <v>148</v>
      </c>
      <c r="S589" s="61" t="s">
        <v>1184</v>
      </c>
      <c r="T589" s="14"/>
      <c r="U589" s="14" t="s">
        <v>81</v>
      </c>
      <c r="V589" s="12"/>
      <c r="W589" s="12"/>
      <c r="X589" s="12"/>
      <c r="Y589" s="12"/>
      <c r="Z589" s="12"/>
      <c r="AA589" s="12"/>
    </row>
    <row r="590" spans="1:27" ht="142.5" customHeight="1" x14ac:dyDescent="0.2">
      <c r="A590" s="23" t="s">
        <v>1898</v>
      </c>
      <c r="B590" s="14" t="s">
        <v>1927</v>
      </c>
      <c r="C590" s="14" t="s">
        <v>59</v>
      </c>
      <c r="D590" s="12"/>
      <c r="E590" s="14" t="s">
        <v>1928</v>
      </c>
      <c r="F590" s="14" t="s">
        <v>72</v>
      </c>
      <c r="G590" s="12"/>
      <c r="H590" s="17" t="s">
        <v>239</v>
      </c>
      <c r="I590" s="17" t="s">
        <v>74</v>
      </c>
      <c r="J590" s="14" t="s">
        <v>1929</v>
      </c>
      <c r="K590" s="12"/>
      <c r="L590" s="12"/>
      <c r="M590" s="12"/>
      <c r="N590" s="12"/>
      <c r="O590" s="30" t="str">
        <f>HYPERLINK("http://www.ecu.edu/cs-acad/universityscholarships/upload/2014-mailer-to-high-ability-students-1.pdf","http://www.ecu.edu/cs-acad/universityscholarships/upload/2014-mailer-to-high-ability-students-1.pdf")</f>
        <v>http://www.ecu.edu/cs-acad/universityscholarships/upload/2014-mailer-to-high-ability-students-1.pdf</v>
      </c>
      <c r="P590" s="14" t="s">
        <v>1930</v>
      </c>
      <c r="Q590" s="25">
        <v>0.69</v>
      </c>
      <c r="R590" s="14" t="s">
        <v>120</v>
      </c>
      <c r="S590" s="14" t="s">
        <v>1931</v>
      </c>
      <c r="T590" s="12"/>
      <c r="U590" s="12">
        <v>3.76</v>
      </c>
      <c r="V590" s="12"/>
      <c r="W590" s="12"/>
      <c r="X590" s="12"/>
      <c r="Y590" s="12"/>
      <c r="Z590" s="12"/>
      <c r="AA590" s="12"/>
    </row>
    <row r="591" spans="1:27" ht="252.75" customHeight="1" x14ac:dyDescent="0.2">
      <c r="A591" s="23" t="s">
        <v>1898</v>
      </c>
      <c r="B591" s="14" t="s">
        <v>1932</v>
      </c>
      <c r="C591" s="14" t="s">
        <v>59</v>
      </c>
      <c r="D591" s="17" t="s">
        <v>194</v>
      </c>
      <c r="E591" s="14" t="s">
        <v>238</v>
      </c>
      <c r="F591" s="16" t="s">
        <v>72</v>
      </c>
      <c r="G591" s="12"/>
      <c r="H591" s="17" t="s">
        <v>239</v>
      </c>
      <c r="I591" s="17" t="s">
        <v>74</v>
      </c>
      <c r="J591" s="16" t="s">
        <v>1933</v>
      </c>
      <c r="K591" s="24"/>
      <c r="L591" s="24"/>
      <c r="M591" s="12"/>
      <c r="N591" s="24"/>
      <c r="O591" s="30" t="str">
        <f>HYPERLINK("http://www.ecsu.edu/administration/chancellor/enrollment-management-retention/financial-aid/unc-campus-base-scholarship.html","http://www.ecsu.edu/administration/chancellor/enrollment-management-retention/financial-aid/unc-campus-base-scholarship.html")</f>
        <v>http://www.ecsu.edu/administration/chancellor/enrollment-management-retention/financial-aid/unc-campus-base-scholarship.html</v>
      </c>
      <c r="P591" s="14" t="s">
        <v>1934</v>
      </c>
      <c r="Q591" s="25">
        <v>0.7</v>
      </c>
      <c r="R591" s="14" t="s">
        <v>1935</v>
      </c>
      <c r="S591" s="14" t="s">
        <v>1936</v>
      </c>
      <c r="T591" s="12"/>
      <c r="U591" s="12">
        <v>3.07</v>
      </c>
      <c r="V591" s="12"/>
      <c r="W591" s="12"/>
      <c r="X591" s="12"/>
      <c r="Y591" s="12"/>
      <c r="Z591" s="12"/>
      <c r="AA591" s="12"/>
    </row>
    <row r="592" spans="1:27" ht="205.5" customHeight="1" x14ac:dyDescent="0.2">
      <c r="A592" s="23" t="s">
        <v>1898</v>
      </c>
      <c r="B592" s="14" t="s">
        <v>1937</v>
      </c>
      <c r="C592" s="14" t="s">
        <v>101</v>
      </c>
      <c r="D592" s="12"/>
      <c r="E592" s="14" t="s">
        <v>88</v>
      </c>
      <c r="F592" s="16" t="s">
        <v>145</v>
      </c>
      <c r="G592" s="12"/>
      <c r="H592" s="17" t="s">
        <v>157</v>
      </c>
      <c r="I592" s="17" t="s">
        <v>74</v>
      </c>
      <c r="J592" s="14" t="s">
        <v>1938</v>
      </c>
      <c r="K592" s="12"/>
      <c r="L592" s="12"/>
      <c r="M592" s="12"/>
      <c r="N592" s="12"/>
      <c r="O592" s="30" t="str">
        <f>HYPERLINK("https://www.elon.edu/e/admissions/undergraduate/financial-aid/scholarships-and-grants.html","https://www.elon.edu/e/admissions/undergraduate/financial-aid/scholarships-and-grants.html")</f>
        <v>https://www.elon.edu/e/admissions/undergraduate/financial-aid/scholarships-and-grants.html</v>
      </c>
      <c r="P592" s="33">
        <v>33104</v>
      </c>
      <c r="Q592" s="25">
        <v>0.56999999999999995</v>
      </c>
      <c r="R592" s="14" t="s">
        <v>638</v>
      </c>
      <c r="S592" s="14" t="s">
        <v>1939</v>
      </c>
      <c r="T592" s="12"/>
      <c r="U592" s="12">
        <v>3.97</v>
      </c>
      <c r="V592" s="12"/>
      <c r="W592" s="12"/>
      <c r="X592" s="12"/>
      <c r="Y592" s="12"/>
      <c r="Z592" s="12"/>
      <c r="AA592" s="12"/>
    </row>
    <row r="593" spans="1:27" ht="111" customHeight="1" x14ac:dyDescent="0.2">
      <c r="A593" s="23" t="s">
        <v>1898</v>
      </c>
      <c r="B593" s="14" t="s">
        <v>1940</v>
      </c>
      <c r="C593" s="14" t="s">
        <v>101</v>
      </c>
      <c r="D593" s="12"/>
      <c r="E593" s="14" t="s">
        <v>60</v>
      </c>
      <c r="F593" s="14" t="s">
        <v>72</v>
      </c>
      <c r="G593" s="12"/>
      <c r="H593" s="17" t="s">
        <v>1471</v>
      </c>
      <c r="I593" s="17" t="s">
        <v>74</v>
      </c>
      <c r="J593" s="16" t="s">
        <v>1941</v>
      </c>
      <c r="K593" s="17">
        <v>25</v>
      </c>
      <c r="L593" s="17">
        <v>1200</v>
      </c>
      <c r="M593" s="17" t="s">
        <v>76</v>
      </c>
      <c r="N593" s="17">
        <v>3.75</v>
      </c>
      <c r="O593" s="30" t="str">
        <f t="shared" ref="O593:O594" si="90">HYPERLINK("http://www.gardner-webb.edu/admissions-and-financial-aid/undergraduate-admissions/costs-and-financial-aid/scholarships-and-grants/index","http://www.gardner-webb.edu/admissions-and-financial-aid/undergraduate-admissions/costs-and-financial-aid/scholarships-and-grants/index")</f>
        <v>http://www.gardner-webb.edu/admissions-and-financial-aid/undergraduate-admissions/costs-and-financial-aid/scholarships-and-grants/index</v>
      </c>
      <c r="P593" s="33">
        <v>29420</v>
      </c>
      <c r="Q593" s="25">
        <v>0.53</v>
      </c>
      <c r="R593" s="14" t="s">
        <v>259</v>
      </c>
      <c r="S593" s="14" t="s">
        <v>1942</v>
      </c>
      <c r="T593" s="12"/>
      <c r="U593" s="12">
        <v>3.78</v>
      </c>
      <c r="V593" s="12"/>
      <c r="W593" s="12"/>
      <c r="X593" s="12"/>
      <c r="Y593" s="12"/>
      <c r="Z593" s="12"/>
      <c r="AA593" s="12"/>
    </row>
    <row r="594" spans="1:27" ht="111" customHeight="1" x14ac:dyDescent="0.2">
      <c r="A594" s="23" t="s">
        <v>1898</v>
      </c>
      <c r="B594" s="14" t="s">
        <v>1940</v>
      </c>
      <c r="C594" s="14" t="s">
        <v>101</v>
      </c>
      <c r="D594" s="12"/>
      <c r="E594" s="16" t="s">
        <v>111</v>
      </c>
      <c r="F594" s="14" t="s">
        <v>72</v>
      </c>
      <c r="G594" s="12"/>
      <c r="H594" s="17" t="s">
        <v>1471</v>
      </c>
      <c r="I594" s="17" t="s">
        <v>74</v>
      </c>
      <c r="J594" s="16" t="s">
        <v>1943</v>
      </c>
      <c r="K594" s="17">
        <v>25</v>
      </c>
      <c r="L594" s="17">
        <v>1200</v>
      </c>
      <c r="M594" s="17" t="s">
        <v>76</v>
      </c>
      <c r="N594" s="17">
        <v>3.75</v>
      </c>
      <c r="O594" s="30" t="str">
        <f t="shared" si="90"/>
        <v>http://www.gardner-webb.edu/admissions-and-financial-aid/undergraduate-admissions/costs-and-financial-aid/scholarships-and-grants/index</v>
      </c>
      <c r="P594" s="33">
        <v>29420</v>
      </c>
      <c r="Q594" s="25">
        <v>0.53</v>
      </c>
      <c r="R594" s="14" t="s">
        <v>259</v>
      </c>
      <c r="S594" s="14" t="s">
        <v>1942</v>
      </c>
      <c r="T594" s="12"/>
      <c r="U594" s="12">
        <v>3.78</v>
      </c>
      <c r="V594" s="12"/>
      <c r="W594" s="12"/>
      <c r="X594" s="12"/>
      <c r="Y594" s="12"/>
      <c r="Z594" s="12"/>
      <c r="AA594" s="12"/>
    </row>
    <row r="595" spans="1:27" ht="284.25" customHeight="1" x14ac:dyDescent="0.2">
      <c r="A595" s="23" t="s">
        <v>1898</v>
      </c>
      <c r="B595" s="14" t="s">
        <v>1944</v>
      </c>
      <c r="C595" s="14" t="s">
        <v>101</v>
      </c>
      <c r="D595" s="12"/>
      <c r="E595" s="14" t="s">
        <v>60</v>
      </c>
      <c r="F595" s="14" t="s">
        <v>72</v>
      </c>
      <c r="G595" s="12"/>
      <c r="H595" s="17" t="s">
        <v>1123</v>
      </c>
      <c r="I595" s="17">
        <v>2</v>
      </c>
      <c r="J595" s="14" t="s">
        <v>1945</v>
      </c>
      <c r="K595" s="12"/>
      <c r="L595" s="12"/>
      <c r="M595" s="12"/>
      <c r="N595" s="12"/>
      <c r="O595" s="30" t="str">
        <f t="shared" ref="O595:O596" si="91">HYPERLINK("http://www.lmc.edu/admissions/financial-aid/types-of-aid.htm","http://www.lmc.edu/admissions/financial-aid/types-of-aid.htm")</f>
        <v>http://www.lmc.edu/admissions/financial-aid/types-of-aid.htm</v>
      </c>
      <c r="P595" s="33">
        <v>24878</v>
      </c>
      <c r="Q595" s="58">
        <v>0.62</v>
      </c>
      <c r="R595" s="14" t="s">
        <v>550</v>
      </c>
      <c r="S595" s="14" t="s">
        <v>1946</v>
      </c>
      <c r="T595" s="12"/>
      <c r="U595" s="12">
        <v>3.29</v>
      </c>
      <c r="V595" s="12"/>
      <c r="W595" s="12"/>
      <c r="X595" s="12"/>
      <c r="Y595" s="12"/>
      <c r="Z595" s="12"/>
      <c r="AA595" s="12"/>
    </row>
    <row r="596" spans="1:27" ht="174" customHeight="1" x14ac:dyDescent="0.2">
      <c r="A596" s="23" t="s">
        <v>1898</v>
      </c>
      <c r="B596" s="14" t="s">
        <v>1944</v>
      </c>
      <c r="C596" s="14" t="s">
        <v>101</v>
      </c>
      <c r="D596" s="12"/>
      <c r="E596" s="14" t="s">
        <v>111</v>
      </c>
      <c r="F596" s="14" t="s">
        <v>72</v>
      </c>
      <c r="G596" s="12"/>
      <c r="H596" s="17" t="s">
        <v>239</v>
      </c>
      <c r="I596" s="202" t="s">
        <v>1947</v>
      </c>
      <c r="J596" s="14" t="s">
        <v>1948</v>
      </c>
      <c r="K596" s="12"/>
      <c r="L596" s="24">
        <v>1150</v>
      </c>
      <c r="M596" s="17" t="s">
        <v>76</v>
      </c>
      <c r="N596" s="24">
        <v>3.75</v>
      </c>
      <c r="O596" s="30" t="str">
        <f t="shared" si="91"/>
        <v>http://www.lmc.edu/admissions/financial-aid/types-of-aid.htm</v>
      </c>
      <c r="P596" s="33">
        <v>24878</v>
      </c>
      <c r="Q596" s="58">
        <v>0.62</v>
      </c>
      <c r="R596" s="14" t="s">
        <v>550</v>
      </c>
      <c r="S596" s="14" t="s">
        <v>1946</v>
      </c>
      <c r="T596" s="12"/>
      <c r="U596" s="12">
        <v>3.29</v>
      </c>
      <c r="V596" s="12"/>
      <c r="W596" s="12"/>
      <c r="X596" s="12"/>
      <c r="Y596" s="12"/>
      <c r="Z596" s="12"/>
      <c r="AA596" s="12"/>
    </row>
    <row r="597" spans="1:27" ht="237" customHeight="1" x14ac:dyDescent="0.2">
      <c r="A597" s="23" t="s">
        <v>1898</v>
      </c>
      <c r="B597" s="14" t="s">
        <v>1949</v>
      </c>
      <c r="C597" s="14" t="s">
        <v>101</v>
      </c>
      <c r="D597" s="12"/>
      <c r="E597" s="14" t="s">
        <v>111</v>
      </c>
      <c r="F597" s="14" t="s">
        <v>72</v>
      </c>
      <c r="G597" s="12"/>
      <c r="H597" s="17" t="s">
        <v>1950</v>
      </c>
      <c r="I597" s="17" t="s">
        <v>74</v>
      </c>
      <c r="J597" s="14" t="s">
        <v>1951</v>
      </c>
      <c r="K597" s="12"/>
      <c r="L597" s="24"/>
      <c r="M597" s="12"/>
      <c r="N597" s="24">
        <v>3.8</v>
      </c>
      <c r="O597" s="30" t="str">
        <f>HYPERLINK("http://www.meredith.edu/scholarship/detail/meredith-legacy","http://www.meredith.edu/scholarship/detail/meredith-legacy")</f>
        <v>http://www.meredith.edu/scholarship/detail/meredith-legacy</v>
      </c>
      <c r="P597" s="33">
        <v>34907</v>
      </c>
      <c r="Q597" s="58">
        <v>0.6</v>
      </c>
      <c r="R597" s="14" t="s">
        <v>124</v>
      </c>
      <c r="S597" s="14" t="s">
        <v>1952</v>
      </c>
      <c r="T597" s="12"/>
      <c r="U597" s="12">
        <v>3.35</v>
      </c>
      <c r="V597" s="12"/>
      <c r="W597" s="12"/>
      <c r="X597" s="12"/>
      <c r="Y597" s="12"/>
      <c r="Z597" s="12"/>
      <c r="AA597" s="12"/>
    </row>
    <row r="598" spans="1:27" ht="174" customHeight="1" x14ac:dyDescent="0.2">
      <c r="A598" s="23" t="s">
        <v>1898</v>
      </c>
      <c r="B598" s="14" t="s">
        <v>1949</v>
      </c>
      <c r="C598" s="14" t="s">
        <v>101</v>
      </c>
      <c r="D598" s="12"/>
      <c r="E598" s="14" t="s">
        <v>60</v>
      </c>
      <c r="F598" s="14" t="s">
        <v>72</v>
      </c>
      <c r="G598" s="12"/>
      <c r="H598" s="17" t="s">
        <v>1950</v>
      </c>
      <c r="I598" s="17" t="s">
        <v>74</v>
      </c>
      <c r="J598" s="14" t="s">
        <v>1953</v>
      </c>
      <c r="K598" s="12"/>
      <c r="L598" s="12"/>
      <c r="M598" s="12"/>
      <c r="N598" s="24">
        <v>3.8</v>
      </c>
      <c r="O598" s="30" t="str">
        <f>HYPERLINK("http://www.meredith.edu/scholarship/detail/presidential-scholarships1","http://www.meredith.edu/scholarship/detail/presidential-scholarships1")</f>
        <v>http://www.meredith.edu/scholarship/detail/presidential-scholarships1</v>
      </c>
      <c r="P598" s="33">
        <v>34907</v>
      </c>
      <c r="Q598" s="25">
        <v>0.6</v>
      </c>
      <c r="R598" s="14" t="s">
        <v>124</v>
      </c>
      <c r="S598" s="14" t="s">
        <v>1952</v>
      </c>
      <c r="T598" s="12"/>
      <c r="U598" s="12">
        <v>3.35</v>
      </c>
      <c r="V598" s="12"/>
      <c r="W598" s="12"/>
      <c r="X598" s="12"/>
      <c r="Y598" s="12"/>
      <c r="Z598" s="12"/>
      <c r="AA598" s="12"/>
    </row>
    <row r="599" spans="1:27" ht="205.5" customHeight="1" x14ac:dyDescent="0.2">
      <c r="A599" s="23" t="s">
        <v>1898</v>
      </c>
      <c r="B599" s="14" t="s">
        <v>1954</v>
      </c>
      <c r="C599" s="14" t="s">
        <v>101</v>
      </c>
      <c r="D599" s="12"/>
      <c r="E599" s="14" t="s">
        <v>60</v>
      </c>
      <c r="F599" s="14" t="s">
        <v>72</v>
      </c>
      <c r="G599" s="12"/>
      <c r="H599" s="17" t="s">
        <v>1115</v>
      </c>
      <c r="I599" s="17">
        <v>5</v>
      </c>
      <c r="J599" s="16" t="s">
        <v>1955</v>
      </c>
      <c r="K599" s="24">
        <v>24</v>
      </c>
      <c r="L599" s="18">
        <v>1160</v>
      </c>
      <c r="M599" s="17" t="s">
        <v>76</v>
      </c>
      <c r="N599" s="24">
        <v>3.7</v>
      </c>
      <c r="O599" s="30" t="str">
        <f>HYPERLINK("http://www.methodist.edu/academic-scholarships","http://www.methodist.edu/academic-scholarships")</f>
        <v>http://www.methodist.edu/academic-scholarships</v>
      </c>
      <c r="P599" s="33">
        <v>31980</v>
      </c>
      <c r="Q599" s="25">
        <v>0.63</v>
      </c>
      <c r="R599" s="14" t="s">
        <v>550</v>
      </c>
      <c r="S599" s="14" t="s">
        <v>1956</v>
      </c>
      <c r="T599" s="12"/>
      <c r="U599" s="12">
        <v>3.28</v>
      </c>
      <c r="V599" s="14"/>
      <c r="W599" s="14"/>
      <c r="X599" s="14"/>
      <c r="Y599" s="14"/>
      <c r="Z599" s="14"/>
      <c r="AA599" s="14"/>
    </row>
    <row r="600" spans="1:27" ht="111" customHeight="1" x14ac:dyDescent="0.2">
      <c r="A600" s="23" t="s">
        <v>1898</v>
      </c>
      <c r="B600" s="14" t="s">
        <v>1957</v>
      </c>
      <c r="C600" s="61" t="s">
        <v>59</v>
      </c>
      <c r="D600" s="14"/>
      <c r="E600" s="14" t="s">
        <v>724</v>
      </c>
      <c r="F600" s="14" t="s">
        <v>72</v>
      </c>
      <c r="G600" s="14"/>
      <c r="H600" s="16" t="s">
        <v>250</v>
      </c>
      <c r="I600" s="16" t="s">
        <v>74</v>
      </c>
      <c r="J600" s="16" t="s">
        <v>1958</v>
      </c>
      <c r="K600" s="24">
        <v>22</v>
      </c>
      <c r="L600" s="18">
        <v>1080</v>
      </c>
      <c r="M600" s="181" t="s">
        <v>76</v>
      </c>
      <c r="N600" s="61">
        <v>3</v>
      </c>
      <c r="O600" s="49" t="str">
        <f t="shared" ref="O600:O601" si="92">HYPERLINK("http://www.ncat.edu/admissions/financial-aid/aid/scholarships/fresh-students.html","http://www.ncat.edu/admissions/financial-aid/aid/scholarships/fresh-students.html")</f>
        <v>http://www.ncat.edu/admissions/financial-aid/aid/scholarships/fresh-students.html</v>
      </c>
      <c r="P600" s="61" t="s">
        <v>1959</v>
      </c>
      <c r="Q600" s="182">
        <v>0.57999999999999996</v>
      </c>
      <c r="R600" s="61" t="s">
        <v>320</v>
      </c>
      <c r="S600" s="61" t="s">
        <v>1960</v>
      </c>
      <c r="T600" s="14"/>
      <c r="U600" s="14">
        <v>2.48</v>
      </c>
      <c r="V600" s="14"/>
      <c r="W600" s="14"/>
      <c r="X600" s="14"/>
      <c r="Y600" s="14"/>
      <c r="Z600" s="14"/>
      <c r="AA600" s="14"/>
    </row>
    <row r="601" spans="1:27" ht="126.75" customHeight="1" x14ac:dyDescent="0.2">
      <c r="A601" s="23" t="s">
        <v>1898</v>
      </c>
      <c r="B601" s="14" t="s">
        <v>1957</v>
      </c>
      <c r="C601" s="61" t="s">
        <v>59</v>
      </c>
      <c r="D601" s="14"/>
      <c r="E601" s="14" t="s">
        <v>111</v>
      </c>
      <c r="F601" s="14" t="s">
        <v>72</v>
      </c>
      <c r="G601" s="14"/>
      <c r="H601" s="16" t="s">
        <v>850</v>
      </c>
      <c r="I601" s="16" t="s">
        <v>74</v>
      </c>
      <c r="J601" s="14" t="s">
        <v>1961</v>
      </c>
      <c r="K601" s="24">
        <v>26</v>
      </c>
      <c r="L601" s="18">
        <v>1270</v>
      </c>
      <c r="M601" s="181" t="s">
        <v>76</v>
      </c>
      <c r="N601" s="61">
        <v>3.75</v>
      </c>
      <c r="O601" s="49" t="str">
        <f t="shared" si="92"/>
        <v>http://www.ncat.edu/admissions/financial-aid/aid/scholarships/fresh-students.html</v>
      </c>
      <c r="P601" s="61" t="s">
        <v>1959</v>
      </c>
      <c r="Q601" s="182">
        <v>0.57999999999999996</v>
      </c>
      <c r="R601" s="61" t="s">
        <v>320</v>
      </c>
      <c r="S601" s="61" t="s">
        <v>1960</v>
      </c>
      <c r="T601" s="14"/>
      <c r="U601" s="14">
        <v>2.48</v>
      </c>
      <c r="V601" s="12"/>
      <c r="W601" s="12"/>
      <c r="X601" s="12"/>
      <c r="Y601" s="12"/>
      <c r="Z601" s="12"/>
      <c r="AA601" s="12"/>
    </row>
    <row r="602" spans="1:27" ht="225.75" customHeight="1" x14ac:dyDescent="0.2">
      <c r="A602" s="39" t="s">
        <v>1898</v>
      </c>
      <c r="B602" s="40" t="s">
        <v>1962</v>
      </c>
      <c r="C602" s="40" t="s">
        <v>59</v>
      </c>
      <c r="D602" s="40"/>
      <c r="E602" s="40" t="s">
        <v>82</v>
      </c>
      <c r="F602" s="40" t="s">
        <v>92</v>
      </c>
      <c r="G602" s="40"/>
      <c r="H602" s="69" t="s">
        <v>1578</v>
      </c>
      <c r="I602" s="69" t="s">
        <v>63</v>
      </c>
      <c r="J602" s="40" t="s">
        <v>1963</v>
      </c>
      <c r="K602" s="166"/>
      <c r="L602" s="166">
        <v>1650</v>
      </c>
      <c r="M602" s="40" t="s">
        <v>197</v>
      </c>
      <c r="N602" s="166">
        <v>3.5</v>
      </c>
      <c r="O602" s="163" t="str">
        <f t="shared" ref="O602:O603" si="93">HYPERLINK("http://ecatalog.nccu.edu/content.php?catoid=3&amp;navoid=871#University%20Scholarships/Grants","http://ecatalog.nccu.edu/content.php?catoid=3&amp;navoid=871#University%20Scholarships/Grants")</f>
        <v>http://ecatalog.nccu.edu/content.php?catoid=3&amp;navoid=871#University%20Scholarships/Grants</v>
      </c>
      <c r="P602" s="41" t="s">
        <v>1964</v>
      </c>
      <c r="Q602" s="42">
        <v>0.66</v>
      </c>
      <c r="R602" s="40" t="s">
        <v>79</v>
      </c>
      <c r="S602" s="40" t="s">
        <v>1965</v>
      </c>
      <c r="T602" s="40"/>
      <c r="U602" s="40">
        <v>3.2</v>
      </c>
      <c r="V602" s="40"/>
      <c r="W602" s="40"/>
      <c r="X602" s="40"/>
      <c r="Y602" s="40"/>
      <c r="Z602" s="40"/>
      <c r="AA602" s="40"/>
    </row>
    <row r="603" spans="1:27" ht="129" customHeight="1" x14ac:dyDescent="0.2">
      <c r="A603" s="12" t="s">
        <v>1898</v>
      </c>
      <c r="B603" s="12" t="s">
        <v>1962</v>
      </c>
      <c r="C603" s="12" t="s">
        <v>59</v>
      </c>
      <c r="D603" s="12"/>
      <c r="E603" s="12" t="s">
        <v>82</v>
      </c>
      <c r="F603" s="12" t="s">
        <v>61</v>
      </c>
      <c r="G603" s="12"/>
      <c r="H603" s="17" t="s">
        <v>62</v>
      </c>
      <c r="I603" s="17" t="s">
        <v>63</v>
      </c>
      <c r="J603" s="12" t="s">
        <v>1966</v>
      </c>
      <c r="K603" s="12">
        <v>29</v>
      </c>
      <c r="L603" s="12">
        <v>1900</v>
      </c>
      <c r="M603" s="12" t="s">
        <v>197</v>
      </c>
      <c r="N603" s="12">
        <v>3.5</v>
      </c>
      <c r="O603" s="163" t="str">
        <f t="shared" si="93"/>
        <v>http://ecatalog.nccu.edu/content.php?catoid=3&amp;navoid=871#University%20Scholarships/Grants</v>
      </c>
      <c r="P603" s="33" t="s">
        <v>1964</v>
      </c>
      <c r="Q603" s="25">
        <v>0.66</v>
      </c>
      <c r="R603" s="14" t="s">
        <v>79</v>
      </c>
      <c r="S603" s="14" t="s">
        <v>1965</v>
      </c>
      <c r="T603" s="12"/>
      <c r="U603" s="12">
        <v>3.2</v>
      </c>
      <c r="V603" s="12"/>
      <c r="W603" s="12"/>
      <c r="X603" s="12"/>
      <c r="Y603" s="12"/>
      <c r="Z603" s="12"/>
      <c r="AA603" s="12"/>
    </row>
    <row r="604" spans="1:27" ht="111" customHeight="1" x14ac:dyDescent="0.2">
      <c r="A604" s="12" t="s">
        <v>1898</v>
      </c>
      <c r="B604" s="12" t="s">
        <v>1967</v>
      </c>
      <c r="C604" s="12" t="s">
        <v>59</v>
      </c>
      <c r="D604" s="17" t="s">
        <v>1968</v>
      </c>
      <c r="E604" s="12" t="s">
        <v>724</v>
      </c>
      <c r="F604" s="12" t="s">
        <v>72</v>
      </c>
      <c r="G604" s="12"/>
      <c r="H604" s="17" t="s">
        <v>1969</v>
      </c>
      <c r="I604" s="17">
        <v>35</v>
      </c>
      <c r="J604" s="12" t="s">
        <v>1970</v>
      </c>
      <c r="K604" s="12"/>
      <c r="L604" s="12"/>
      <c r="M604" s="12"/>
      <c r="N604" s="12"/>
      <c r="O604" s="30" t="str">
        <f>HYPERLINK("https://park.ncsu.edu/about/","https://park.ncsu.edu/about/")</f>
        <v>https://park.ncsu.edu/about/</v>
      </c>
      <c r="P604" s="33" t="s">
        <v>1971</v>
      </c>
      <c r="Q604" s="25">
        <v>0.5</v>
      </c>
      <c r="R604" s="14" t="s">
        <v>616</v>
      </c>
      <c r="S604" s="14" t="s">
        <v>1972</v>
      </c>
      <c r="T604" s="12"/>
      <c r="U604" s="12">
        <v>3.67</v>
      </c>
      <c r="V604" s="12"/>
      <c r="W604" s="12"/>
      <c r="X604" s="12"/>
      <c r="Y604" s="12"/>
      <c r="Z604" s="12"/>
      <c r="AA604" s="12"/>
    </row>
    <row r="605" spans="1:27" ht="111" customHeight="1" x14ac:dyDescent="0.2">
      <c r="A605" s="12" t="s">
        <v>1898</v>
      </c>
      <c r="B605" s="12" t="s">
        <v>1973</v>
      </c>
      <c r="C605" s="12" t="s">
        <v>101</v>
      </c>
      <c r="D605" s="12"/>
      <c r="E605" s="12" t="s">
        <v>82</v>
      </c>
      <c r="F605" s="12" t="s">
        <v>72</v>
      </c>
      <c r="G605" s="12"/>
      <c r="H605" s="17" t="s">
        <v>62</v>
      </c>
      <c r="I605" s="17" t="s">
        <v>74</v>
      </c>
      <c r="J605" s="12" t="s">
        <v>1974</v>
      </c>
      <c r="K605" s="12">
        <v>26</v>
      </c>
      <c r="L605" s="17">
        <v>1240</v>
      </c>
      <c r="M605" s="17" t="s">
        <v>76</v>
      </c>
      <c r="N605" s="17">
        <v>4</v>
      </c>
      <c r="O605" s="19" t="s">
        <v>1975</v>
      </c>
      <c r="P605" s="33">
        <v>29300</v>
      </c>
      <c r="Q605" s="25">
        <v>0.55000000000000004</v>
      </c>
      <c r="R605" s="14" t="s">
        <v>148</v>
      </c>
      <c r="S605" s="14" t="s">
        <v>1976</v>
      </c>
      <c r="T605" s="12"/>
      <c r="U605" s="12">
        <v>3.12</v>
      </c>
      <c r="V605" s="12"/>
      <c r="W605" s="12"/>
      <c r="X605" s="12"/>
      <c r="Y605" s="12"/>
      <c r="Z605" s="12"/>
      <c r="AA605" s="12"/>
    </row>
    <row r="606" spans="1:27" ht="111" customHeight="1" x14ac:dyDescent="0.2">
      <c r="A606" s="12" t="s">
        <v>1898</v>
      </c>
      <c r="B606" s="12" t="s">
        <v>1973</v>
      </c>
      <c r="C606" s="12" t="s">
        <v>101</v>
      </c>
      <c r="D606" s="12"/>
      <c r="E606" s="12" t="s">
        <v>88</v>
      </c>
      <c r="F606" s="12" t="s">
        <v>72</v>
      </c>
      <c r="G606" s="12"/>
      <c r="H606" s="17" t="s">
        <v>62</v>
      </c>
      <c r="I606" s="17" t="s">
        <v>74</v>
      </c>
      <c r="J606" s="12" t="s">
        <v>1977</v>
      </c>
      <c r="K606" s="12">
        <v>25</v>
      </c>
      <c r="L606" s="17">
        <v>1200</v>
      </c>
      <c r="M606" s="17" t="s">
        <v>76</v>
      </c>
      <c r="N606" s="12">
        <v>3.75</v>
      </c>
      <c r="O606" s="19" t="s">
        <v>1975</v>
      </c>
      <c r="P606" s="33">
        <v>29300</v>
      </c>
      <c r="Q606" s="25">
        <v>0.55000000000000004</v>
      </c>
      <c r="R606" s="14" t="s">
        <v>148</v>
      </c>
      <c r="S606" s="14" t="s">
        <v>1976</v>
      </c>
      <c r="T606" s="12"/>
      <c r="U606" s="12">
        <v>3.12</v>
      </c>
      <c r="V606" s="12"/>
      <c r="W606" s="12"/>
      <c r="X606" s="12"/>
      <c r="Y606" s="12"/>
      <c r="Z606" s="12"/>
      <c r="AA606" s="12"/>
    </row>
    <row r="607" spans="1:27" ht="111" customHeight="1" x14ac:dyDescent="0.2">
      <c r="A607" s="12" t="s">
        <v>1898</v>
      </c>
      <c r="B607" s="12" t="s">
        <v>1973</v>
      </c>
      <c r="C607" s="12" t="s">
        <v>101</v>
      </c>
      <c r="D607" s="12"/>
      <c r="E607" s="12" t="s">
        <v>60</v>
      </c>
      <c r="F607" s="12" t="s">
        <v>313</v>
      </c>
      <c r="G607" s="12"/>
      <c r="H607" s="17" t="s">
        <v>1978</v>
      </c>
      <c r="I607" s="17" t="s">
        <v>74</v>
      </c>
      <c r="J607" s="12" t="s">
        <v>1979</v>
      </c>
      <c r="K607" s="17">
        <v>23</v>
      </c>
      <c r="L607" s="17">
        <v>1130</v>
      </c>
      <c r="M607" s="17" t="s">
        <v>76</v>
      </c>
      <c r="N607" s="12">
        <v>3.85</v>
      </c>
      <c r="O607" s="19" t="s">
        <v>1975</v>
      </c>
      <c r="P607" s="33">
        <v>29300</v>
      </c>
      <c r="Q607" s="25">
        <v>0.55000000000000004</v>
      </c>
      <c r="R607" s="14" t="s">
        <v>148</v>
      </c>
      <c r="S607" s="14" t="s">
        <v>1976</v>
      </c>
      <c r="T607" s="12"/>
      <c r="U607" s="12">
        <v>3.12</v>
      </c>
      <c r="V607" s="12"/>
      <c r="W607" s="12"/>
      <c r="X607" s="12"/>
      <c r="Y607" s="12"/>
      <c r="Z607" s="12"/>
      <c r="AA607" s="12"/>
    </row>
    <row r="608" spans="1:27" ht="129" customHeight="1" x14ac:dyDescent="0.2">
      <c r="A608" s="12" t="s">
        <v>1898</v>
      </c>
      <c r="B608" s="12" t="s">
        <v>1980</v>
      </c>
      <c r="C608" s="12" t="s">
        <v>101</v>
      </c>
      <c r="D608" s="12"/>
      <c r="E608" s="12" t="s">
        <v>60</v>
      </c>
      <c r="F608" s="12" t="s">
        <v>72</v>
      </c>
      <c r="G608" s="12"/>
      <c r="H608" s="17" t="s">
        <v>1483</v>
      </c>
      <c r="I608" s="17" t="s">
        <v>74</v>
      </c>
      <c r="J608" s="12" t="s">
        <v>1981</v>
      </c>
      <c r="K608" s="12"/>
      <c r="L608" s="12"/>
      <c r="M608" s="12"/>
      <c r="N608" s="12"/>
      <c r="O608" s="30" t="str">
        <f>HYPERLINK("http://www.queens.edu/Admissions-and-Financial-Aid/Financial-Aid-and-Student-Accounts/Merit-Scholarships/Traditional-Undergraduate-Scholarships.html","http://www.queens.edu/Admissions-and-Financial-Aid/Financial-Aid-and-Student-Accounts/Merit-Scholarships/Traditional-Undergraduate-Scholarships.html")</f>
        <v>http://www.queens.edu/Admissions-and-Financial-Aid/Financial-Aid-and-Student-Accounts/Merit-Scholarships/Traditional-Undergraduate-Scholarships.html</v>
      </c>
      <c r="P608" s="33">
        <v>32730</v>
      </c>
      <c r="Q608" s="25">
        <v>0.67</v>
      </c>
      <c r="R608" s="14" t="s">
        <v>565</v>
      </c>
      <c r="S608" s="14" t="s">
        <v>1982</v>
      </c>
      <c r="T608" s="12"/>
      <c r="U608" s="12">
        <v>3.71</v>
      </c>
      <c r="V608" s="12"/>
      <c r="W608" s="12"/>
      <c r="X608" s="12"/>
      <c r="Y608" s="12"/>
      <c r="Z608" s="12"/>
      <c r="AA608" s="12"/>
    </row>
    <row r="609" spans="1:27" ht="116.25" customHeight="1" x14ac:dyDescent="0.2">
      <c r="A609" s="12" t="s">
        <v>1898</v>
      </c>
      <c r="B609" s="12" t="s">
        <v>1983</v>
      </c>
      <c r="C609" s="12" t="s">
        <v>101</v>
      </c>
      <c r="D609" s="12"/>
      <c r="E609" s="12" t="s">
        <v>82</v>
      </c>
      <c r="F609" s="12" t="s">
        <v>72</v>
      </c>
      <c r="G609" s="12"/>
      <c r="H609" s="17" t="s">
        <v>1401</v>
      </c>
      <c r="I609" s="17">
        <v>1</v>
      </c>
      <c r="J609" s="14" t="s">
        <v>1984</v>
      </c>
      <c r="K609" s="12"/>
      <c r="L609" s="12"/>
      <c r="M609" s="12"/>
      <c r="N609" s="12"/>
      <c r="O609" s="30" t="str">
        <f t="shared" ref="O609:O611" si="94">HYPERLINK("http://www.salem.edu/admissions/scholarships.html","http://www.salem.edu/admissions/scholarships.html")</f>
        <v>http://www.salem.edu/admissions/scholarships.html</v>
      </c>
      <c r="P609" s="33">
        <v>27406</v>
      </c>
      <c r="Q609" s="25">
        <v>0.6</v>
      </c>
      <c r="R609" s="14" t="s">
        <v>1985</v>
      </c>
      <c r="S609" s="14" t="s">
        <v>1986</v>
      </c>
      <c r="T609" s="12"/>
      <c r="U609" s="12">
        <v>3.8</v>
      </c>
      <c r="V609" s="12"/>
      <c r="W609" s="12"/>
      <c r="X609" s="12"/>
      <c r="Y609" s="12"/>
      <c r="Z609" s="12"/>
      <c r="AA609" s="12"/>
    </row>
    <row r="610" spans="1:27" ht="241" x14ac:dyDescent="0.2">
      <c r="A610" s="12" t="s">
        <v>1898</v>
      </c>
      <c r="B610" s="12" t="s">
        <v>1983</v>
      </c>
      <c r="C610" s="12" t="s">
        <v>101</v>
      </c>
      <c r="D610" s="12"/>
      <c r="E610" s="12" t="s">
        <v>177</v>
      </c>
      <c r="F610" s="12" t="s">
        <v>72</v>
      </c>
      <c r="G610" s="12"/>
      <c r="H610" s="17" t="s">
        <v>1987</v>
      </c>
      <c r="I610" s="136">
        <v>43023</v>
      </c>
      <c r="J610" s="56" t="s">
        <v>1988</v>
      </c>
      <c r="K610" s="12"/>
      <c r="L610" s="12"/>
      <c r="M610" s="12"/>
      <c r="N610" s="12"/>
      <c r="O610" s="30" t="str">
        <f t="shared" si="94"/>
        <v>http://www.salem.edu/admissions/scholarships.html</v>
      </c>
      <c r="P610" s="33">
        <v>27406</v>
      </c>
      <c r="Q610" s="25">
        <v>0.6</v>
      </c>
      <c r="R610" s="14" t="s">
        <v>1985</v>
      </c>
      <c r="S610" s="14" t="s">
        <v>1986</v>
      </c>
      <c r="T610" s="12"/>
      <c r="U610" s="12">
        <v>3.8</v>
      </c>
      <c r="V610" s="12"/>
      <c r="W610" s="12"/>
      <c r="X610" s="12"/>
      <c r="Y610" s="12"/>
      <c r="Z610" s="12"/>
      <c r="AA610" s="12"/>
    </row>
    <row r="611" spans="1:27" ht="231" customHeight="1" x14ac:dyDescent="0.2">
      <c r="A611" s="12" t="s">
        <v>1898</v>
      </c>
      <c r="B611" s="12" t="s">
        <v>1983</v>
      </c>
      <c r="C611" s="12" t="s">
        <v>101</v>
      </c>
      <c r="D611" s="12"/>
      <c r="E611" s="12" t="s">
        <v>177</v>
      </c>
      <c r="F611" s="12" t="s">
        <v>461</v>
      </c>
      <c r="G611" s="12"/>
      <c r="H611" s="17" t="s">
        <v>1989</v>
      </c>
      <c r="I611" s="17" t="s">
        <v>74</v>
      </c>
      <c r="J611" s="12" t="s">
        <v>1990</v>
      </c>
      <c r="K611" s="12"/>
      <c r="L611" s="12"/>
      <c r="M611" s="12"/>
      <c r="N611" s="12"/>
      <c r="O611" s="30" t="str">
        <f t="shared" si="94"/>
        <v>http://www.salem.edu/admissions/scholarships.html</v>
      </c>
      <c r="P611" s="33">
        <v>27406</v>
      </c>
      <c r="Q611" s="25">
        <v>0.6</v>
      </c>
      <c r="R611" s="14" t="s">
        <v>1985</v>
      </c>
      <c r="S611" s="14" t="s">
        <v>1986</v>
      </c>
      <c r="T611" s="12"/>
      <c r="U611" s="12">
        <v>3.8</v>
      </c>
      <c r="V611" s="12"/>
      <c r="W611" s="12"/>
      <c r="X611" s="12"/>
      <c r="Y611" s="12"/>
      <c r="Z611" s="12"/>
      <c r="AA611" s="12"/>
    </row>
    <row r="612" spans="1:27" ht="167.25" customHeight="1" x14ac:dyDescent="0.2">
      <c r="A612" s="112" t="s">
        <v>1898</v>
      </c>
      <c r="B612" s="112" t="s">
        <v>1991</v>
      </c>
      <c r="C612" s="112" t="s">
        <v>59</v>
      </c>
      <c r="D612" s="112"/>
      <c r="E612" s="112" t="s">
        <v>757</v>
      </c>
      <c r="F612" s="112" t="s">
        <v>72</v>
      </c>
      <c r="G612" s="112"/>
      <c r="H612" s="117" t="s">
        <v>1992</v>
      </c>
      <c r="I612" s="117" t="s">
        <v>74</v>
      </c>
      <c r="J612" s="112" t="s">
        <v>1993</v>
      </c>
      <c r="K612" s="112"/>
      <c r="L612" s="112"/>
      <c r="M612" s="112"/>
      <c r="N612" s="112"/>
      <c r="O612" s="113" t="str">
        <f>HYPERLINK("http://scholarsprogram.unc.edu/about/colonel-robinson-scholars","http://scholarsprogram.unc.edu/about/colonel-robinson-scholars")</f>
        <v>http://scholarsprogram.unc.edu/about/colonel-robinson-scholars</v>
      </c>
      <c r="P612" s="124" t="s">
        <v>1994</v>
      </c>
      <c r="Q612" s="114">
        <v>0.3</v>
      </c>
      <c r="R612" s="110" t="s">
        <v>452</v>
      </c>
      <c r="S612" s="110" t="s">
        <v>1995</v>
      </c>
      <c r="T612" s="112"/>
      <c r="U612" s="112">
        <v>4.63</v>
      </c>
      <c r="V612" s="112"/>
      <c r="W612" s="112"/>
      <c r="X612" s="112"/>
      <c r="Y612" s="112"/>
      <c r="Z612" s="112"/>
      <c r="AA612" s="112"/>
    </row>
    <row r="613" spans="1:27" ht="154.5" customHeight="1" x14ac:dyDescent="0.2">
      <c r="A613" s="12" t="s">
        <v>1898</v>
      </c>
      <c r="B613" s="12" t="s">
        <v>1991</v>
      </c>
      <c r="C613" s="12" t="s">
        <v>59</v>
      </c>
      <c r="D613" s="12"/>
      <c r="E613" s="12" t="s">
        <v>583</v>
      </c>
      <c r="F613" s="17" t="s">
        <v>145</v>
      </c>
      <c r="G613" s="12"/>
      <c r="H613" s="17" t="s">
        <v>157</v>
      </c>
      <c r="I613" s="17" t="s">
        <v>74</v>
      </c>
      <c r="J613" s="12" t="s">
        <v>1996</v>
      </c>
      <c r="K613" s="12"/>
      <c r="L613" s="12"/>
      <c r="M613" s="12"/>
      <c r="N613" s="12"/>
      <c r="O613" s="30" t="str">
        <f>HYPERLINK("http://armyrotc.unc.edu/scholarships/","http://armyrotc.unc.edu/scholarships/")</f>
        <v>http://armyrotc.unc.edu/scholarships/</v>
      </c>
      <c r="P613" s="33" t="s">
        <v>1994</v>
      </c>
      <c r="Q613" s="25">
        <v>0.3</v>
      </c>
      <c r="R613" s="14" t="s">
        <v>452</v>
      </c>
      <c r="S613" s="14" t="s">
        <v>1995</v>
      </c>
      <c r="T613" s="12"/>
      <c r="U613" s="12">
        <v>4.63</v>
      </c>
      <c r="V613" s="12"/>
      <c r="W613" s="12"/>
      <c r="X613" s="12"/>
      <c r="Y613" s="12"/>
      <c r="Z613" s="12"/>
      <c r="AA613" s="12"/>
    </row>
    <row r="614" spans="1:27" ht="111" customHeight="1" x14ac:dyDescent="0.2">
      <c r="A614" s="12" t="s">
        <v>1898</v>
      </c>
      <c r="B614" s="12" t="s">
        <v>1991</v>
      </c>
      <c r="C614" s="12" t="s">
        <v>59</v>
      </c>
      <c r="D614" s="12"/>
      <c r="E614" s="12" t="s">
        <v>583</v>
      </c>
      <c r="F614" s="12" t="s">
        <v>72</v>
      </c>
      <c r="G614" s="12" t="s">
        <v>186</v>
      </c>
      <c r="H614" s="17" t="s">
        <v>1997</v>
      </c>
      <c r="I614" s="17" t="s">
        <v>74</v>
      </c>
      <c r="J614" s="12" t="s">
        <v>1998</v>
      </c>
      <c r="K614" s="12"/>
      <c r="L614" s="12"/>
      <c r="M614" s="12"/>
      <c r="N614" s="12"/>
      <c r="O614" s="30" t="str">
        <f>HYPERLINK("http://www.moreheadcain.org/take-morehead-cain-scholar/","http://www.moreheadcain.org/take-morehead-cain-scholar/")</f>
        <v>http://www.moreheadcain.org/take-morehead-cain-scholar/</v>
      </c>
      <c r="P614" s="33" t="s">
        <v>1994</v>
      </c>
      <c r="Q614" s="25">
        <v>0.3</v>
      </c>
      <c r="R614" s="14" t="s">
        <v>452</v>
      </c>
      <c r="S614" s="14" t="s">
        <v>1995</v>
      </c>
      <c r="T614" s="12"/>
      <c r="U614" s="12">
        <v>4.63</v>
      </c>
      <c r="V614" s="12"/>
      <c r="W614" s="12"/>
      <c r="X614" s="12"/>
      <c r="Y614" s="12"/>
      <c r="Z614" s="12"/>
      <c r="AA614" s="12"/>
    </row>
    <row r="615" spans="1:27" ht="111" customHeight="1" x14ac:dyDescent="0.2">
      <c r="A615" s="12" t="s">
        <v>1898</v>
      </c>
      <c r="B615" s="12" t="s">
        <v>1991</v>
      </c>
      <c r="C615" s="12" t="s">
        <v>59</v>
      </c>
      <c r="D615" s="12"/>
      <c r="E615" s="12" t="s">
        <v>583</v>
      </c>
      <c r="F615" s="12" t="s">
        <v>72</v>
      </c>
      <c r="G615" s="12" t="s">
        <v>186</v>
      </c>
      <c r="H615" s="17" t="s">
        <v>939</v>
      </c>
      <c r="I615" s="17">
        <v>18</v>
      </c>
      <c r="J615" s="12" t="s">
        <v>1999</v>
      </c>
      <c r="K615" s="12"/>
      <c r="L615" s="12"/>
      <c r="M615" s="12"/>
      <c r="N615" s="12"/>
      <c r="O615" s="30" t="str">
        <f>HYPERLINK("http://robertsonscholars.org/about-us/mission/","http://robertsonscholars.org/about-us/mission/")</f>
        <v>http://robertsonscholars.org/about-us/mission/</v>
      </c>
      <c r="P615" s="33" t="s">
        <v>1994</v>
      </c>
      <c r="Q615" s="25">
        <v>0.3</v>
      </c>
      <c r="R615" s="14" t="s">
        <v>452</v>
      </c>
      <c r="S615" s="14" t="s">
        <v>1995</v>
      </c>
      <c r="T615" s="12"/>
      <c r="U615" s="12">
        <v>4.63</v>
      </c>
      <c r="V615" s="12"/>
      <c r="W615" s="12"/>
      <c r="X615" s="12"/>
      <c r="Y615" s="12"/>
      <c r="Z615" s="12"/>
      <c r="AA615" s="12"/>
    </row>
    <row r="616" spans="1:27" ht="111" customHeight="1" x14ac:dyDescent="0.2">
      <c r="A616" s="39" t="s">
        <v>1898</v>
      </c>
      <c r="B616" s="12" t="s">
        <v>1991</v>
      </c>
      <c r="C616" s="12" t="s">
        <v>59</v>
      </c>
      <c r="D616" s="12"/>
      <c r="E616" s="12" t="s">
        <v>2000</v>
      </c>
      <c r="F616" s="12" t="s">
        <v>72</v>
      </c>
      <c r="G616" s="39"/>
      <c r="H616" s="69" t="s">
        <v>239</v>
      </c>
      <c r="I616" s="158" t="s">
        <v>74</v>
      </c>
      <c r="J616" s="40" t="s">
        <v>2001</v>
      </c>
      <c r="K616" s="39"/>
      <c r="L616" s="39"/>
      <c r="M616" s="39"/>
      <c r="N616" s="39"/>
      <c r="O616" s="59" t="str">
        <f>HYPERLINK("http://scholarsprogram.unc.edu/about/pogue-scholars","http://scholarsprogram.unc.edu/about/pogue-scholars")</f>
        <v>http://scholarsprogram.unc.edu/about/pogue-scholars</v>
      </c>
      <c r="P616" s="33" t="s">
        <v>1994</v>
      </c>
      <c r="Q616" s="25">
        <v>0.3</v>
      </c>
      <c r="R616" s="14" t="s">
        <v>452</v>
      </c>
      <c r="S616" s="14" t="s">
        <v>1995</v>
      </c>
      <c r="T616" s="12"/>
      <c r="U616" s="12">
        <v>4.63</v>
      </c>
      <c r="V616" s="39"/>
      <c r="W616" s="39"/>
      <c r="X616" s="39"/>
      <c r="Y616" s="39"/>
      <c r="Z616" s="39"/>
      <c r="AA616" s="39"/>
    </row>
    <row r="617" spans="1:27" ht="150.75" customHeight="1" x14ac:dyDescent="0.2">
      <c r="A617" s="39" t="s">
        <v>1898</v>
      </c>
      <c r="B617" s="12" t="s">
        <v>1991</v>
      </c>
      <c r="C617" s="12" t="s">
        <v>59</v>
      </c>
      <c r="D617" s="12"/>
      <c r="E617" s="12" t="s">
        <v>2000</v>
      </c>
      <c r="F617" s="12" t="s">
        <v>72</v>
      </c>
      <c r="G617" s="39"/>
      <c r="H617" s="69" t="s">
        <v>454</v>
      </c>
      <c r="I617" s="158" t="s">
        <v>74</v>
      </c>
      <c r="J617" s="40" t="s">
        <v>2002</v>
      </c>
      <c r="K617" s="39"/>
      <c r="L617" s="39"/>
      <c r="M617" s="39"/>
      <c r="N617" s="39"/>
      <c r="O617" s="59" t="str">
        <f>HYPERLINK("http://scholarsprogram.unc.edu/about/carolina-scholars","http://scholarsprogram.unc.edu/about/carolina-scholars")</f>
        <v>http://scholarsprogram.unc.edu/about/carolina-scholars</v>
      </c>
      <c r="P617" s="33" t="s">
        <v>1994</v>
      </c>
      <c r="Q617" s="25">
        <v>0.3</v>
      </c>
      <c r="R617" s="14" t="s">
        <v>452</v>
      </c>
      <c r="S617" s="14" t="s">
        <v>1995</v>
      </c>
      <c r="T617" s="12"/>
      <c r="U617" s="12">
        <v>4.63</v>
      </c>
      <c r="V617" s="39"/>
      <c r="W617" s="39"/>
      <c r="X617" s="39"/>
      <c r="Y617" s="39"/>
      <c r="Z617" s="39"/>
      <c r="AA617" s="39"/>
    </row>
    <row r="618" spans="1:27" ht="218.25" customHeight="1" x14ac:dyDescent="0.2">
      <c r="A618" s="12" t="s">
        <v>1898</v>
      </c>
      <c r="B618" s="12" t="s">
        <v>2003</v>
      </c>
      <c r="C618" s="12" t="s">
        <v>59</v>
      </c>
      <c r="D618" s="17" t="s">
        <v>1968</v>
      </c>
      <c r="E618" s="12" t="s">
        <v>111</v>
      </c>
      <c r="F618" s="12" t="s">
        <v>72</v>
      </c>
      <c r="G618" s="12"/>
      <c r="H618" s="17" t="s">
        <v>553</v>
      </c>
      <c r="I618" s="17" t="s">
        <v>74</v>
      </c>
      <c r="J618" s="12" t="s">
        <v>2004</v>
      </c>
      <c r="K618" s="12"/>
      <c r="L618" s="12"/>
      <c r="M618" s="12"/>
      <c r="N618" s="12"/>
      <c r="O618" s="30" t="str">
        <f>HYPERLINK("http://levinescholars.uncc.edu/future-students/levine-scholar-applicant-profile","http://levinescholars.uncc.edu/future-students/levine-scholar-applicant-profile")</f>
        <v>http://levinescholars.uncc.edu/future-students/levine-scholar-applicant-profile</v>
      </c>
      <c r="P618" s="33" t="s">
        <v>2005</v>
      </c>
      <c r="Q618" s="25">
        <v>0.63</v>
      </c>
      <c r="R618" s="14" t="s">
        <v>2006</v>
      </c>
      <c r="S618" s="14" t="s">
        <v>2007</v>
      </c>
      <c r="T618" s="12"/>
      <c r="U618" s="12">
        <v>3.9</v>
      </c>
      <c r="V618" s="12"/>
      <c r="W618" s="12"/>
      <c r="X618" s="12"/>
      <c r="Y618" s="12"/>
      <c r="Z618" s="12"/>
      <c r="AA618" s="12"/>
    </row>
    <row r="619" spans="1:27" ht="111" customHeight="1" x14ac:dyDescent="0.2">
      <c r="A619" s="12" t="s">
        <v>1898</v>
      </c>
      <c r="B619" s="12" t="s">
        <v>2008</v>
      </c>
      <c r="C619" s="12" t="s">
        <v>59</v>
      </c>
      <c r="D619" s="17" t="s">
        <v>2009</v>
      </c>
      <c r="E619" s="12" t="s">
        <v>111</v>
      </c>
      <c r="F619" s="12" t="s">
        <v>72</v>
      </c>
      <c r="G619" s="12"/>
      <c r="H619" s="17" t="s">
        <v>2010</v>
      </c>
      <c r="I619" s="17">
        <v>1</v>
      </c>
      <c r="J619" s="12" t="s">
        <v>2011</v>
      </c>
      <c r="K619" s="12"/>
      <c r="L619" s="12"/>
      <c r="M619" s="12"/>
      <c r="N619" s="12"/>
      <c r="O619" s="19" t="s">
        <v>2012</v>
      </c>
      <c r="P619" s="33" t="s">
        <v>2013</v>
      </c>
      <c r="Q619" s="25">
        <v>0.59</v>
      </c>
      <c r="R619" s="14" t="s">
        <v>124</v>
      </c>
      <c r="S619" s="14" t="s">
        <v>2014</v>
      </c>
      <c r="T619" s="12"/>
      <c r="U619" s="12">
        <v>3.62</v>
      </c>
      <c r="V619" s="12"/>
      <c r="W619" s="12"/>
      <c r="X619" s="12"/>
      <c r="Y619" s="12"/>
      <c r="Z619" s="12"/>
      <c r="AA619" s="12"/>
    </row>
    <row r="620" spans="1:27" ht="269.25" customHeight="1" x14ac:dyDescent="0.2">
      <c r="A620" s="12" t="s">
        <v>1898</v>
      </c>
      <c r="B620" s="12" t="s">
        <v>2008</v>
      </c>
      <c r="C620" s="12" t="s">
        <v>59</v>
      </c>
      <c r="D620" s="12"/>
      <c r="E620" s="12" t="s">
        <v>191</v>
      </c>
      <c r="F620" s="12" t="s">
        <v>72</v>
      </c>
      <c r="G620" s="12"/>
      <c r="H620" s="17" t="s">
        <v>250</v>
      </c>
      <c r="I620" s="17" t="s">
        <v>74</v>
      </c>
      <c r="J620" s="12" t="s">
        <v>2015</v>
      </c>
      <c r="K620" s="12"/>
      <c r="L620" s="12"/>
      <c r="M620" s="12"/>
      <c r="N620" s="12"/>
      <c r="O620" s="19" t="s">
        <v>2016</v>
      </c>
      <c r="P620" s="33" t="s">
        <v>2013</v>
      </c>
      <c r="Q620" s="25">
        <v>0.59</v>
      </c>
      <c r="R620" s="14" t="s">
        <v>124</v>
      </c>
      <c r="S620" s="14" t="s">
        <v>2014</v>
      </c>
      <c r="T620" s="12"/>
      <c r="U620" s="12">
        <v>3.62</v>
      </c>
      <c r="V620" s="12"/>
      <c r="W620" s="12"/>
      <c r="X620" s="12"/>
      <c r="Y620" s="12"/>
      <c r="Z620" s="12"/>
      <c r="AA620" s="12"/>
    </row>
    <row r="621" spans="1:27" ht="111" customHeight="1" x14ac:dyDescent="0.2">
      <c r="A621" s="23" t="s">
        <v>1898</v>
      </c>
      <c r="B621" s="14" t="s">
        <v>2008</v>
      </c>
      <c r="C621" s="14" t="s">
        <v>59</v>
      </c>
      <c r="D621" s="14" t="s">
        <v>98</v>
      </c>
      <c r="E621" s="14" t="s">
        <v>88</v>
      </c>
      <c r="F621" s="14" t="s">
        <v>72</v>
      </c>
      <c r="G621" s="12"/>
      <c r="H621" s="17" t="s">
        <v>239</v>
      </c>
      <c r="I621" s="17" t="s">
        <v>74</v>
      </c>
      <c r="J621" s="14" t="s">
        <v>2017</v>
      </c>
      <c r="K621" s="24"/>
      <c r="L621" s="24"/>
      <c r="M621" s="14"/>
      <c r="N621" s="24"/>
      <c r="O621" s="19" t="s">
        <v>2018</v>
      </c>
      <c r="P621" s="14" t="s">
        <v>2013</v>
      </c>
      <c r="Q621" s="58">
        <v>0.59</v>
      </c>
      <c r="R621" s="14" t="s">
        <v>124</v>
      </c>
      <c r="S621" s="14" t="s">
        <v>2014</v>
      </c>
      <c r="T621" s="12"/>
      <c r="U621" s="12">
        <v>3.62</v>
      </c>
      <c r="V621" s="12"/>
      <c r="W621" s="12"/>
      <c r="X621" s="12"/>
      <c r="Y621" s="12"/>
      <c r="Z621" s="12"/>
      <c r="AA621" s="12"/>
    </row>
    <row r="622" spans="1:27" ht="158.25" customHeight="1" x14ac:dyDescent="0.2">
      <c r="A622" s="23" t="s">
        <v>1898</v>
      </c>
      <c r="B622" s="14" t="s">
        <v>2019</v>
      </c>
      <c r="C622" s="14" t="s">
        <v>59</v>
      </c>
      <c r="D622" s="14"/>
      <c r="E622" s="14" t="s">
        <v>60</v>
      </c>
      <c r="F622" s="14" t="s">
        <v>72</v>
      </c>
      <c r="G622" s="12"/>
      <c r="H622" s="17" t="s">
        <v>239</v>
      </c>
      <c r="I622" s="17" t="s">
        <v>74</v>
      </c>
      <c r="J622" s="14" t="s">
        <v>2020</v>
      </c>
      <c r="K622" s="12"/>
      <c r="L622" s="12"/>
      <c r="M622" s="12"/>
      <c r="N622" s="12"/>
      <c r="O622" s="30" t="str">
        <f t="shared" ref="O622:O624" si="95">HYPERLINK("http://www.uncw.edu/honors/admissions/scholarships.html","http://www.uncw.edu/honors/admissions/scholarships.html")</f>
        <v>http://www.uncw.edu/honors/admissions/scholarships.html</v>
      </c>
      <c r="P622" s="14" t="s">
        <v>2021</v>
      </c>
      <c r="Q622" s="25">
        <v>0.61</v>
      </c>
      <c r="R622" s="14" t="s">
        <v>1733</v>
      </c>
      <c r="S622" s="14" t="s">
        <v>2022</v>
      </c>
      <c r="T622" s="12"/>
      <c r="U622" s="12">
        <v>4.0999999999999996</v>
      </c>
      <c r="V622" s="12"/>
      <c r="W622" s="12"/>
      <c r="X622" s="12"/>
      <c r="Y622" s="12"/>
      <c r="Z622" s="12"/>
      <c r="AA622" s="12"/>
    </row>
    <row r="623" spans="1:27" ht="205.5" customHeight="1" x14ac:dyDescent="0.2">
      <c r="A623" s="23" t="s">
        <v>1898</v>
      </c>
      <c r="B623" s="14" t="s">
        <v>2019</v>
      </c>
      <c r="C623" s="14" t="s">
        <v>59</v>
      </c>
      <c r="D623" s="14" t="s">
        <v>2023</v>
      </c>
      <c r="E623" s="14" t="s">
        <v>60</v>
      </c>
      <c r="F623" s="14" t="s">
        <v>72</v>
      </c>
      <c r="G623" s="12"/>
      <c r="H623" s="17" t="s">
        <v>239</v>
      </c>
      <c r="I623" s="17" t="s">
        <v>74</v>
      </c>
      <c r="J623" s="14" t="s">
        <v>2024</v>
      </c>
      <c r="K623" s="12"/>
      <c r="L623" s="12"/>
      <c r="M623" s="12"/>
      <c r="N623" s="12"/>
      <c r="O623" s="30" t="str">
        <f t="shared" si="95"/>
        <v>http://www.uncw.edu/honors/admissions/scholarships.html</v>
      </c>
      <c r="P623" s="14" t="s">
        <v>2021</v>
      </c>
      <c r="Q623" s="25">
        <v>0.61</v>
      </c>
      <c r="R623" s="14" t="s">
        <v>1733</v>
      </c>
      <c r="S623" s="14" t="s">
        <v>2022</v>
      </c>
      <c r="T623" s="12"/>
      <c r="U623" s="12">
        <v>4.0999999999999996</v>
      </c>
      <c r="V623" s="12"/>
      <c r="W623" s="12"/>
      <c r="X623" s="12"/>
      <c r="Y623" s="12"/>
      <c r="Z623" s="12"/>
      <c r="AA623" s="12"/>
    </row>
    <row r="624" spans="1:27" ht="189.75" customHeight="1" x14ac:dyDescent="0.2">
      <c r="A624" s="23" t="s">
        <v>1898</v>
      </c>
      <c r="B624" s="14" t="s">
        <v>2019</v>
      </c>
      <c r="C624" s="14" t="s">
        <v>59</v>
      </c>
      <c r="D624" s="14" t="s">
        <v>2023</v>
      </c>
      <c r="E624" s="14" t="s">
        <v>60</v>
      </c>
      <c r="F624" s="14" t="s">
        <v>72</v>
      </c>
      <c r="G624" s="12"/>
      <c r="H624" s="17" t="s">
        <v>239</v>
      </c>
      <c r="I624" s="17" t="s">
        <v>74</v>
      </c>
      <c r="J624" s="14" t="s">
        <v>2025</v>
      </c>
      <c r="K624" s="12"/>
      <c r="L624" s="12"/>
      <c r="M624" s="12"/>
      <c r="N624" s="12"/>
      <c r="O624" s="30" t="str">
        <f t="shared" si="95"/>
        <v>http://www.uncw.edu/honors/admissions/scholarships.html</v>
      </c>
      <c r="P624" s="14" t="s">
        <v>2021</v>
      </c>
      <c r="Q624" s="25">
        <v>0.61</v>
      </c>
      <c r="R624" s="14" t="s">
        <v>1733</v>
      </c>
      <c r="S624" s="14" t="s">
        <v>2022</v>
      </c>
      <c r="T624" s="12"/>
      <c r="U624" s="12">
        <v>4.0999999999999996</v>
      </c>
      <c r="V624" s="12"/>
      <c r="W624" s="12"/>
      <c r="X624" s="12"/>
      <c r="Y624" s="12"/>
      <c r="Z624" s="12"/>
      <c r="AA624" s="12"/>
    </row>
    <row r="625" spans="1:27" ht="111" customHeight="1" x14ac:dyDescent="0.2">
      <c r="A625" s="23" t="s">
        <v>1898</v>
      </c>
      <c r="B625" s="14" t="s">
        <v>2026</v>
      </c>
      <c r="C625" s="14" t="s">
        <v>101</v>
      </c>
      <c r="D625" s="12"/>
      <c r="E625" s="14" t="s">
        <v>2027</v>
      </c>
      <c r="F625" s="14" t="s">
        <v>72</v>
      </c>
      <c r="G625" s="12"/>
      <c r="H625" s="17" t="s">
        <v>454</v>
      </c>
      <c r="I625" s="17" t="s">
        <v>74</v>
      </c>
      <c r="J625" s="14" t="s">
        <v>2028</v>
      </c>
      <c r="K625" s="12"/>
      <c r="L625" s="12"/>
      <c r="M625" s="12"/>
      <c r="N625" s="12"/>
      <c r="O625" s="30" t="str">
        <f>HYPERLINK("http://financialaid.wfu.edu/merit-based-scholarships/guy-t-carswell-scholarships/","http://financialaid.wfu.edu/merit-based-scholarships/guy-t-carswell-scholarships/")</f>
        <v>http://financialaid.wfu.edu/merit-based-scholarships/guy-t-carswell-scholarships/</v>
      </c>
      <c r="P625" s="33">
        <v>49308</v>
      </c>
      <c r="Q625" s="58">
        <v>0.28999999999999998</v>
      </c>
      <c r="R625" s="14" t="s">
        <v>148</v>
      </c>
      <c r="S625" s="14" t="s">
        <v>2029</v>
      </c>
      <c r="T625" s="12"/>
      <c r="U625" s="12" t="s">
        <v>81</v>
      </c>
      <c r="V625" s="12"/>
      <c r="W625" s="12"/>
      <c r="X625" s="12"/>
      <c r="Y625" s="12"/>
      <c r="Z625" s="12"/>
      <c r="AA625" s="12"/>
    </row>
    <row r="626" spans="1:27" ht="158.25" customHeight="1" x14ac:dyDescent="0.2">
      <c r="A626" s="23" t="s">
        <v>1898</v>
      </c>
      <c r="B626" s="14" t="s">
        <v>2026</v>
      </c>
      <c r="C626" s="14" t="s">
        <v>101</v>
      </c>
      <c r="D626" s="12"/>
      <c r="E626" s="14" t="s">
        <v>2027</v>
      </c>
      <c r="F626" s="14" t="s">
        <v>72</v>
      </c>
      <c r="G626" s="12"/>
      <c r="H626" s="17" t="s">
        <v>454</v>
      </c>
      <c r="I626" s="17" t="s">
        <v>74</v>
      </c>
      <c r="J626" s="14" t="s">
        <v>2030</v>
      </c>
      <c r="K626" s="12"/>
      <c r="L626" s="12"/>
      <c r="M626" s="12"/>
      <c r="N626" s="12"/>
      <c r="O626" s="30" t="str">
        <f>HYPERLINK("http://financialaid.wfu.edu/merit-based-scholarships/nancy-susan-reynolds-scholarships/","http://financialaid.wfu.edu/merit-based-scholarships/nancy-susan-reynolds-scholarships/")</f>
        <v>http://financialaid.wfu.edu/merit-based-scholarships/nancy-susan-reynolds-scholarships/</v>
      </c>
      <c r="P626" s="33">
        <v>49308</v>
      </c>
      <c r="Q626" s="58">
        <v>0.28999999999999998</v>
      </c>
      <c r="R626" s="14" t="s">
        <v>148</v>
      </c>
      <c r="S626" s="14" t="s">
        <v>2029</v>
      </c>
      <c r="T626" s="12"/>
      <c r="U626" s="12" t="s">
        <v>81</v>
      </c>
      <c r="V626" s="12"/>
      <c r="W626" s="12"/>
      <c r="X626" s="12"/>
      <c r="Y626" s="12"/>
      <c r="Z626" s="12"/>
      <c r="AA626" s="12"/>
    </row>
    <row r="627" spans="1:27" ht="111" customHeight="1" x14ac:dyDescent="0.2">
      <c r="A627" s="23" t="s">
        <v>1898</v>
      </c>
      <c r="B627" s="14" t="s">
        <v>2026</v>
      </c>
      <c r="C627" s="14" t="s">
        <v>101</v>
      </c>
      <c r="D627" s="12"/>
      <c r="E627" s="14" t="s">
        <v>2027</v>
      </c>
      <c r="F627" s="14" t="s">
        <v>72</v>
      </c>
      <c r="G627" s="12"/>
      <c r="H627" s="17" t="s">
        <v>2031</v>
      </c>
      <c r="I627" s="17" t="s">
        <v>74</v>
      </c>
      <c r="J627" s="14" t="s">
        <v>2032</v>
      </c>
      <c r="K627" s="12"/>
      <c r="L627" s="12"/>
      <c r="M627" s="12"/>
      <c r="N627" s="12"/>
      <c r="O627" s="30" t="str">
        <f>HYPERLINK("http://financialaid.wfu.edu/merit-based-scholarships/george-e-and-lila-c-bradford-scholarships/","http://financialaid.wfu.edu/merit-based-scholarships/george-e-and-lila-c-bradford-scholarships/")</f>
        <v>http://financialaid.wfu.edu/merit-based-scholarships/george-e-and-lila-c-bradford-scholarships/</v>
      </c>
      <c r="P627" s="33">
        <v>49308</v>
      </c>
      <c r="Q627" s="58">
        <v>0.28999999999999998</v>
      </c>
      <c r="R627" s="14" t="s">
        <v>148</v>
      </c>
      <c r="S627" s="14" t="s">
        <v>2029</v>
      </c>
      <c r="T627" s="12"/>
      <c r="U627" s="12" t="s">
        <v>81</v>
      </c>
      <c r="V627" s="12"/>
      <c r="W627" s="12"/>
      <c r="X627" s="12"/>
      <c r="Y627" s="12"/>
      <c r="Z627" s="12"/>
      <c r="AA627" s="12"/>
    </row>
    <row r="628" spans="1:27" ht="111" customHeight="1" x14ac:dyDescent="0.2">
      <c r="A628" s="23" t="s">
        <v>1898</v>
      </c>
      <c r="B628" s="14" t="s">
        <v>2026</v>
      </c>
      <c r="C628" s="14" t="s">
        <v>101</v>
      </c>
      <c r="D628" s="12"/>
      <c r="E628" s="14" t="s">
        <v>2027</v>
      </c>
      <c r="F628" s="14" t="s">
        <v>72</v>
      </c>
      <c r="G628" s="12"/>
      <c r="H628" s="17" t="s">
        <v>2033</v>
      </c>
      <c r="I628" s="17" t="s">
        <v>74</v>
      </c>
      <c r="J628" s="14" t="s">
        <v>2034</v>
      </c>
      <c r="K628" s="12"/>
      <c r="L628" s="12"/>
      <c r="M628" s="12"/>
      <c r="N628" s="12"/>
      <c r="O628" s="30" t="str">
        <f>HYPERLINK("http://financialaid.wfu.edu/merit-based-scholarships/the-bobbie-fletcher-memorial-scholarship/","http://financialaid.wfu.edu/merit-based-scholarships/the-bobbie-fletcher-memorial-scholarship/")</f>
        <v>http://financialaid.wfu.edu/merit-based-scholarships/the-bobbie-fletcher-memorial-scholarship/</v>
      </c>
      <c r="P628" s="33">
        <v>49308</v>
      </c>
      <c r="Q628" s="58">
        <v>0.28999999999999998</v>
      </c>
      <c r="R628" s="14" t="s">
        <v>148</v>
      </c>
      <c r="S628" s="14" t="s">
        <v>2029</v>
      </c>
      <c r="T628" s="12"/>
      <c r="U628" s="12" t="s">
        <v>81</v>
      </c>
      <c r="V628" s="12"/>
      <c r="W628" s="12"/>
      <c r="X628" s="12"/>
      <c r="Y628" s="12"/>
      <c r="Z628" s="12"/>
      <c r="AA628" s="12"/>
    </row>
    <row r="629" spans="1:27" ht="126.75" customHeight="1" x14ac:dyDescent="0.2">
      <c r="A629" s="23" t="s">
        <v>1898</v>
      </c>
      <c r="B629" s="14" t="s">
        <v>2026</v>
      </c>
      <c r="C629" s="14" t="s">
        <v>101</v>
      </c>
      <c r="D629" s="12"/>
      <c r="E629" s="14" t="s">
        <v>2027</v>
      </c>
      <c r="F629" s="14" t="s">
        <v>72</v>
      </c>
      <c r="G629" s="12"/>
      <c r="H629" s="17" t="s">
        <v>454</v>
      </c>
      <c r="I629" s="17">
        <v>1</v>
      </c>
      <c r="J629" s="14" t="s">
        <v>2035</v>
      </c>
      <c r="K629" s="12"/>
      <c r="L629" s="12"/>
      <c r="M629" s="12"/>
      <c r="N629" s="12"/>
      <c r="O629" s="30" t="str">
        <f>HYPERLINK("http://financialaid.wfu.edu/merit-based-scholarships/graylyn-scholarship/","http://financialaid.wfu.edu/merit-based-scholarships/graylyn-scholarship/")</f>
        <v>http://financialaid.wfu.edu/merit-based-scholarships/graylyn-scholarship/</v>
      </c>
      <c r="P629" s="33">
        <v>49308</v>
      </c>
      <c r="Q629" s="58">
        <v>0.28999999999999998</v>
      </c>
      <c r="R629" s="14" t="s">
        <v>148</v>
      </c>
      <c r="S629" s="14" t="s">
        <v>2029</v>
      </c>
      <c r="T629" s="12"/>
      <c r="U629" s="12" t="s">
        <v>81</v>
      </c>
      <c r="V629" s="12"/>
      <c r="W629" s="12"/>
      <c r="X629" s="12"/>
      <c r="Y629" s="12"/>
      <c r="Z629" s="12"/>
      <c r="AA629" s="12"/>
    </row>
    <row r="630" spans="1:27" ht="111" customHeight="1" x14ac:dyDescent="0.2">
      <c r="A630" s="23" t="s">
        <v>1898</v>
      </c>
      <c r="B630" s="14" t="s">
        <v>2026</v>
      </c>
      <c r="C630" s="14" t="s">
        <v>101</v>
      </c>
      <c r="D630" s="12"/>
      <c r="E630" s="14" t="s">
        <v>2027</v>
      </c>
      <c r="F630" s="14" t="s">
        <v>72</v>
      </c>
      <c r="G630" s="12"/>
      <c r="H630" s="17" t="s">
        <v>239</v>
      </c>
      <c r="I630" s="17" t="s">
        <v>74</v>
      </c>
      <c r="J630" s="14" t="s">
        <v>2036</v>
      </c>
      <c r="K630" s="12"/>
      <c r="L630" s="12"/>
      <c r="M630" s="12"/>
      <c r="N630" s="12"/>
      <c r="O630" s="30" t="str">
        <f>HYPERLINK("http://financialaid.wfu.edu/merit-based-scholarships/o-w-wilson-scholarship/","http://financialaid.wfu.edu/merit-based-scholarships/o-w-wilson-scholarship/")</f>
        <v>http://financialaid.wfu.edu/merit-based-scholarships/o-w-wilson-scholarship/</v>
      </c>
      <c r="P630" s="33">
        <v>49308</v>
      </c>
      <c r="Q630" s="58">
        <v>0.28999999999999998</v>
      </c>
      <c r="R630" s="14" t="s">
        <v>148</v>
      </c>
      <c r="S630" s="14" t="s">
        <v>2029</v>
      </c>
      <c r="T630" s="12"/>
      <c r="U630" s="12" t="s">
        <v>81</v>
      </c>
      <c r="V630" s="12"/>
      <c r="W630" s="12"/>
      <c r="X630" s="12"/>
      <c r="Y630" s="12"/>
      <c r="Z630" s="12"/>
      <c r="AA630" s="12"/>
    </row>
    <row r="631" spans="1:27" ht="189.75" customHeight="1" x14ac:dyDescent="0.2">
      <c r="A631" s="23" t="s">
        <v>1898</v>
      </c>
      <c r="B631" s="14" t="s">
        <v>2026</v>
      </c>
      <c r="C631" s="14" t="s">
        <v>101</v>
      </c>
      <c r="D631" s="12"/>
      <c r="E631" s="14" t="s">
        <v>2027</v>
      </c>
      <c r="F631" s="14" t="s">
        <v>72</v>
      </c>
      <c r="G631" s="12"/>
      <c r="H631" s="17" t="s">
        <v>553</v>
      </c>
      <c r="I631" s="17">
        <v>5</v>
      </c>
      <c r="J631" s="14" t="s">
        <v>2037</v>
      </c>
      <c r="K631" s="12"/>
      <c r="L631" s="12"/>
      <c r="M631" s="12"/>
      <c r="N631" s="12"/>
      <c r="O631" s="19" t="s">
        <v>2038</v>
      </c>
      <c r="P631" s="33">
        <v>49308</v>
      </c>
      <c r="Q631" s="58">
        <v>0.28999999999999998</v>
      </c>
      <c r="R631" s="14" t="s">
        <v>148</v>
      </c>
      <c r="S631" s="14" t="s">
        <v>2029</v>
      </c>
      <c r="T631" s="12"/>
      <c r="U631" s="12" t="s">
        <v>81</v>
      </c>
      <c r="V631" s="12"/>
      <c r="W631" s="12"/>
      <c r="X631" s="12"/>
      <c r="Y631" s="12"/>
      <c r="Z631" s="12"/>
      <c r="AA631" s="12"/>
    </row>
    <row r="632" spans="1:27" ht="111" customHeight="1" x14ac:dyDescent="0.2">
      <c r="A632" s="23" t="s">
        <v>1898</v>
      </c>
      <c r="B632" s="14" t="s">
        <v>2026</v>
      </c>
      <c r="C632" s="14" t="s">
        <v>101</v>
      </c>
      <c r="D632" s="12"/>
      <c r="E632" s="14" t="s">
        <v>2027</v>
      </c>
      <c r="F632" s="14" t="s">
        <v>72</v>
      </c>
      <c r="G632" s="12"/>
      <c r="H632" s="17" t="s">
        <v>2039</v>
      </c>
      <c r="I632" s="17" t="s">
        <v>74</v>
      </c>
      <c r="J632" s="14" t="s">
        <v>2040</v>
      </c>
      <c r="K632" s="12"/>
      <c r="L632" s="12"/>
      <c r="M632" s="12"/>
      <c r="N632" s="12"/>
      <c r="O632" s="30" t="str">
        <f>HYPERLINK("http://financialaid.wfu.edu/merit-based-scholarships/joseph-g-gordon-scholarships/","http://financialaid.wfu.edu/merit-based-scholarships/joseph-g-gordon-scholarships/")</f>
        <v>http://financialaid.wfu.edu/merit-based-scholarships/joseph-g-gordon-scholarships/</v>
      </c>
      <c r="P632" s="33">
        <v>49308</v>
      </c>
      <c r="Q632" s="58">
        <v>0.28999999999999998</v>
      </c>
      <c r="R632" s="14" t="s">
        <v>148</v>
      </c>
      <c r="S632" s="14" t="s">
        <v>2029</v>
      </c>
      <c r="T632" s="12"/>
      <c r="U632" s="12" t="s">
        <v>81</v>
      </c>
      <c r="V632" s="12"/>
      <c r="W632" s="12"/>
      <c r="X632" s="12"/>
      <c r="Y632" s="12"/>
      <c r="Z632" s="12"/>
      <c r="AA632" s="12"/>
    </row>
    <row r="633" spans="1:27" ht="111" customHeight="1" x14ac:dyDescent="0.2">
      <c r="A633" s="23" t="s">
        <v>2041</v>
      </c>
      <c r="B633" s="14" t="s">
        <v>2042</v>
      </c>
      <c r="C633" s="14" t="s">
        <v>101</v>
      </c>
      <c r="D633" s="12"/>
      <c r="E633" s="14" t="s">
        <v>177</v>
      </c>
      <c r="F633" s="14" t="s">
        <v>61</v>
      </c>
      <c r="G633" s="12"/>
      <c r="H633" s="17" t="s">
        <v>62</v>
      </c>
      <c r="I633" s="17" t="s">
        <v>63</v>
      </c>
      <c r="J633" s="14" t="s">
        <v>2043</v>
      </c>
      <c r="K633" s="24">
        <v>30</v>
      </c>
      <c r="L633" s="24">
        <v>1390</v>
      </c>
      <c r="M633" s="14" t="s">
        <v>197</v>
      </c>
      <c r="N633" s="24">
        <v>3.65</v>
      </c>
      <c r="O633" s="30" t="str">
        <f>HYPERLINK("http://www.minotstateu.edu/enroll/scholarships.shtml","http://www.minotstateu.edu/enroll/scholarships.shtml")</f>
        <v>http://www.minotstateu.edu/enroll/scholarships.shtml</v>
      </c>
      <c r="P633" s="33" t="s">
        <v>2044</v>
      </c>
      <c r="Q633" s="25">
        <v>0.56999999999999995</v>
      </c>
      <c r="R633" s="14" t="s">
        <v>385</v>
      </c>
      <c r="S633" s="14" t="s">
        <v>2045</v>
      </c>
      <c r="T633" s="12"/>
      <c r="U633" s="12">
        <v>3.36</v>
      </c>
      <c r="V633" s="12"/>
      <c r="W633" s="12"/>
      <c r="X633" s="12"/>
      <c r="Y633" s="12"/>
      <c r="Z633" s="12"/>
      <c r="AA633" s="12"/>
    </row>
    <row r="634" spans="1:27" ht="78" customHeight="1" x14ac:dyDescent="0.2">
      <c r="A634" s="23" t="s">
        <v>2041</v>
      </c>
      <c r="B634" s="14" t="s">
        <v>2046</v>
      </c>
      <c r="C634" s="14" t="s">
        <v>101</v>
      </c>
      <c r="D634" s="12"/>
      <c r="E634" s="14" t="s">
        <v>177</v>
      </c>
      <c r="F634" s="14" t="s">
        <v>72</v>
      </c>
      <c r="G634" s="12"/>
      <c r="H634" s="17" t="s">
        <v>62</v>
      </c>
      <c r="I634" s="17" t="s">
        <v>74</v>
      </c>
      <c r="J634" s="14" t="s">
        <v>2047</v>
      </c>
      <c r="K634" s="24">
        <v>24</v>
      </c>
      <c r="L634" s="24"/>
      <c r="M634" s="12"/>
      <c r="N634" s="24">
        <v>3.5</v>
      </c>
      <c r="O634" s="30" t="str">
        <f>HYPERLINK("http://www.uj.edu/admissions/financial-aid/financial-aid-table","http://www.uj.edu/admissions/financial-aid/financial-aid-table")</f>
        <v>http://www.uj.edu/admissions/financial-aid/financial-aid-table</v>
      </c>
      <c r="P634" s="33">
        <v>20480</v>
      </c>
      <c r="Q634" s="25">
        <v>0.65</v>
      </c>
      <c r="R634" s="12" t="s">
        <v>2048</v>
      </c>
      <c r="S634" s="12" t="s">
        <v>2049</v>
      </c>
      <c r="T634" s="12"/>
      <c r="U634" s="12">
        <v>3.46</v>
      </c>
      <c r="V634" s="12"/>
      <c r="W634" s="12"/>
      <c r="X634" s="12"/>
      <c r="Y634" s="12"/>
      <c r="Z634" s="12"/>
      <c r="AA634" s="12"/>
    </row>
    <row r="635" spans="1:27" ht="221.25" customHeight="1" x14ac:dyDescent="0.2">
      <c r="A635" s="23" t="s">
        <v>2041</v>
      </c>
      <c r="B635" s="14" t="s">
        <v>2050</v>
      </c>
      <c r="C635" s="14" t="s">
        <v>59</v>
      </c>
      <c r="D635" s="14" t="s">
        <v>194</v>
      </c>
      <c r="E635" s="14" t="s">
        <v>60</v>
      </c>
      <c r="F635" s="14" t="s">
        <v>72</v>
      </c>
      <c r="G635" s="12"/>
      <c r="H635" s="17" t="s">
        <v>239</v>
      </c>
      <c r="I635" s="17" t="s">
        <v>74</v>
      </c>
      <c r="J635" s="14" t="s">
        <v>2051</v>
      </c>
      <c r="K635" s="12"/>
      <c r="L635" s="12"/>
      <c r="M635" s="12"/>
      <c r="N635" s="12"/>
      <c r="O635" s="30" t="str">
        <f>HYPERLINK("http://www.ndus.edu/students/paying-for-college/grants-scholarships/#NDSP","http://www.ndus.edu/students/paying-for-college/grants-scholarships/#NDSP")</f>
        <v>http://www.ndus.edu/students/paying-for-college/grants-scholarships/#NDSP</v>
      </c>
      <c r="P635" s="14" t="s">
        <v>2052</v>
      </c>
      <c r="Q635" s="58">
        <v>0.86</v>
      </c>
      <c r="R635" s="14" t="s">
        <v>565</v>
      </c>
      <c r="S635" s="14" t="s">
        <v>1184</v>
      </c>
      <c r="T635" s="12"/>
      <c r="U635" s="12">
        <v>3.4</v>
      </c>
      <c r="V635" s="12"/>
      <c r="W635" s="12"/>
      <c r="X635" s="12"/>
      <c r="Y635" s="12"/>
      <c r="Z635" s="12"/>
      <c r="AA635" s="12"/>
    </row>
    <row r="636" spans="1:27" ht="126.75" customHeight="1" x14ac:dyDescent="0.2">
      <c r="A636" s="23" t="s">
        <v>2053</v>
      </c>
      <c r="B636" s="14" t="s">
        <v>2054</v>
      </c>
      <c r="C636" s="14" t="s">
        <v>101</v>
      </c>
      <c r="D636" s="12"/>
      <c r="E636" s="14" t="s">
        <v>60</v>
      </c>
      <c r="F636" s="14" t="s">
        <v>72</v>
      </c>
      <c r="G636" s="12"/>
      <c r="H636" s="17" t="s">
        <v>1099</v>
      </c>
      <c r="I636" s="17" t="s">
        <v>74</v>
      </c>
      <c r="J636" s="14" t="s">
        <v>2055</v>
      </c>
      <c r="K636" s="24">
        <v>32</v>
      </c>
      <c r="L636" s="18">
        <v>1450</v>
      </c>
      <c r="M636" s="14" t="s">
        <v>197</v>
      </c>
      <c r="N636" s="24">
        <v>3.9</v>
      </c>
      <c r="O636" s="30" t="str">
        <f t="shared" ref="O636:O637" si="96">HYPERLINK("https://admissions.creighton.edu/admissions-information/scholarships","https://admissions.creighton.edu/admissions-information/scholarships")</f>
        <v>https://admissions.creighton.edu/admissions-information/scholarships</v>
      </c>
      <c r="P636" s="33">
        <v>37606</v>
      </c>
      <c r="Q636" s="25">
        <v>0.7</v>
      </c>
      <c r="R636" s="14" t="s">
        <v>687</v>
      </c>
      <c r="S636" s="14" t="s">
        <v>2056</v>
      </c>
      <c r="T636" s="12"/>
      <c r="U636" s="12">
        <v>3.77</v>
      </c>
      <c r="V636" s="12"/>
      <c r="W636" s="12"/>
      <c r="X636" s="12"/>
      <c r="Y636" s="12"/>
      <c r="Z636" s="12"/>
      <c r="AA636" s="12"/>
    </row>
    <row r="637" spans="1:27" ht="158.25" customHeight="1" x14ac:dyDescent="0.2">
      <c r="A637" s="23" t="s">
        <v>2053</v>
      </c>
      <c r="B637" s="14" t="s">
        <v>2054</v>
      </c>
      <c r="C637" s="14" t="s">
        <v>101</v>
      </c>
      <c r="D637" s="12"/>
      <c r="E637" s="14" t="s">
        <v>724</v>
      </c>
      <c r="F637" s="14" t="s">
        <v>145</v>
      </c>
      <c r="G637" s="12"/>
      <c r="H637" s="17" t="s">
        <v>157</v>
      </c>
      <c r="I637" s="17" t="s">
        <v>74</v>
      </c>
      <c r="J637" s="14" t="s">
        <v>2057</v>
      </c>
      <c r="K637" s="24"/>
      <c r="L637" s="24"/>
      <c r="M637" s="14"/>
      <c r="N637" s="24"/>
      <c r="O637" s="30" t="str">
        <f t="shared" si="96"/>
        <v>https://admissions.creighton.edu/admissions-information/scholarships</v>
      </c>
      <c r="P637" s="33">
        <v>37606</v>
      </c>
      <c r="Q637" s="25">
        <v>0.7</v>
      </c>
      <c r="R637" s="14" t="s">
        <v>687</v>
      </c>
      <c r="S637" s="14" t="s">
        <v>2056</v>
      </c>
      <c r="T637" s="12"/>
      <c r="U637" s="12">
        <v>3.77</v>
      </c>
      <c r="V637" s="12"/>
      <c r="W637" s="12"/>
      <c r="X637" s="12"/>
      <c r="Y637" s="12"/>
      <c r="Z637" s="12"/>
      <c r="AA637" s="12"/>
    </row>
    <row r="638" spans="1:27" ht="231" customHeight="1" x14ac:dyDescent="0.2">
      <c r="A638" s="23" t="s">
        <v>2053</v>
      </c>
      <c r="B638" s="14" t="s">
        <v>2058</v>
      </c>
      <c r="C638" s="14" t="s">
        <v>101</v>
      </c>
      <c r="D638" s="87"/>
      <c r="E638" s="14" t="s">
        <v>111</v>
      </c>
      <c r="F638" s="14" t="s">
        <v>72</v>
      </c>
      <c r="G638" s="87"/>
      <c r="H638" s="203" t="s">
        <v>250</v>
      </c>
      <c r="I638" s="203" t="s">
        <v>74</v>
      </c>
      <c r="J638" s="87" t="s">
        <v>2059</v>
      </c>
      <c r="K638" s="24">
        <v>27</v>
      </c>
      <c r="L638" s="18">
        <v>1220</v>
      </c>
      <c r="M638" s="16" t="s">
        <v>76</v>
      </c>
      <c r="N638" s="87">
        <v>3.5</v>
      </c>
      <c r="O638" s="49" t="str">
        <f>HYPERLINK("https://www.nebrwesleyan.edu/about-nwu/financial-aid-office/scholarships-and-grants/first-year-scholarships/huge-nwu-scholarship","https://www.nebrwesleyan.edu/about-nwu/financial-aid-office/scholarships-and-grants/first-year-scholarships/huge-nwu-scholarship")</f>
        <v>https://www.nebrwesleyan.edu/about-nwu/financial-aid-office/scholarships-and-grants/first-year-scholarships/huge-nwu-scholarship</v>
      </c>
      <c r="P638" s="33">
        <v>31394</v>
      </c>
      <c r="Q638" s="25">
        <v>0.78</v>
      </c>
      <c r="R638" s="204" t="s">
        <v>142</v>
      </c>
      <c r="S638" s="204" t="s">
        <v>2060</v>
      </c>
      <c r="T638" s="87"/>
      <c r="U638" s="87">
        <v>3.65</v>
      </c>
      <c r="V638" s="87"/>
      <c r="W638" s="87"/>
      <c r="X638" s="87"/>
      <c r="Y638" s="87"/>
      <c r="Z638" s="87"/>
      <c r="AA638" s="87"/>
    </row>
    <row r="639" spans="1:27" ht="90" customHeight="1" x14ac:dyDescent="0.2">
      <c r="A639" s="23" t="s">
        <v>2053</v>
      </c>
      <c r="B639" s="14" t="s">
        <v>1291</v>
      </c>
      <c r="C639" s="14" t="s">
        <v>101</v>
      </c>
      <c r="D639" s="12"/>
      <c r="E639" s="14" t="s">
        <v>177</v>
      </c>
      <c r="F639" s="14" t="s">
        <v>61</v>
      </c>
      <c r="G639" s="14" t="s">
        <v>186</v>
      </c>
      <c r="H639" s="16" t="s">
        <v>62</v>
      </c>
      <c r="I639" s="16" t="s">
        <v>74</v>
      </c>
      <c r="J639" s="16" t="s">
        <v>2061</v>
      </c>
      <c r="K639" s="24">
        <v>33</v>
      </c>
      <c r="L639" s="24">
        <v>1500</v>
      </c>
      <c r="M639" s="12"/>
      <c r="N639" s="24">
        <v>3.9</v>
      </c>
      <c r="O639" s="30" t="str">
        <f>HYPERLINK("https://www.ucollege.edu/international-finances","https://www.ucollege.edu/international-finances")</f>
        <v>https://www.ucollege.edu/international-finances</v>
      </c>
      <c r="P639" s="33">
        <v>22538</v>
      </c>
      <c r="Q639" s="25">
        <v>0.56000000000000005</v>
      </c>
      <c r="R639" s="34" t="s">
        <v>67</v>
      </c>
      <c r="S639" s="34" t="s">
        <v>2062</v>
      </c>
      <c r="T639" s="12"/>
      <c r="U639" s="12">
        <v>3.45</v>
      </c>
      <c r="V639" s="12"/>
      <c r="W639" s="12"/>
      <c r="X639" s="12"/>
      <c r="Y639" s="12"/>
      <c r="Z639" s="12"/>
      <c r="AA639" s="12"/>
    </row>
    <row r="640" spans="1:27" ht="90" customHeight="1" x14ac:dyDescent="0.2">
      <c r="A640" s="23" t="s">
        <v>2053</v>
      </c>
      <c r="B640" s="14" t="s">
        <v>1291</v>
      </c>
      <c r="C640" s="14" t="s">
        <v>101</v>
      </c>
      <c r="D640" s="12"/>
      <c r="E640" s="14" t="s">
        <v>177</v>
      </c>
      <c r="F640" s="14" t="s">
        <v>61</v>
      </c>
      <c r="G640" s="12"/>
      <c r="H640" s="17" t="s">
        <v>62</v>
      </c>
      <c r="I640" s="17" t="s">
        <v>74</v>
      </c>
      <c r="J640" s="16" t="s">
        <v>2063</v>
      </c>
      <c r="K640" s="24">
        <v>33</v>
      </c>
      <c r="L640" s="24">
        <v>1500</v>
      </c>
      <c r="M640" s="12"/>
      <c r="N640" s="24">
        <v>3.9</v>
      </c>
      <c r="O640" s="30" t="str">
        <f>HYPERLINK("https://www.ucollege.edu/admissions/financing-your-education/scholarships","https://www.ucollege.edu/admissions/financing-your-education/scholarships")</f>
        <v>https://www.ucollege.edu/admissions/financing-your-education/scholarships</v>
      </c>
      <c r="P640" s="33">
        <v>22538</v>
      </c>
      <c r="Q640" s="25">
        <v>0.56000000000000005</v>
      </c>
      <c r="R640" s="34" t="s">
        <v>67</v>
      </c>
      <c r="S640" s="34" t="s">
        <v>2062</v>
      </c>
      <c r="T640" s="12"/>
      <c r="U640" s="12">
        <v>3.45</v>
      </c>
      <c r="V640" s="12"/>
      <c r="W640" s="12"/>
      <c r="X640" s="12"/>
      <c r="Y640" s="12"/>
      <c r="Z640" s="12"/>
      <c r="AA640" s="12"/>
    </row>
    <row r="641" spans="1:27" ht="111" customHeight="1" x14ac:dyDescent="0.2">
      <c r="A641" s="23" t="s">
        <v>2053</v>
      </c>
      <c r="B641" s="14" t="s">
        <v>2064</v>
      </c>
      <c r="C641" s="14" t="s">
        <v>59</v>
      </c>
      <c r="D641" s="14" t="s">
        <v>98</v>
      </c>
      <c r="E641" s="14" t="s">
        <v>177</v>
      </c>
      <c r="F641" s="16" t="s">
        <v>61</v>
      </c>
      <c r="G641" s="12"/>
      <c r="H641" s="17" t="s">
        <v>62</v>
      </c>
      <c r="I641" s="17" t="s">
        <v>63</v>
      </c>
      <c r="J641" s="14" t="s">
        <v>2065</v>
      </c>
      <c r="K641" s="17"/>
      <c r="L641" s="12"/>
      <c r="M641" s="12"/>
      <c r="N641" s="17"/>
      <c r="O641" s="30" t="str">
        <f>HYPERLINK("http://www.unk.edu/offices/financial_aid/resident-academic-merit-scholarships.php","http://www.unk.edu/offices/financial_aid/resident-academic-merit-scholarships.php")</f>
        <v>http://www.unk.edu/offices/financial_aid/resident-academic-merit-scholarships.php</v>
      </c>
      <c r="P641" s="14" t="s">
        <v>2066</v>
      </c>
      <c r="Q641" s="25">
        <v>0.85</v>
      </c>
      <c r="R641" s="14" t="s">
        <v>124</v>
      </c>
      <c r="S641" s="14" t="s">
        <v>2067</v>
      </c>
      <c r="T641" s="12"/>
      <c r="U641" s="12">
        <v>3.47</v>
      </c>
      <c r="V641" s="12"/>
      <c r="W641" s="12"/>
      <c r="X641" s="12"/>
      <c r="Y641" s="12"/>
      <c r="Z641" s="12"/>
      <c r="AA641" s="12"/>
    </row>
    <row r="642" spans="1:27" ht="111" customHeight="1" x14ac:dyDescent="0.2">
      <c r="A642" s="23" t="s">
        <v>2053</v>
      </c>
      <c r="B642" s="14" t="s">
        <v>2064</v>
      </c>
      <c r="C642" s="14" t="s">
        <v>59</v>
      </c>
      <c r="D642" s="12"/>
      <c r="E642" s="16" t="s">
        <v>2068</v>
      </c>
      <c r="F642" s="14" t="s">
        <v>72</v>
      </c>
      <c r="G642" s="12"/>
      <c r="H642" s="17" t="s">
        <v>2069</v>
      </c>
      <c r="I642" s="17" t="s">
        <v>2070</v>
      </c>
      <c r="J642" s="14" t="s">
        <v>2071</v>
      </c>
      <c r="K642" s="12"/>
      <c r="L642" s="12"/>
      <c r="M642" s="12"/>
      <c r="N642" s="12"/>
      <c r="O642" s="30" t="str">
        <f>HYPERLINK("http://www.unk.edu/academics/military_science/scholarships.php","http://www.unk.edu/academics/military_science/scholarships.php")</f>
        <v>http://www.unk.edu/academics/military_science/scholarships.php</v>
      </c>
      <c r="P642" s="14" t="s">
        <v>2066</v>
      </c>
      <c r="Q642" s="25">
        <v>0.85</v>
      </c>
      <c r="R642" s="14" t="s">
        <v>124</v>
      </c>
      <c r="S642" s="14" t="s">
        <v>2067</v>
      </c>
      <c r="T642" s="12"/>
      <c r="U642" s="12">
        <v>3.47</v>
      </c>
      <c r="V642" s="12"/>
      <c r="W642" s="12"/>
      <c r="X642" s="12"/>
      <c r="Y642" s="12"/>
      <c r="Z642" s="12"/>
      <c r="AA642" s="12"/>
    </row>
    <row r="643" spans="1:27" ht="252.75" customHeight="1" x14ac:dyDescent="0.2">
      <c r="A643" s="23" t="s">
        <v>2053</v>
      </c>
      <c r="B643" s="14" t="s">
        <v>2064</v>
      </c>
      <c r="C643" s="14" t="s">
        <v>59</v>
      </c>
      <c r="D643" s="12"/>
      <c r="E643" s="14" t="s">
        <v>177</v>
      </c>
      <c r="F643" s="14" t="s">
        <v>72</v>
      </c>
      <c r="G643" s="12"/>
      <c r="H643" s="17" t="s">
        <v>2072</v>
      </c>
      <c r="I643" s="17" t="s">
        <v>2070</v>
      </c>
      <c r="J643" s="14" t="s">
        <v>2073</v>
      </c>
      <c r="K643" s="12"/>
      <c r="L643" s="12"/>
      <c r="M643" s="12"/>
      <c r="N643" s="12"/>
      <c r="O643" s="30" t="str">
        <f>HYPERLINK("http://www.unk.edu/offices/financial_aid/separate-application-scholarships.php","http://www.unk.edu/offices/financial_aid/separate-application-scholarships.php")</f>
        <v>http://www.unk.edu/offices/financial_aid/separate-application-scholarships.php</v>
      </c>
      <c r="P643" s="14" t="s">
        <v>2066</v>
      </c>
      <c r="Q643" s="25">
        <v>0.85</v>
      </c>
      <c r="R643" s="14" t="s">
        <v>124</v>
      </c>
      <c r="S643" s="14" t="s">
        <v>2067</v>
      </c>
      <c r="T643" s="12"/>
      <c r="U643" s="12">
        <v>3.47</v>
      </c>
      <c r="V643" s="12"/>
      <c r="W643" s="12"/>
      <c r="X643" s="12"/>
      <c r="Y643" s="12"/>
      <c r="Z643" s="12"/>
      <c r="AA643" s="12"/>
    </row>
    <row r="644" spans="1:27" ht="111" customHeight="1" x14ac:dyDescent="0.2">
      <c r="A644" s="23" t="s">
        <v>2053</v>
      </c>
      <c r="B644" s="14" t="s">
        <v>2064</v>
      </c>
      <c r="C644" s="14" t="s">
        <v>59</v>
      </c>
      <c r="D644" s="12"/>
      <c r="E644" s="14" t="s">
        <v>82</v>
      </c>
      <c r="F644" s="16" t="s">
        <v>145</v>
      </c>
      <c r="G644" s="12"/>
      <c r="H644" s="17" t="s">
        <v>157</v>
      </c>
      <c r="I644" s="17" t="s">
        <v>2070</v>
      </c>
      <c r="J644" s="14" t="s">
        <v>489</v>
      </c>
      <c r="K644" s="12"/>
      <c r="L644" s="12"/>
      <c r="M644" s="12"/>
      <c r="N644" s="12">
        <v>2.5</v>
      </c>
      <c r="O644" s="30" t="str">
        <f>HYPERLINK("http://www.unk.edu/academics/military_science/scholarships.php","http://www.unk.edu/academics/military_science/scholarships.php")</f>
        <v>http://www.unk.edu/academics/military_science/scholarships.php</v>
      </c>
      <c r="P644" s="14" t="s">
        <v>2066</v>
      </c>
      <c r="Q644" s="25">
        <v>0.85</v>
      </c>
      <c r="R644" s="14" t="s">
        <v>124</v>
      </c>
      <c r="S644" s="14" t="s">
        <v>2067</v>
      </c>
      <c r="T644" s="12"/>
      <c r="U644" s="12">
        <v>3.47</v>
      </c>
      <c r="V644" s="12"/>
      <c r="W644" s="12"/>
      <c r="X644" s="12"/>
      <c r="Y644" s="12"/>
      <c r="Z644" s="12"/>
      <c r="AA644" s="12"/>
    </row>
    <row r="645" spans="1:27" ht="142.5" customHeight="1" x14ac:dyDescent="0.2">
      <c r="A645" s="23" t="s">
        <v>2053</v>
      </c>
      <c r="B645" s="14" t="s">
        <v>2064</v>
      </c>
      <c r="C645" s="14" t="s">
        <v>59</v>
      </c>
      <c r="D645" s="14" t="s">
        <v>334</v>
      </c>
      <c r="E645" s="14" t="s">
        <v>60</v>
      </c>
      <c r="F645" s="16" t="s">
        <v>61</v>
      </c>
      <c r="G645" s="12"/>
      <c r="H645" s="17" t="s">
        <v>62</v>
      </c>
      <c r="I645" s="17" t="s">
        <v>63</v>
      </c>
      <c r="J645" s="16" t="s">
        <v>2074</v>
      </c>
      <c r="K645" s="12"/>
      <c r="L645" s="12"/>
      <c r="M645" s="12"/>
      <c r="N645" s="12"/>
      <c r="O645" s="30" t="str">
        <f>HYPERLINK("http://www.unk.edu/offices/financial_aid/non-resident-academic-merit-scholarships.php","http://www.unk.edu/offices/financial_aid/non-resident-academic-merit-scholarships.php")</f>
        <v>http://www.unk.edu/offices/financial_aid/non-resident-academic-merit-scholarships.php</v>
      </c>
      <c r="P645" s="14" t="s">
        <v>2066</v>
      </c>
      <c r="Q645" s="25">
        <v>0.85</v>
      </c>
      <c r="R645" s="14" t="s">
        <v>124</v>
      </c>
      <c r="S645" s="14" t="s">
        <v>2067</v>
      </c>
      <c r="T645" s="12"/>
      <c r="U645" s="12">
        <v>3.47</v>
      </c>
      <c r="V645" s="12"/>
      <c r="W645" s="12"/>
      <c r="X645" s="12"/>
      <c r="Y645" s="12"/>
      <c r="Z645" s="12"/>
      <c r="AA645" s="12"/>
    </row>
    <row r="646" spans="1:27" ht="111" customHeight="1" x14ac:dyDescent="0.2">
      <c r="A646" s="23" t="s">
        <v>2053</v>
      </c>
      <c r="B646" s="14" t="s">
        <v>2064</v>
      </c>
      <c r="C646" s="14" t="s">
        <v>59</v>
      </c>
      <c r="D646" s="12"/>
      <c r="E646" s="14" t="s">
        <v>82</v>
      </c>
      <c r="F646" s="14" t="s">
        <v>72</v>
      </c>
      <c r="G646" s="12"/>
      <c r="H646" s="17" t="s">
        <v>2075</v>
      </c>
      <c r="I646" s="138" t="s">
        <v>2076</v>
      </c>
      <c r="J646" s="14" t="s">
        <v>2077</v>
      </c>
      <c r="K646" s="24">
        <v>30</v>
      </c>
      <c r="L646" s="12"/>
      <c r="M646" s="12"/>
      <c r="N646" s="12"/>
      <c r="O646" s="30" t="str">
        <f>HYPERLINK("http://www.unk.edu/academics/honors/prospective-students/scholarships.php","http://www.unk.edu/academics/honors/prospective-students/scholarships.php")</f>
        <v>http://www.unk.edu/academics/honors/prospective-students/scholarships.php</v>
      </c>
      <c r="P646" s="14" t="s">
        <v>2066</v>
      </c>
      <c r="Q646" s="25">
        <v>0.85</v>
      </c>
      <c r="R646" s="14" t="s">
        <v>124</v>
      </c>
      <c r="S646" s="14" t="s">
        <v>2067</v>
      </c>
      <c r="T646" s="12"/>
      <c r="U646" s="12">
        <v>3.47</v>
      </c>
      <c r="V646" s="12"/>
      <c r="W646" s="12"/>
      <c r="X646" s="12"/>
      <c r="Y646" s="12"/>
      <c r="Z646" s="12"/>
      <c r="AA646" s="12"/>
    </row>
    <row r="647" spans="1:27" ht="189.75" customHeight="1" x14ac:dyDescent="0.2">
      <c r="A647" s="23" t="s">
        <v>2053</v>
      </c>
      <c r="B647" s="14" t="s">
        <v>2078</v>
      </c>
      <c r="C647" s="14" t="s">
        <v>59</v>
      </c>
      <c r="D647" s="14"/>
      <c r="E647" s="14" t="s">
        <v>82</v>
      </c>
      <c r="F647" s="16" t="s">
        <v>145</v>
      </c>
      <c r="G647" s="12"/>
      <c r="H647" s="17" t="s">
        <v>157</v>
      </c>
      <c r="I647" s="17" t="s">
        <v>74</v>
      </c>
      <c r="J647" s="14" t="s">
        <v>2079</v>
      </c>
      <c r="K647" s="12"/>
      <c r="L647" s="12"/>
      <c r="M647" s="12"/>
      <c r="N647" s="12"/>
      <c r="O647" s="30" t="str">
        <f>HYPERLINK("http://financialaid.unl.edu/ROTC_scholarships.shtml","http://financialaid.unl.edu/ROTC_scholarships.shtml")</f>
        <v>http://financialaid.unl.edu/ROTC_scholarships.shtml</v>
      </c>
      <c r="P647" s="14" t="s">
        <v>2080</v>
      </c>
      <c r="Q647" s="25">
        <v>0.76</v>
      </c>
      <c r="R647" s="14" t="s">
        <v>224</v>
      </c>
      <c r="S647" s="14" t="s">
        <v>2081</v>
      </c>
      <c r="T647" s="12"/>
      <c r="U647" s="12">
        <v>3.65</v>
      </c>
      <c r="V647" s="12"/>
      <c r="W647" s="12"/>
      <c r="X647" s="12"/>
      <c r="Y647" s="12"/>
      <c r="Z647" s="12"/>
      <c r="AA647" s="12"/>
    </row>
    <row r="648" spans="1:27" ht="142.5" customHeight="1" x14ac:dyDescent="0.2">
      <c r="A648" s="23" t="s">
        <v>2053</v>
      </c>
      <c r="B648" s="14" t="s">
        <v>2078</v>
      </c>
      <c r="C648" s="14" t="s">
        <v>59</v>
      </c>
      <c r="D648" s="14" t="s">
        <v>98</v>
      </c>
      <c r="E648" s="14" t="s">
        <v>177</v>
      </c>
      <c r="F648" s="14" t="s">
        <v>72</v>
      </c>
      <c r="G648" s="12"/>
      <c r="H648" s="17" t="s">
        <v>239</v>
      </c>
      <c r="I648" s="17" t="s">
        <v>74</v>
      </c>
      <c r="J648" s="14" t="s">
        <v>2082</v>
      </c>
      <c r="K648" s="12"/>
      <c r="L648" s="12"/>
      <c r="M648" s="12"/>
      <c r="N648" s="12"/>
      <c r="O648" s="30" t="str">
        <f>HYPERLINK("http://financialaid.unl.edu/All-University.shtml","http://financialaid.unl.edu/All-University.shtml")</f>
        <v>http://financialaid.unl.edu/All-University.shtml</v>
      </c>
      <c r="P648" s="14" t="s">
        <v>2080</v>
      </c>
      <c r="Q648" s="25">
        <v>0.76</v>
      </c>
      <c r="R648" s="14" t="s">
        <v>224</v>
      </c>
      <c r="S648" s="14" t="s">
        <v>2081</v>
      </c>
      <c r="T648" s="12"/>
      <c r="U648" s="12">
        <v>3.65</v>
      </c>
      <c r="V648" s="12"/>
      <c r="W648" s="12"/>
      <c r="X648" s="12"/>
      <c r="Y648" s="12"/>
      <c r="Z648" s="12"/>
      <c r="AA648" s="12"/>
    </row>
    <row r="649" spans="1:27" ht="189.75" customHeight="1" x14ac:dyDescent="0.2">
      <c r="A649" s="23" t="s">
        <v>2053</v>
      </c>
      <c r="B649" s="14" t="s">
        <v>2078</v>
      </c>
      <c r="C649" s="14" t="s">
        <v>59</v>
      </c>
      <c r="D649" s="14"/>
      <c r="E649" s="14" t="s">
        <v>88</v>
      </c>
      <c r="F649" s="14" t="s">
        <v>92</v>
      </c>
      <c r="G649" s="12"/>
      <c r="H649" s="17" t="s">
        <v>93</v>
      </c>
      <c r="I649" s="17" t="s">
        <v>63</v>
      </c>
      <c r="J649" s="14" t="s">
        <v>2083</v>
      </c>
      <c r="K649" s="12"/>
      <c r="L649" s="12"/>
      <c r="M649" s="12"/>
      <c r="N649" s="12"/>
      <c r="O649" s="30" t="str">
        <f>HYPERLINK("http://financialaid.unl.edu/national_merit.shtml","http://financialaid.unl.edu/national_merit.shtml")</f>
        <v>http://financialaid.unl.edu/national_merit.shtml</v>
      </c>
      <c r="P649" s="14" t="s">
        <v>2080</v>
      </c>
      <c r="Q649" s="25">
        <v>0.76</v>
      </c>
      <c r="R649" s="14" t="s">
        <v>224</v>
      </c>
      <c r="S649" s="14" t="s">
        <v>2081</v>
      </c>
      <c r="T649" s="12"/>
      <c r="U649" s="12">
        <v>3.65</v>
      </c>
      <c r="V649" s="12"/>
      <c r="W649" s="12"/>
      <c r="X649" s="12"/>
      <c r="Y649" s="12"/>
      <c r="Z649" s="12"/>
      <c r="AA649" s="12"/>
    </row>
    <row r="650" spans="1:27" ht="111" customHeight="1" x14ac:dyDescent="0.2">
      <c r="A650" s="20" t="s">
        <v>2053</v>
      </c>
      <c r="B650" s="20" t="s">
        <v>2084</v>
      </c>
      <c r="C650" s="20" t="s">
        <v>59</v>
      </c>
      <c r="D650" s="20" t="s">
        <v>194</v>
      </c>
      <c r="E650" s="20" t="s">
        <v>177</v>
      </c>
      <c r="F650" s="188" t="s">
        <v>1803</v>
      </c>
      <c r="G650" s="12"/>
      <c r="H650" s="17" t="s">
        <v>2085</v>
      </c>
      <c r="I650" s="17" t="s">
        <v>63</v>
      </c>
      <c r="J650" s="131" t="s">
        <v>2086</v>
      </c>
      <c r="K650" s="132">
        <v>30</v>
      </c>
      <c r="L650" s="20"/>
      <c r="M650" s="20"/>
      <c r="N650" s="132">
        <v>3.5</v>
      </c>
      <c r="O650" s="133" t="str">
        <f>HYPERLINK("http://www.unomaha.edu/admissions/financial-support-and-scholarships/types-of-aid/scholarships/uno.php","http://www.unomaha.edu/admissions/financial-support-and-scholarships/types-of-aid/scholarships/uno.php")</f>
        <v>http://www.unomaha.edu/admissions/financial-support-and-scholarships/types-of-aid/scholarships/uno.php</v>
      </c>
      <c r="P650" s="20" t="s">
        <v>2087</v>
      </c>
      <c r="Q650" s="21">
        <v>0.71</v>
      </c>
      <c r="R650" s="20" t="s">
        <v>126</v>
      </c>
      <c r="S650" s="189" t="s">
        <v>148</v>
      </c>
      <c r="T650" s="12"/>
      <c r="U650" s="12"/>
      <c r="V650" s="12"/>
      <c r="W650" s="12"/>
      <c r="X650" s="12"/>
      <c r="Y650" s="12"/>
      <c r="Z650" s="12"/>
      <c r="AA650" s="12"/>
    </row>
    <row r="651" spans="1:27" ht="111" customHeight="1" x14ac:dyDescent="0.2">
      <c r="A651" s="20" t="s">
        <v>2053</v>
      </c>
      <c r="B651" s="20" t="s">
        <v>2084</v>
      </c>
      <c r="C651" s="20" t="s">
        <v>59</v>
      </c>
      <c r="D651" s="20"/>
      <c r="E651" s="205" t="s">
        <v>1327</v>
      </c>
      <c r="F651" s="205" t="s">
        <v>72</v>
      </c>
      <c r="G651" s="12"/>
      <c r="H651" s="17" t="s">
        <v>1123</v>
      </c>
      <c r="I651" s="17">
        <v>5</v>
      </c>
      <c r="J651" s="205" t="s">
        <v>2088</v>
      </c>
      <c r="K651" s="206"/>
      <c r="L651" s="193"/>
      <c r="M651" s="193"/>
      <c r="N651" s="206"/>
      <c r="O651" s="207" t="s">
        <v>2089</v>
      </c>
      <c r="P651" s="131" t="s">
        <v>2087</v>
      </c>
      <c r="Q651" s="21">
        <v>0.71</v>
      </c>
      <c r="R651" s="20" t="s">
        <v>126</v>
      </c>
      <c r="S651" s="189" t="s">
        <v>148</v>
      </c>
      <c r="T651" s="12"/>
      <c r="U651" s="12"/>
      <c r="V651" s="12"/>
      <c r="W651" s="12"/>
      <c r="X651" s="12"/>
      <c r="Y651" s="12"/>
      <c r="Z651" s="12"/>
      <c r="AA651" s="12"/>
    </row>
    <row r="652" spans="1:27" ht="111" customHeight="1" x14ac:dyDescent="0.2">
      <c r="A652" s="23" t="s">
        <v>2053</v>
      </c>
      <c r="B652" s="14" t="s">
        <v>2090</v>
      </c>
      <c r="C652" s="14" t="s">
        <v>59</v>
      </c>
      <c r="D652" s="12"/>
      <c r="E652" s="14" t="s">
        <v>111</v>
      </c>
      <c r="F652" s="16" t="s">
        <v>72</v>
      </c>
      <c r="G652" s="12"/>
      <c r="H652" s="17" t="s">
        <v>62</v>
      </c>
      <c r="I652" s="17" t="s">
        <v>74</v>
      </c>
      <c r="J652" s="14" t="s">
        <v>2091</v>
      </c>
      <c r="K652" s="24">
        <v>25</v>
      </c>
      <c r="L652" s="12"/>
      <c r="M652" s="12"/>
      <c r="N652" s="24">
        <v>3.5</v>
      </c>
      <c r="O652" s="30" t="str">
        <f>HYPERLINK("https://www.wsc.edu/directory_record/14394/neihardt_scholars_program/category/566/freshman","https://www.wsc.edu/directory_record/14394/neihardt_scholars_program/category/566/freshman")</f>
        <v>https://www.wsc.edu/directory_record/14394/neihardt_scholars_program/category/566/freshman</v>
      </c>
      <c r="P652" s="14" t="s">
        <v>2092</v>
      </c>
      <c r="Q652" s="25">
        <v>1</v>
      </c>
      <c r="R652" s="14" t="s">
        <v>442</v>
      </c>
      <c r="S652" s="14" t="s">
        <v>1184</v>
      </c>
      <c r="T652" s="12"/>
      <c r="U652" s="12">
        <v>3.2</v>
      </c>
      <c r="V652" s="12"/>
      <c r="W652" s="12"/>
      <c r="X652" s="12"/>
      <c r="Y652" s="12"/>
      <c r="Z652" s="12"/>
      <c r="AA652" s="12"/>
    </row>
    <row r="653" spans="1:27" ht="111" customHeight="1" x14ac:dyDescent="0.2">
      <c r="A653" s="23" t="s">
        <v>2053</v>
      </c>
      <c r="B653" s="14" t="s">
        <v>2090</v>
      </c>
      <c r="C653" s="14" t="s">
        <v>59</v>
      </c>
      <c r="D653" s="14" t="s">
        <v>794</v>
      </c>
      <c r="E653" s="14" t="s">
        <v>60</v>
      </c>
      <c r="F653" s="14" t="s">
        <v>72</v>
      </c>
      <c r="G653" s="12"/>
      <c r="H653" s="17" t="s">
        <v>239</v>
      </c>
      <c r="I653" s="17" t="s">
        <v>74</v>
      </c>
      <c r="J653" s="14" t="s">
        <v>2093</v>
      </c>
      <c r="K653" s="24">
        <v>25</v>
      </c>
      <c r="L653" s="12"/>
      <c r="M653" s="12"/>
      <c r="N653" s="12"/>
      <c r="O653" s="30" t="str">
        <f>HYPERLINK("https://www.wsc.edu/directory_record/14556/nscs_board_of_trustees_scholarship/category/566/freshman","https://www.wsc.edu/directory_record/14556/nscs_board_of_trustees_scholarship/category/566/freshman")</f>
        <v>https://www.wsc.edu/directory_record/14556/nscs_board_of_trustees_scholarship/category/566/freshman</v>
      </c>
      <c r="P653" s="14" t="s">
        <v>2092</v>
      </c>
      <c r="Q653" s="25">
        <v>1</v>
      </c>
      <c r="R653" s="14" t="s">
        <v>442</v>
      </c>
      <c r="S653" s="14" t="s">
        <v>1184</v>
      </c>
      <c r="T653" s="12"/>
      <c r="U653" s="12">
        <v>3.2</v>
      </c>
      <c r="V653" s="12"/>
      <c r="W653" s="12"/>
      <c r="X653" s="12"/>
      <c r="Y653" s="12"/>
      <c r="Z653" s="12"/>
      <c r="AA653" s="12"/>
    </row>
    <row r="654" spans="1:27" ht="95.25" customHeight="1" x14ac:dyDescent="0.2">
      <c r="A654" s="23" t="s">
        <v>2053</v>
      </c>
      <c r="B654" s="14" t="s">
        <v>2090</v>
      </c>
      <c r="C654" s="14" t="s">
        <v>59</v>
      </c>
      <c r="D654" s="14" t="s">
        <v>794</v>
      </c>
      <c r="E654" s="14" t="s">
        <v>60</v>
      </c>
      <c r="F654" s="14" t="s">
        <v>72</v>
      </c>
      <c r="G654" s="12"/>
      <c r="H654" s="17" t="s">
        <v>62</v>
      </c>
      <c r="I654" s="17" t="s">
        <v>74</v>
      </c>
      <c r="J654" s="14" t="s">
        <v>2094</v>
      </c>
      <c r="K654" s="24">
        <v>25</v>
      </c>
      <c r="L654" s="12"/>
      <c r="M654" s="12"/>
      <c r="N654" s="24">
        <v>3.5</v>
      </c>
      <c r="O654" s="30" t="str">
        <f>HYPERLINK("https://www.wsc.edu/directory_record/14551/omaha_world-herald_scholarship/category/566/freshman","https://www.wsc.edu/directory_record/14551/omaha_world-herald_scholarship/category/566/freshman")</f>
        <v>https://www.wsc.edu/directory_record/14551/omaha_world-herald_scholarship/category/566/freshman</v>
      </c>
      <c r="P654" s="14" t="s">
        <v>2092</v>
      </c>
      <c r="Q654" s="25">
        <v>1</v>
      </c>
      <c r="R654" s="14" t="s">
        <v>442</v>
      </c>
      <c r="S654" s="14" t="s">
        <v>1184</v>
      </c>
      <c r="T654" s="12"/>
      <c r="U654" s="12">
        <v>3.2</v>
      </c>
      <c r="V654" s="12"/>
      <c r="W654" s="12"/>
      <c r="X654" s="12"/>
      <c r="Y654" s="12"/>
      <c r="Z654" s="12"/>
      <c r="AA654" s="12"/>
    </row>
    <row r="655" spans="1:27" ht="95.25" customHeight="1" x14ac:dyDescent="0.2">
      <c r="A655" s="23" t="s">
        <v>2053</v>
      </c>
      <c r="B655" s="14" t="s">
        <v>2090</v>
      </c>
      <c r="C655" s="14" t="s">
        <v>59</v>
      </c>
      <c r="D655" s="12"/>
      <c r="E655" s="14" t="s">
        <v>60</v>
      </c>
      <c r="F655" s="14" t="s">
        <v>72</v>
      </c>
      <c r="G655" s="12"/>
      <c r="H655" s="17" t="s">
        <v>239</v>
      </c>
      <c r="I655" s="17" t="s">
        <v>74</v>
      </c>
      <c r="J655" s="14" t="s">
        <v>1351</v>
      </c>
      <c r="K655" s="12"/>
      <c r="L655" s="12"/>
      <c r="M655" s="12"/>
      <c r="N655" s="12"/>
      <c r="O655" s="30" t="str">
        <f>HYPERLINK("https://www.wsc.edu/directory_record/14550/presidential_scholarship/category/566/freshman","https://www.wsc.edu/directory_record/14550/presidential_scholarship/category/566/freshman")</f>
        <v>https://www.wsc.edu/directory_record/14550/presidential_scholarship/category/566/freshman</v>
      </c>
      <c r="P655" s="14" t="s">
        <v>2092</v>
      </c>
      <c r="Q655" s="25">
        <v>1</v>
      </c>
      <c r="R655" s="14" t="s">
        <v>442</v>
      </c>
      <c r="S655" s="14" t="s">
        <v>1184</v>
      </c>
      <c r="T655" s="12"/>
      <c r="U655" s="12">
        <v>3.2</v>
      </c>
      <c r="V655" s="12"/>
      <c r="W655" s="12"/>
      <c r="X655" s="12"/>
      <c r="Y655" s="12"/>
      <c r="Z655" s="12"/>
      <c r="AA655" s="12"/>
    </row>
    <row r="656" spans="1:27" ht="95.25" customHeight="1" x14ac:dyDescent="0.2">
      <c r="A656" s="23" t="s">
        <v>2053</v>
      </c>
      <c r="B656" s="14" t="s">
        <v>2090</v>
      </c>
      <c r="C656" s="14" t="s">
        <v>59</v>
      </c>
      <c r="D656" s="14" t="s">
        <v>794</v>
      </c>
      <c r="E656" s="14" t="s">
        <v>60</v>
      </c>
      <c r="F656" s="14" t="s">
        <v>72</v>
      </c>
      <c r="G656" s="12"/>
      <c r="H656" s="17" t="s">
        <v>2095</v>
      </c>
      <c r="I656" s="17" t="s">
        <v>74</v>
      </c>
      <c r="J656" s="16" t="s">
        <v>2096</v>
      </c>
      <c r="K656" s="12"/>
      <c r="L656" s="12"/>
      <c r="M656" s="12"/>
      <c r="N656" s="12"/>
      <c r="O656" s="30" t="str">
        <f>HYPERLINK("https://www.wsc.edu/directory_record/14554/rural_health_opportunities_program_rhop/category/566/freshman","https://www.wsc.edu/directory_record/14554/rural_health_opportunities_program_rhop/category/566/freshman")</f>
        <v>https://www.wsc.edu/directory_record/14554/rural_health_opportunities_program_rhop/category/566/freshman</v>
      </c>
      <c r="P656" s="14" t="s">
        <v>2092</v>
      </c>
      <c r="Q656" s="25">
        <v>1</v>
      </c>
      <c r="R656" s="14" t="s">
        <v>442</v>
      </c>
      <c r="S656" s="14" t="s">
        <v>1184</v>
      </c>
      <c r="T656" s="12"/>
      <c r="U656" s="12">
        <v>3.2</v>
      </c>
      <c r="V656" s="12"/>
      <c r="W656" s="12"/>
      <c r="X656" s="12"/>
      <c r="Y656" s="12"/>
      <c r="Z656" s="12"/>
      <c r="AA656" s="12"/>
    </row>
    <row r="657" spans="1:27" ht="111" customHeight="1" x14ac:dyDescent="0.2">
      <c r="A657" s="23" t="s">
        <v>2097</v>
      </c>
      <c r="B657" s="14" t="s">
        <v>2098</v>
      </c>
      <c r="C657" s="14" t="s">
        <v>101</v>
      </c>
      <c r="D657" s="12"/>
      <c r="E657" s="14" t="s">
        <v>2099</v>
      </c>
      <c r="F657" s="14" t="s">
        <v>72</v>
      </c>
      <c r="G657" s="12"/>
      <c r="H657" s="17" t="s">
        <v>62</v>
      </c>
      <c r="I657" s="17" t="s">
        <v>74</v>
      </c>
      <c r="J657" s="14" t="s">
        <v>2100</v>
      </c>
      <c r="K657" s="24">
        <v>19</v>
      </c>
      <c r="L657" s="24">
        <v>980</v>
      </c>
      <c r="M657" s="16" t="s">
        <v>76</v>
      </c>
      <c r="N657" s="24">
        <v>3</v>
      </c>
      <c r="O657" s="30" t="str">
        <f t="shared" ref="O657:O658" si="97">HYPERLINK("http://www.bloomfield.edu/admission/scholarships","http://www.bloomfield.edu/admission/scholarships")</f>
        <v>http://www.bloomfield.edu/admission/scholarships</v>
      </c>
      <c r="P657" s="33">
        <v>28600</v>
      </c>
      <c r="Q657" s="25">
        <v>0.6</v>
      </c>
      <c r="R657" s="52" t="s">
        <v>148</v>
      </c>
      <c r="S657" s="34" t="s">
        <v>2101</v>
      </c>
      <c r="T657" s="12"/>
      <c r="U657" s="12">
        <v>2.68</v>
      </c>
      <c r="V657" s="12"/>
      <c r="W657" s="12"/>
      <c r="X657" s="12"/>
      <c r="Y657" s="12"/>
      <c r="Z657" s="12"/>
      <c r="AA657" s="12"/>
    </row>
    <row r="658" spans="1:27" ht="111" customHeight="1" x14ac:dyDescent="0.2">
      <c r="A658" s="23" t="s">
        <v>2097</v>
      </c>
      <c r="B658" s="14" t="s">
        <v>2098</v>
      </c>
      <c r="C658" s="14" t="s">
        <v>101</v>
      </c>
      <c r="D658" s="12"/>
      <c r="E658" s="14" t="s">
        <v>2102</v>
      </c>
      <c r="F658" s="14" t="s">
        <v>72</v>
      </c>
      <c r="G658" s="12"/>
      <c r="H658" s="17" t="s">
        <v>62</v>
      </c>
      <c r="I658" s="17" t="s">
        <v>74</v>
      </c>
      <c r="J658" s="14" t="s">
        <v>2103</v>
      </c>
      <c r="K658" s="24">
        <v>19</v>
      </c>
      <c r="L658" s="24">
        <v>980</v>
      </c>
      <c r="M658" s="16" t="s">
        <v>76</v>
      </c>
      <c r="N658" s="24">
        <v>3.6</v>
      </c>
      <c r="O658" s="30" t="str">
        <f t="shared" si="97"/>
        <v>http://www.bloomfield.edu/admission/scholarships</v>
      </c>
      <c r="P658" s="33">
        <v>28600</v>
      </c>
      <c r="Q658" s="25">
        <v>0.6</v>
      </c>
      <c r="R658" s="52" t="s">
        <v>148</v>
      </c>
      <c r="S658" s="34" t="s">
        <v>2101</v>
      </c>
      <c r="T658" s="12"/>
      <c r="U658" s="12">
        <v>2.68</v>
      </c>
      <c r="V658" s="12"/>
      <c r="W658" s="12"/>
      <c r="X658" s="12"/>
      <c r="Y658" s="12"/>
      <c r="Z658" s="12"/>
      <c r="AA658" s="12"/>
    </row>
    <row r="659" spans="1:27" ht="142.5" customHeight="1" x14ac:dyDescent="0.2">
      <c r="A659" s="23" t="s">
        <v>2097</v>
      </c>
      <c r="B659" s="14" t="s">
        <v>2104</v>
      </c>
      <c r="C659" s="14" t="s">
        <v>101</v>
      </c>
      <c r="D659" s="12"/>
      <c r="E659" s="14" t="s">
        <v>243</v>
      </c>
      <c r="F659" s="14" t="s">
        <v>72</v>
      </c>
      <c r="G659" s="12"/>
      <c r="H659" s="17" t="s">
        <v>2105</v>
      </c>
      <c r="I659" s="17" t="s">
        <v>74</v>
      </c>
      <c r="J659" s="14" t="s">
        <v>2106</v>
      </c>
      <c r="K659" s="12"/>
      <c r="L659" s="18">
        <v>1270</v>
      </c>
      <c r="M659" s="16" t="s">
        <v>76</v>
      </c>
      <c r="N659" s="12"/>
      <c r="O659" s="30" t="str">
        <f>HYPERLINK("http://www.caldwell.edu/financial-aid/scholarships-and-grants","http://www.caldwell.edu/financial-aid/scholarships-and-grants")</f>
        <v>http://www.caldwell.edu/financial-aid/scholarships-and-grants</v>
      </c>
      <c r="P659" s="33">
        <v>32800</v>
      </c>
      <c r="Q659" s="93">
        <v>0.64</v>
      </c>
      <c r="R659" s="23" t="s">
        <v>259</v>
      </c>
      <c r="S659" s="14" t="s">
        <v>2107</v>
      </c>
      <c r="T659" s="12"/>
      <c r="U659" s="12">
        <v>3.44</v>
      </c>
      <c r="V659" s="12"/>
      <c r="W659" s="12"/>
      <c r="X659" s="12"/>
      <c r="Y659" s="12"/>
      <c r="Z659" s="12"/>
      <c r="AA659" s="12"/>
    </row>
    <row r="660" spans="1:27" ht="111" customHeight="1" x14ac:dyDescent="0.2">
      <c r="A660" s="23" t="s">
        <v>2097</v>
      </c>
      <c r="B660" s="14" t="s">
        <v>2108</v>
      </c>
      <c r="C660" s="14" t="s">
        <v>59</v>
      </c>
      <c r="D660" s="12"/>
      <c r="E660" s="14" t="s">
        <v>60</v>
      </c>
      <c r="F660" s="14" t="s">
        <v>145</v>
      </c>
      <c r="G660" s="12"/>
      <c r="H660" s="17" t="s">
        <v>157</v>
      </c>
      <c r="I660" s="17" t="s">
        <v>74</v>
      </c>
      <c r="J660" s="14" t="s">
        <v>2109</v>
      </c>
      <c r="K660" s="12"/>
      <c r="L660" s="12"/>
      <c r="M660" s="12"/>
      <c r="N660" s="12"/>
      <c r="O660" s="30" t="str">
        <f t="shared" ref="O660:O661" si="98">HYPERLINK("http://admissions.tcnj.edu/resources-for/scholarshipopportunities/","http://admissions.tcnj.edu/resources-for/scholarshipopportunities/")</f>
        <v>http://admissions.tcnj.edu/resources-for/scholarshipopportunities/</v>
      </c>
      <c r="P660" s="14" t="s">
        <v>2110</v>
      </c>
      <c r="Q660" s="93">
        <v>0.49</v>
      </c>
      <c r="R660" s="23" t="s">
        <v>490</v>
      </c>
      <c r="S660" s="14" t="s">
        <v>2111</v>
      </c>
      <c r="T660" s="12"/>
      <c r="U660" s="12" t="s">
        <v>81</v>
      </c>
      <c r="V660" s="12"/>
      <c r="W660" s="12"/>
      <c r="X660" s="12"/>
      <c r="Y660" s="12"/>
      <c r="Z660" s="12"/>
      <c r="AA660" s="12"/>
    </row>
    <row r="661" spans="1:27" ht="126.75" customHeight="1" x14ac:dyDescent="0.2">
      <c r="A661" s="23" t="s">
        <v>2097</v>
      </c>
      <c r="B661" s="14" t="s">
        <v>2108</v>
      </c>
      <c r="C661" s="14" t="s">
        <v>59</v>
      </c>
      <c r="D661" s="17" t="s">
        <v>2112</v>
      </c>
      <c r="E661" s="14" t="s">
        <v>2113</v>
      </c>
      <c r="F661" s="14" t="s">
        <v>61</v>
      </c>
      <c r="G661" s="12"/>
      <c r="H661" s="17" t="s">
        <v>2114</v>
      </c>
      <c r="I661" s="17" t="s">
        <v>2115</v>
      </c>
      <c r="J661" s="14" t="s">
        <v>2116</v>
      </c>
      <c r="K661" s="12"/>
      <c r="L661" s="12"/>
      <c r="M661" s="12"/>
      <c r="N661" s="12"/>
      <c r="O661" s="30" t="str">
        <f t="shared" si="98"/>
        <v>http://admissions.tcnj.edu/resources-for/scholarshipopportunities/</v>
      </c>
      <c r="P661" s="14" t="s">
        <v>2110</v>
      </c>
      <c r="Q661" s="93">
        <v>0.49</v>
      </c>
      <c r="R661" s="23" t="s">
        <v>490</v>
      </c>
      <c r="S661" s="14" t="s">
        <v>2111</v>
      </c>
      <c r="T661" s="12"/>
      <c r="U661" s="12" t="s">
        <v>81</v>
      </c>
      <c r="V661" s="12"/>
      <c r="W661" s="12"/>
      <c r="X661" s="12"/>
      <c r="Y661" s="12"/>
      <c r="Z661" s="12"/>
      <c r="AA661" s="12"/>
    </row>
    <row r="662" spans="1:27" ht="95.25" customHeight="1" x14ac:dyDescent="0.2">
      <c r="A662" s="23" t="s">
        <v>2097</v>
      </c>
      <c r="B662" s="14" t="s">
        <v>2117</v>
      </c>
      <c r="C662" s="14" t="s">
        <v>101</v>
      </c>
      <c r="D662" s="12"/>
      <c r="E662" s="14" t="s">
        <v>177</v>
      </c>
      <c r="F662" s="14" t="s">
        <v>72</v>
      </c>
      <c r="G662" s="12"/>
      <c r="H662" s="17" t="s">
        <v>239</v>
      </c>
      <c r="I662" s="17" t="s">
        <v>74</v>
      </c>
      <c r="J662" s="12" t="s">
        <v>2118</v>
      </c>
      <c r="K662" s="12"/>
      <c r="L662" s="12"/>
      <c r="M662" s="12"/>
      <c r="N662" s="12"/>
      <c r="O662" s="30" t="str">
        <f>HYPERLINK("http://www.cse.edu/admissions/financial-aid/types-of-scholarships","http://www.cse.edu/admissions/financial-aid/types-of-scholarships")</f>
        <v>http://www.cse.edu/admissions/financial-aid/types-of-scholarships</v>
      </c>
      <c r="P662" s="14">
        <v>32282</v>
      </c>
      <c r="Q662" s="93">
        <v>0.63</v>
      </c>
      <c r="R662" s="23" t="s">
        <v>109</v>
      </c>
      <c r="S662" s="14" t="s">
        <v>2119</v>
      </c>
      <c r="T662" s="12"/>
      <c r="U662" s="12" t="s">
        <v>81</v>
      </c>
      <c r="V662" s="12"/>
      <c r="W662" s="12"/>
      <c r="X662" s="12"/>
      <c r="Y662" s="12"/>
      <c r="Z662" s="12"/>
      <c r="AA662" s="12"/>
    </row>
    <row r="663" spans="1:27" ht="313" x14ac:dyDescent="0.2">
      <c r="A663" s="23" t="s">
        <v>2097</v>
      </c>
      <c r="B663" s="14" t="s">
        <v>2120</v>
      </c>
      <c r="C663" s="14" t="s">
        <v>101</v>
      </c>
      <c r="D663" s="12"/>
      <c r="E663" s="14" t="s">
        <v>177</v>
      </c>
      <c r="F663" s="14" t="s">
        <v>72</v>
      </c>
      <c r="G663" s="12" t="s">
        <v>186</v>
      </c>
      <c r="H663" s="17" t="s">
        <v>62</v>
      </c>
      <c r="I663" s="17" t="s">
        <v>74</v>
      </c>
      <c r="J663" s="56" t="s">
        <v>2121</v>
      </c>
      <c r="K663" s="12">
        <v>29</v>
      </c>
      <c r="L663" s="17">
        <v>1350</v>
      </c>
      <c r="M663" s="17" t="s">
        <v>76</v>
      </c>
      <c r="N663" s="12">
        <v>3.5</v>
      </c>
      <c r="O663" s="30" t="str">
        <f>HYPERLINK("http://view2.fdu.edu/admissions/international/scholarships-and-financial-aid/presidential-scholarship-nomination/","http://view2.fdu.edu/admissions/international/scholarships-and-financial-aid/presidential-scholarship-nomination/")</f>
        <v>http://view2.fdu.edu/admissions/international/scholarships-and-financial-aid/presidential-scholarship-nomination/</v>
      </c>
      <c r="P663" s="14">
        <v>38641</v>
      </c>
      <c r="Q663" s="93">
        <v>0.8</v>
      </c>
      <c r="R663" s="23" t="s">
        <v>109</v>
      </c>
      <c r="S663" s="14" t="s">
        <v>2122</v>
      </c>
      <c r="T663" s="12"/>
      <c r="U663" s="12">
        <v>3.08</v>
      </c>
      <c r="V663" s="12"/>
      <c r="W663" s="12"/>
      <c r="X663" s="12"/>
      <c r="Y663" s="12"/>
      <c r="Z663" s="12"/>
      <c r="AA663" s="12"/>
    </row>
    <row r="664" spans="1:27" ht="358.5" customHeight="1" x14ac:dyDescent="0.2">
      <c r="A664" s="23" t="s">
        <v>2097</v>
      </c>
      <c r="B664" s="14" t="s">
        <v>2123</v>
      </c>
      <c r="C664" s="14" t="s">
        <v>59</v>
      </c>
      <c r="D664" s="12"/>
      <c r="E664" s="14" t="s">
        <v>111</v>
      </c>
      <c r="F664" s="14" t="s">
        <v>680</v>
      </c>
      <c r="G664" s="12"/>
      <c r="H664" s="17" t="s">
        <v>93</v>
      </c>
      <c r="I664" s="17" t="s">
        <v>63</v>
      </c>
      <c r="J664" s="12" t="s">
        <v>2124</v>
      </c>
      <c r="K664" s="12"/>
      <c r="L664" s="12"/>
      <c r="M664" s="12"/>
      <c r="N664" s="12"/>
      <c r="O664" s="30" t="str">
        <f t="shared" ref="O664:O665" si="99">HYPERLINK("http://www.njit.edu/financialaid/typesofaid/scholarships/meritbasedawards.php","http://www.njit.edu/financialaid/typesofaid/scholarships/meritbasedawards.php")</f>
        <v>http://www.njit.edu/financialaid/typesofaid/scholarships/meritbasedawards.php</v>
      </c>
      <c r="P664" s="14" t="s">
        <v>2125</v>
      </c>
      <c r="Q664" s="93">
        <v>0.61</v>
      </c>
      <c r="R664" s="23" t="s">
        <v>109</v>
      </c>
      <c r="S664" s="14" t="s">
        <v>2126</v>
      </c>
      <c r="T664" s="12"/>
      <c r="U664" s="12">
        <v>3.57</v>
      </c>
      <c r="V664" s="12"/>
      <c r="W664" s="12"/>
      <c r="X664" s="12"/>
      <c r="Y664" s="12"/>
      <c r="Z664" s="12"/>
      <c r="AA664" s="12"/>
    </row>
    <row r="665" spans="1:27" ht="111" customHeight="1" x14ac:dyDescent="0.2">
      <c r="A665" s="23" t="s">
        <v>2097</v>
      </c>
      <c r="B665" s="14" t="s">
        <v>2123</v>
      </c>
      <c r="C665" s="14" t="s">
        <v>59</v>
      </c>
      <c r="D665" s="12"/>
      <c r="E665" s="14" t="s">
        <v>757</v>
      </c>
      <c r="F665" s="14" t="s">
        <v>72</v>
      </c>
      <c r="G665" s="12"/>
      <c r="H665" s="17" t="s">
        <v>239</v>
      </c>
      <c r="I665" s="17" t="s">
        <v>74</v>
      </c>
      <c r="J665" s="12" t="s">
        <v>2127</v>
      </c>
      <c r="K665" s="12"/>
      <c r="L665" s="12"/>
      <c r="M665" s="12"/>
      <c r="N665" s="12"/>
      <c r="O665" s="30" t="str">
        <f t="shared" si="99"/>
        <v>http://www.njit.edu/financialaid/typesofaid/scholarships/meritbasedawards.php</v>
      </c>
      <c r="P665" s="14" t="s">
        <v>2125</v>
      </c>
      <c r="Q665" s="93">
        <v>0.61</v>
      </c>
      <c r="R665" s="23" t="s">
        <v>109</v>
      </c>
      <c r="S665" s="14" t="s">
        <v>2126</v>
      </c>
      <c r="T665" s="12"/>
      <c r="U665" s="12">
        <v>3.57</v>
      </c>
      <c r="V665" s="12"/>
      <c r="W665" s="12"/>
      <c r="X665" s="12"/>
      <c r="Y665" s="12"/>
      <c r="Z665" s="12"/>
      <c r="AA665" s="12"/>
    </row>
    <row r="666" spans="1:27" ht="111" customHeight="1" x14ac:dyDescent="0.2">
      <c r="A666" s="23" t="s">
        <v>2097</v>
      </c>
      <c r="B666" s="14" t="s">
        <v>2123</v>
      </c>
      <c r="C666" s="14" t="s">
        <v>59</v>
      </c>
      <c r="D666" s="12"/>
      <c r="E666" s="14" t="s">
        <v>2128</v>
      </c>
      <c r="F666" s="14" t="s">
        <v>72</v>
      </c>
      <c r="G666" s="12"/>
      <c r="H666" s="17" t="s">
        <v>2129</v>
      </c>
      <c r="I666" s="17" t="s">
        <v>74</v>
      </c>
      <c r="J666" s="12" t="s">
        <v>2130</v>
      </c>
      <c r="K666" s="12"/>
      <c r="L666" s="12"/>
      <c r="M666" s="12"/>
      <c r="N666" s="12"/>
      <c r="O666" s="30" t="str">
        <f>HYPERLINK("http://www5.njit.edu/financialaid/typesofaid/scholarships/meritbasedawards.php","http://www5.njit.edu/financialaid/typesofaid/scholarships/meritbasedawards.php")</f>
        <v>http://www5.njit.edu/financialaid/typesofaid/scholarships/meritbasedawards.php</v>
      </c>
      <c r="P666" s="14" t="s">
        <v>2125</v>
      </c>
      <c r="Q666" s="93">
        <v>0.61</v>
      </c>
      <c r="R666" s="23" t="s">
        <v>109</v>
      </c>
      <c r="S666" s="14" t="s">
        <v>2126</v>
      </c>
      <c r="T666" s="12"/>
      <c r="U666" s="12">
        <v>3.57</v>
      </c>
      <c r="V666" s="12"/>
      <c r="W666" s="12"/>
      <c r="X666" s="12"/>
      <c r="Y666" s="12"/>
      <c r="Z666" s="12"/>
      <c r="AA666" s="12"/>
    </row>
    <row r="667" spans="1:27" ht="231" customHeight="1" x14ac:dyDescent="0.2">
      <c r="A667" s="23" t="s">
        <v>2097</v>
      </c>
      <c r="B667" s="14" t="s">
        <v>2131</v>
      </c>
      <c r="C667" s="14" t="s">
        <v>59</v>
      </c>
      <c r="D667" s="12"/>
      <c r="E667" s="14" t="s">
        <v>2132</v>
      </c>
      <c r="F667" s="14" t="s">
        <v>72</v>
      </c>
      <c r="G667" s="12"/>
      <c r="H667" s="17" t="s">
        <v>239</v>
      </c>
      <c r="I667" s="17" t="s">
        <v>74</v>
      </c>
      <c r="J667" s="17" t="s">
        <v>2133</v>
      </c>
      <c r="K667" s="12"/>
      <c r="L667" s="12"/>
      <c r="M667" s="12"/>
      <c r="N667" s="12"/>
      <c r="O667" s="19" t="s">
        <v>2134</v>
      </c>
      <c r="P667" s="14" t="s">
        <v>2135</v>
      </c>
      <c r="Q667" s="93">
        <v>0.57999999999999996</v>
      </c>
      <c r="R667" s="23" t="s">
        <v>109</v>
      </c>
      <c r="S667" s="14" t="s">
        <v>2136</v>
      </c>
      <c r="T667" s="12"/>
      <c r="U667" s="12" t="s">
        <v>2137</v>
      </c>
      <c r="V667" s="12"/>
      <c r="W667" s="12"/>
      <c r="X667" s="12"/>
      <c r="Y667" s="12"/>
      <c r="Z667" s="12"/>
      <c r="AA667" s="12"/>
    </row>
    <row r="668" spans="1:27" ht="111" customHeight="1" x14ac:dyDescent="0.2">
      <c r="A668" s="23" t="s">
        <v>2097</v>
      </c>
      <c r="B668" s="14" t="s">
        <v>2138</v>
      </c>
      <c r="C668" s="14" t="s">
        <v>101</v>
      </c>
      <c r="D668" s="12"/>
      <c r="E668" s="14" t="s">
        <v>111</v>
      </c>
      <c r="F668" s="14" t="s">
        <v>145</v>
      </c>
      <c r="G668" s="12"/>
      <c r="H668" s="17" t="s">
        <v>157</v>
      </c>
      <c r="I668" s="17" t="s">
        <v>74</v>
      </c>
      <c r="J668" s="12" t="s">
        <v>2139</v>
      </c>
      <c r="K668" s="12"/>
      <c r="L668" s="12"/>
      <c r="M668" s="12"/>
      <c r="N668" s="12"/>
      <c r="O668" s="30" t="str">
        <f>HYPERLINK("http://admissions.shu.edu/scholarships.cfm","http://admissions.shu.edu/scholarships.cfm")</f>
        <v>http://admissions.shu.edu/scholarships.cfm</v>
      </c>
      <c r="P668" s="14">
        <v>39558</v>
      </c>
      <c r="Q668" s="93">
        <v>0.79</v>
      </c>
      <c r="R668" s="23" t="s">
        <v>142</v>
      </c>
      <c r="S668" s="14" t="s">
        <v>2140</v>
      </c>
      <c r="T668" s="12"/>
      <c r="U668" s="12">
        <v>3.45</v>
      </c>
      <c r="V668" s="12"/>
      <c r="W668" s="12"/>
      <c r="X668" s="12"/>
      <c r="Y668" s="12"/>
      <c r="Z668" s="12"/>
      <c r="AA668" s="12"/>
    </row>
    <row r="669" spans="1:27" ht="129" customHeight="1" x14ac:dyDescent="0.2">
      <c r="A669" s="23" t="s">
        <v>2097</v>
      </c>
      <c r="B669" s="14" t="s">
        <v>2141</v>
      </c>
      <c r="C669" s="14" t="s">
        <v>101</v>
      </c>
      <c r="D669" s="12"/>
      <c r="E669" s="14" t="s">
        <v>60</v>
      </c>
      <c r="F669" s="14" t="s">
        <v>72</v>
      </c>
      <c r="G669" s="12"/>
      <c r="H669" s="17" t="s">
        <v>62</v>
      </c>
      <c r="I669" s="17" t="s">
        <v>74</v>
      </c>
      <c r="J669" s="12" t="s">
        <v>2142</v>
      </c>
      <c r="K669" s="12">
        <v>31</v>
      </c>
      <c r="L669" s="17">
        <v>1360</v>
      </c>
      <c r="M669" s="17" t="s">
        <v>76</v>
      </c>
      <c r="N669" s="12">
        <v>3.5</v>
      </c>
      <c r="O669" s="30" t="str">
        <f>HYPERLINK("http://www.saintpeters.edu/enrollment-services/student-financial-aid/scholarships/institutional-scholarships/","http://www.saintpeters.edu/enrollment-services/student-financial-aid/scholarships/institutional-scholarships/")</f>
        <v>http://www.saintpeters.edu/enrollment-services/student-financial-aid/scholarships/institutional-scholarships/</v>
      </c>
      <c r="P669" s="14">
        <v>35192</v>
      </c>
      <c r="Q669" s="93">
        <v>0.67</v>
      </c>
      <c r="R669" s="23" t="s">
        <v>138</v>
      </c>
      <c r="S669" s="14" t="s">
        <v>2143</v>
      </c>
      <c r="T669" s="12"/>
      <c r="U669" s="12">
        <v>3.15</v>
      </c>
      <c r="V669" s="12"/>
      <c r="W669" s="12"/>
      <c r="X669" s="12"/>
      <c r="Y669" s="12"/>
      <c r="Z669" s="12"/>
      <c r="AA669" s="12"/>
    </row>
    <row r="670" spans="1:27" ht="111" customHeight="1" x14ac:dyDescent="0.2">
      <c r="A670" s="23" t="s">
        <v>2097</v>
      </c>
      <c r="B670" s="14" t="s">
        <v>2144</v>
      </c>
      <c r="C670" s="14" t="s">
        <v>101</v>
      </c>
      <c r="D670" s="12"/>
      <c r="E670" s="14" t="s">
        <v>177</v>
      </c>
      <c r="F670" s="14" t="s">
        <v>72</v>
      </c>
      <c r="G670" s="12"/>
      <c r="H670" s="17" t="s">
        <v>239</v>
      </c>
      <c r="I670" s="17" t="s">
        <v>74</v>
      </c>
      <c r="J670" s="12" t="s">
        <v>2145</v>
      </c>
      <c r="K670" s="12"/>
      <c r="L670" s="12"/>
      <c r="M670" s="12"/>
      <c r="N670" s="12"/>
      <c r="O670" s="30" t="str">
        <f>HYPERLINK("https://www.stevens.edu/admissions/tuition-financial-aid/undergraduate-scholarships-aid/stevens-scholarships","https://www.stevens.edu/admissions/tuition-financial-aid/undergraduate-scholarships-aid/stevens-scholarships")</f>
        <v>https://www.stevens.edu/admissions/tuition-financial-aid/undergraduate-scholarships-aid/stevens-scholarships</v>
      </c>
      <c r="P670" s="14">
        <v>48838</v>
      </c>
      <c r="Q670" s="93">
        <v>0.44</v>
      </c>
      <c r="R670" s="23" t="s">
        <v>1357</v>
      </c>
      <c r="S670" s="14" t="s">
        <v>2146</v>
      </c>
      <c r="T670" s="12"/>
      <c r="U670" s="12">
        <v>3.9</v>
      </c>
      <c r="V670" s="12"/>
      <c r="W670" s="12"/>
      <c r="X670" s="12"/>
      <c r="Y670" s="12"/>
      <c r="Z670" s="12"/>
      <c r="AA670" s="12"/>
    </row>
    <row r="671" spans="1:27" ht="111" customHeight="1" x14ac:dyDescent="0.2">
      <c r="A671" s="23" t="s">
        <v>2147</v>
      </c>
      <c r="B671" s="14" t="s">
        <v>2148</v>
      </c>
      <c r="C671" s="14" t="s">
        <v>59</v>
      </c>
      <c r="D671" s="12" t="s">
        <v>98</v>
      </c>
      <c r="E671" s="16" t="s">
        <v>88</v>
      </c>
      <c r="F671" s="14" t="s">
        <v>72</v>
      </c>
      <c r="G671" s="12"/>
      <c r="H671" s="17" t="s">
        <v>62</v>
      </c>
      <c r="I671" s="17">
        <v>15</v>
      </c>
      <c r="J671" s="12" t="s">
        <v>2149</v>
      </c>
      <c r="K671" s="17">
        <v>28</v>
      </c>
      <c r="L671" s="12"/>
      <c r="M671" s="12"/>
      <c r="N671" s="17">
        <v>3.75</v>
      </c>
      <c r="O671" s="19" t="s">
        <v>2150</v>
      </c>
      <c r="P671" s="14" t="s">
        <v>2151</v>
      </c>
      <c r="Q671" s="93">
        <v>0.65</v>
      </c>
      <c r="R671" s="23" t="s">
        <v>259</v>
      </c>
      <c r="S671" s="14" t="s">
        <v>2152</v>
      </c>
      <c r="T671" s="12"/>
      <c r="U671" s="12">
        <v>3.39</v>
      </c>
      <c r="V671" s="12"/>
      <c r="W671" s="12"/>
      <c r="X671" s="12"/>
      <c r="Y671" s="12"/>
      <c r="Z671" s="12"/>
      <c r="AA671" s="12"/>
    </row>
    <row r="672" spans="1:27" ht="105.75" customHeight="1" x14ac:dyDescent="0.2">
      <c r="A672" s="39" t="s">
        <v>2147</v>
      </c>
      <c r="B672" s="40" t="s">
        <v>2148</v>
      </c>
      <c r="C672" s="40" t="s">
        <v>59</v>
      </c>
      <c r="D672" s="40"/>
      <c r="E672" s="69" t="s">
        <v>88</v>
      </c>
      <c r="F672" s="40" t="s">
        <v>92</v>
      </c>
      <c r="G672" s="40"/>
      <c r="H672" s="69" t="s">
        <v>2153</v>
      </c>
      <c r="I672" s="69" t="s">
        <v>63</v>
      </c>
      <c r="J672" s="40" t="s">
        <v>2154</v>
      </c>
      <c r="K672" s="40"/>
      <c r="L672" s="40"/>
      <c r="M672" s="40"/>
      <c r="N672" s="40"/>
      <c r="O672" s="30" t="str">
        <f t="shared" ref="O672:O673" si="100">HYPERLINK("http://fa.nmsu.edu/scholarships/","http://fa.nmsu.edu/scholarships/")</f>
        <v>http://fa.nmsu.edu/scholarships/</v>
      </c>
      <c r="P672" s="40" t="s">
        <v>2151</v>
      </c>
      <c r="Q672" s="208">
        <v>0.65</v>
      </c>
      <c r="R672" s="39" t="s">
        <v>259</v>
      </c>
      <c r="S672" s="40" t="s">
        <v>2152</v>
      </c>
      <c r="T672" s="40"/>
      <c r="U672" s="40">
        <v>3.39</v>
      </c>
      <c r="V672" s="40"/>
      <c r="W672" s="40"/>
      <c r="X672" s="40"/>
      <c r="Y672" s="40"/>
      <c r="Z672" s="40"/>
      <c r="AA672" s="40"/>
    </row>
    <row r="673" spans="1:27" ht="111" customHeight="1" x14ac:dyDescent="0.2">
      <c r="A673" s="23" t="s">
        <v>2147</v>
      </c>
      <c r="B673" s="14" t="s">
        <v>2148</v>
      </c>
      <c r="C673" s="14" t="s">
        <v>59</v>
      </c>
      <c r="D673" s="12"/>
      <c r="E673" s="16" t="s">
        <v>88</v>
      </c>
      <c r="F673" s="14" t="s">
        <v>92</v>
      </c>
      <c r="G673" s="12"/>
      <c r="H673" s="17" t="s">
        <v>2155</v>
      </c>
      <c r="I673" s="17" t="s">
        <v>63</v>
      </c>
      <c r="J673" s="12" t="s">
        <v>2156</v>
      </c>
      <c r="K673" s="12"/>
      <c r="L673" s="12"/>
      <c r="M673" s="12"/>
      <c r="N673" s="12"/>
      <c r="O673" s="30" t="str">
        <f t="shared" si="100"/>
        <v>http://fa.nmsu.edu/scholarships/</v>
      </c>
      <c r="P673" s="14" t="s">
        <v>2151</v>
      </c>
      <c r="Q673" s="93">
        <v>0.65</v>
      </c>
      <c r="R673" s="23" t="s">
        <v>259</v>
      </c>
      <c r="S673" s="14" t="s">
        <v>2152</v>
      </c>
      <c r="T673" s="12"/>
      <c r="U673" s="12">
        <v>3.39</v>
      </c>
      <c r="V673" s="12"/>
      <c r="W673" s="12"/>
      <c r="X673" s="12"/>
      <c r="Y673" s="12"/>
      <c r="Z673" s="12"/>
      <c r="AA673" s="12"/>
    </row>
    <row r="674" spans="1:27" ht="111" customHeight="1" x14ac:dyDescent="0.2">
      <c r="A674" s="23" t="s">
        <v>2147</v>
      </c>
      <c r="B674" s="14" t="s">
        <v>2157</v>
      </c>
      <c r="C674" s="14" t="s">
        <v>59</v>
      </c>
      <c r="D674" s="12"/>
      <c r="E674" s="14" t="s">
        <v>111</v>
      </c>
      <c r="F674" s="14" t="s">
        <v>680</v>
      </c>
      <c r="G674" s="12"/>
      <c r="H674" s="17" t="s">
        <v>93</v>
      </c>
      <c r="I674" s="17" t="s">
        <v>63</v>
      </c>
      <c r="J674" s="17" t="s">
        <v>2158</v>
      </c>
      <c r="K674" s="12"/>
      <c r="L674" s="12"/>
      <c r="M674" s="12"/>
      <c r="N674" s="12"/>
      <c r="O674" s="30" t="str">
        <f t="shared" ref="O674:O675" si="101">HYPERLINK("http://scholarship.unm.edu/scholarships/non-resident.html","http://scholarship.unm.edu/scholarships/non-resident.html")</f>
        <v>http://scholarship.unm.edu/scholarships/non-resident.html</v>
      </c>
      <c r="P674" s="14" t="s">
        <v>2159</v>
      </c>
      <c r="Q674" s="93">
        <v>0.5</v>
      </c>
      <c r="R674" s="23" t="s">
        <v>130</v>
      </c>
      <c r="S674" s="14" t="s">
        <v>2160</v>
      </c>
      <c r="T674" s="12"/>
      <c r="U674" s="12">
        <v>3.38</v>
      </c>
      <c r="V674" s="12"/>
      <c r="W674" s="12"/>
      <c r="X674" s="12"/>
      <c r="Y674" s="12"/>
      <c r="Z674" s="12"/>
      <c r="AA674" s="12"/>
    </row>
    <row r="675" spans="1:27" ht="111" customHeight="1" x14ac:dyDescent="0.2">
      <c r="A675" s="23" t="s">
        <v>2147</v>
      </c>
      <c r="B675" s="14" t="s">
        <v>2157</v>
      </c>
      <c r="C675" s="14" t="s">
        <v>59</v>
      </c>
      <c r="D675" s="12"/>
      <c r="E675" s="14" t="s">
        <v>111</v>
      </c>
      <c r="F675" s="14" t="s">
        <v>61</v>
      </c>
      <c r="G675" s="12"/>
      <c r="H675" s="17" t="s">
        <v>62</v>
      </c>
      <c r="I675" s="17" t="s">
        <v>63</v>
      </c>
      <c r="J675" s="17" t="s">
        <v>2161</v>
      </c>
      <c r="K675" s="12">
        <v>31</v>
      </c>
      <c r="L675" s="17">
        <v>1420</v>
      </c>
      <c r="M675" s="17" t="s">
        <v>76</v>
      </c>
      <c r="N675" s="12">
        <v>3.9</v>
      </c>
      <c r="O675" s="30" t="str">
        <f t="shared" si="101"/>
        <v>http://scholarship.unm.edu/scholarships/non-resident.html</v>
      </c>
      <c r="P675" s="14" t="s">
        <v>2159</v>
      </c>
      <c r="Q675" s="93">
        <v>0.5</v>
      </c>
      <c r="R675" s="23" t="s">
        <v>130</v>
      </c>
      <c r="S675" s="14" t="s">
        <v>2160</v>
      </c>
      <c r="T675" s="12"/>
      <c r="U675" s="12">
        <v>3.38</v>
      </c>
      <c r="V675" s="12"/>
      <c r="W675" s="12"/>
      <c r="X675" s="12"/>
      <c r="Y675" s="12"/>
      <c r="Z675" s="12"/>
      <c r="AA675" s="12"/>
    </row>
    <row r="676" spans="1:27" ht="111" customHeight="1" x14ac:dyDescent="0.2">
      <c r="A676" s="23" t="s">
        <v>2147</v>
      </c>
      <c r="B676" s="14" t="s">
        <v>2157</v>
      </c>
      <c r="C676" s="14" t="s">
        <v>59</v>
      </c>
      <c r="D676" s="12" t="s">
        <v>194</v>
      </c>
      <c r="E676" s="16" t="s">
        <v>88</v>
      </c>
      <c r="F676" s="14" t="s">
        <v>680</v>
      </c>
      <c r="G676" s="12"/>
      <c r="H676" s="17" t="s">
        <v>2162</v>
      </c>
      <c r="I676" s="17" t="s">
        <v>63</v>
      </c>
      <c r="J676" s="12" t="s">
        <v>2163</v>
      </c>
      <c r="K676" s="12"/>
      <c r="L676" s="12"/>
      <c r="M676" s="12"/>
      <c r="N676" s="12"/>
      <c r="O676" s="30" t="str">
        <f t="shared" ref="O676:O677" si="102">HYPERLINK("http://scholarship.unm.edu/scholarships/resident.html","http://scholarship.unm.edu/scholarships/resident.html")</f>
        <v>http://scholarship.unm.edu/scholarships/resident.html</v>
      </c>
      <c r="P676" s="14" t="s">
        <v>2159</v>
      </c>
      <c r="Q676" s="93">
        <v>0.5</v>
      </c>
      <c r="R676" s="23" t="s">
        <v>130</v>
      </c>
      <c r="S676" s="14" t="s">
        <v>2160</v>
      </c>
      <c r="T676" s="12"/>
      <c r="U676" s="12">
        <v>3.38</v>
      </c>
      <c r="V676" s="12"/>
      <c r="W676" s="12"/>
      <c r="X676" s="12"/>
      <c r="Y676" s="12"/>
      <c r="Z676" s="12"/>
      <c r="AA676" s="12"/>
    </row>
    <row r="677" spans="1:27" ht="111" customHeight="1" x14ac:dyDescent="0.2">
      <c r="A677" s="23" t="s">
        <v>2147</v>
      </c>
      <c r="B677" s="14" t="s">
        <v>2157</v>
      </c>
      <c r="C677" s="14" t="s">
        <v>59</v>
      </c>
      <c r="D677" s="12" t="s">
        <v>194</v>
      </c>
      <c r="E677" s="14" t="s">
        <v>136</v>
      </c>
      <c r="F677" s="14" t="s">
        <v>61</v>
      </c>
      <c r="G677" s="12"/>
      <c r="H677" s="17" t="s">
        <v>62</v>
      </c>
      <c r="I677" s="17" t="s">
        <v>63</v>
      </c>
      <c r="J677" s="12" t="s">
        <v>2164</v>
      </c>
      <c r="K677" s="12">
        <v>25</v>
      </c>
      <c r="L677" s="17">
        <v>1200</v>
      </c>
      <c r="M677" s="17" t="s">
        <v>76</v>
      </c>
      <c r="N677" s="12">
        <v>3.75</v>
      </c>
      <c r="O677" s="30" t="str">
        <f t="shared" si="102"/>
        <v>http://scholarship.unm.edu/scholarships/resident.html</v>
      </c>
      <c r="P677" s="14" t="s">
        <v>2159</v>
      </c>
      <c r="Q677" s="93">
        <v>0.5</v>
      </c>
      <c r="R677" s="23" t="s">
        <v>130</v>
      </c>
      <c r="S677" s="14" t="s">
        <v>2160</v>
      </c>
      <c r="T677" s="12"/>
      <c r="U677" s="12">
        <v>3.38</v>
      </c>
      <c r="V677" s="12"/>
      <c r="W677" s="12"/>
      <c r="X677" s="12"/>
      <c r="Y677" s="12"/>
      <c r="Z677" s="12"/>
      <c r="AA677" s="12"/>
    </row>
    <row r="678" spans="1:27" ht="111" customHeight="1" x14ac:dyDescent="0.2">
      <c r="A678" s="109" t="s">
        <v>2165</v>
      </c>
      <c r="B678" s="110" t="s">
        <v>2166</v>
      </c>
      <c r="C678" s="110" t="s">
        <v>59</v>
      </c>
      <c r="D678" s="112"/>
      <c r="E678" s="110" t="s">
        <v>263</v>
      </c>
      <c r="F678" s="110" t="s">
        <v>680</v>
      </c>
      <c r="G678" s="112"/>
      <c r="H678" s="117" t="s">
        <v>93</v>
      </c>
      <c r="I678" s="117" t="s">
        <v>63</v>
      </c>
      <c r="J678" s="112" t="s">
        <v>2167</v>
      </c>
      <c r="K678" s="112"/>
      <c r="L678" s="112"/>
      <c r="M678" s="112"/>
      <c r="N678" s="112"/>
      <c r="O678" s="113" t="str">
        <f>HYPERLINK("http://www.unlv.edu/finaid/scholarships/president","http://www.unlv.edu/finaid/scholarships/president")</f>
        <v>http://www.unlv.edu/finaid/scholarships/president</v>
      </c>
      <c r="P678" s="110" t="s">
        <v>2168</v>
      </c>
      <c r="Q678" s="174">
        <v>0.88</v>
      </c>
      <c r="R678" s="109" t="s">
        <v>442</v>
      </c>
      <c r="S678" s="110" t="s">
        <v>2169</v>
      </c>
      <c r="T678" s="112"/>
      <c r="U678" s="112">
        <v>3.28</v>
      </c>
      <c r="V678" s="112"/>
      <c r="W678" s="112"/>
      <c r="X678" s="112"/>
      <c r="Y678" s="112"/>
      <c r="Z678" s="112"/>
      <c r="AA678" s="112"/>
    </row>
    <row r="679" spans="1:27" ht="174" customHeight="1" x14ac:dyDescent="0.2">
      <c r="A679" s="23" t="s">
        <v>2165</v>
      </c>
      <c r="B679" s="14" t="s">
        <v>2166</v>
      </c>
      <c r="C679" s="14" t="s">
        <v>59</v>
      </c>
      <c r="D679" s="14"/>
      <c r="E679" s="14" t="s">
        <v>1327</v>
      </c>
      <c r="F679" s="14" t="s">
        <v>313</v>
      </c>
      <c r="G679" s="12"/>
      <c r="H679" s="17" t="s">
        <v>1978</v>
      </c>
      <c r="I679" s="17" t="s">
        <v>74</v>
      </c>
      <c r="J679" s="14" t="s">
        <v>2170</v>
      </c>
      <c r="K679" s="12"/>
      <c r="L679" s="12"/>
      <c r="M679" s="12"/>
      <c r="N679" s="12"/>
      <c r="O679" s="30" t="str">
        <f>HYPERLINK("http://www.unlv.edu/finaid/scholarships/valedictorian","http://www.unlv.edu/finaid/scholarships/valedictorian")</f>
        <v>http://www.unlv.edu/finaid/scholarships/valedictorian</v>
      </c>
      <c r="P679" s="14" t="s">
        <v>2168</v>
      </c>
      <c r="Q679" s="93">
        <v>0.88</v>
      </c>
      <c r="R679" s="94" t="s">
        <v>442</v>
      </c>
      <c r="S679" s="26" t="s">
        <v>2169</v>
      </c>
      <c r="T679" s="12"/>
      <c r="U679" s="12">
        <v>3.28</v>
      </c>
      <c r="V679" s="12"/>
      <c r="W679" s="12"/>
      <c r="X679" s="12"/>
      <c r="Y679" s="12"/>
      <c r="Z679" s="12"/>
      <c r="AA679" s="12"/>
    </row>
    <row r="680" spans="1:27" ht="95.25" customHeight="1" x14ac:dyDescent="0.2">
      <c r="A680" s="23" t="s">
        <v>2165</v>
      </c>
      <c r="B680" s="14" t="s">
        <v>2171</v>
      </c>
      <c r="C680" s="14" t="s">
        <v>59</v>
      </c>
      <c r="D680" s="14"/>
      <c r="E680" s="14" t="s">
        <v>263</v>
      </c>
      <c r="F680" s="12" t="s">
        <v>680</v>
      </c>
      <c r="G680" s="12"/>
      <c r="H680" s="17" t="s">
        <v>93</v>
      </c>
      <c r="I680" s="17" t="s">
        <v>63</v>
      </c>
      <c r="J680" s="14" t="s">
        <v>2172</v>
      </c>
      <c r="K680" s="12"/>
      <c r="L680" s="12"/>
      <c r="M680" s="12"/>
      <c r="N680" s="12"/>
      <c r="O680" s="30" t="str">
        <f>HYPERLINK("http://www.unr.edu/financial-aid/understanding-financial-aid/scholarships/national-merit","http://www.unr.edu/financial-aid/understanding-financial-aid/scholarships/national-merit")</f>
        <v>http://www.unr.edu/financial-aid/understanding-financial-aid/scholarships/national-merit</v>
      </c>
      <c r="P680" s="14" t="s">
        <v>2173</v>
      </c>
      <c r="Q680" s="93">
        <v>0.86</v>
      </c>
      <c r="R680" s="94" t="s">
        <v>565</v>
      </c>
      <c r="S680" s="26" t="s">
        <v>2174</v>
      </c>
      <c r="T680" s="12"/>
      <c r="U680" s="12">
        <v>3.38</v>
      </c>
      <c r="V680" s="12"/>
      <c r="W680" s="12"/>
      <c r="X680" s="12"/>
      <c r="Y680" s="12"/>
      <c r="Z680" s="12"/>
      <c r="AA680" s="12"/>
    </row>
    <row r="681" spans="1:27" ht="142.5" customHeight="1" x14ac:dyDescent="0.2">
      <c r="A681" s="23" t="s">
        <v>2175</v>
      </c>
      <c r="B681" s="14" t="s">
        <v>2176</v>
      </c>
      <c r="C681" s="14" t="s">
        <v>101</v>
      </c>
      <c r="D681" s="12"/>
      <c r="E681" s="14" t="s">
        <v>60</v>
      </c>
      <c r="F681" s="14" t="s">
        <v>313</v>
      </c>
      <c r="G681" s="12"/>
      <c r="H681" s="17" t="s">
        <v>1978</v>
      </c>
      <c r="I681" s="17" t="s">
        <v>74</v>
      </c>
      <c r="J681" s="14" t="s">
        <v>2177</v>
      </c>
      <c r="K681" s="12"/>
      <c r="L681" s="12"/>
      <c r="M681" s="12"/>
      <c r="N681" s="12"/>
      <c r="O681" s="30" t="str">
        <f>HYPERLINK("http://www.cazenovia.edu/admissions/scholarships/academic-achievement-awards","http://www.cazenovia.edu/admissions/scholarships/academic-achievement-awards")</f>
        <v>http://www.cazenovia.edu/admissions/scholarships/academic-achievement-awards</v>
      </c>
      <c r="P681" s="33">
        <v>32674</v>
      </c>
      <c r="Q681" s="25">
        <v>0.76</v>
      </c>
      <c r="R681" s="14" t="s">
        <v>148</v>
      </c>
      <c r="S681" s="14" t="s">
        <v>2178</v>
      </c>
      <c r="T681" s="12"/>
      <c r="U681" s="12">
        <v>3.2</v>
      </c>
      <c r="V681" s="12"/>
      <c r="W681" s="12"/>
      <c r="X681" s="12"/>
      <c r="Y681" s="12"/>
      <c r="Z681" s="12"/>
      <c r="AA681" s="12"/>
    </row>
    <row r="682" spans="1:27" ht="284.25" customHeight="1" x14ac:dyDescent="0.2">
      <c r="A682" s="23" t="s">
        <v>2175</v>
      </c>
      <c r="B682" s="14" t="s">
        <v>2179</v>
      </c>
      <c r="C682" s="14" t="s">
        <v>101</v>
      </c>
      <c r="D682" s="12"/>
      <c r="E682" s="14" t="s">
        <v>60</v>
      </c>
      <c r="F682" s="14" t="s">
        <v>72</v>
      </c>
      <c r="G682" s="12"/>
      <c r="H682" s="17" t="s">
        <v>2180</v>
      </c>
      <c r="I682" s="17" t="s">
        <v>74</v>
      </c>
      <c r="J682" s="14" t="s">
        <v>2181</v>
      </c>
      <c r="K682" s="12"/>
      <c r="L682" s="12"/>
      <c r="M682" s="12"/>
      <c r="N682" s="12"/>
      <c r="O682" s="19" t="s">
        <v>2182</v>
      </c>
      <c r="P682" s="33">
        <v>46132</v>
      </c>
      <c r="Q682" s="25">
        <v>0.68</v>
      </c>
      <c r="R682" s="14" t="s">
        <v>96</v>
      </c>
      <c r="S682" s="14" t="s">
        <v>2183</v>
      </c>
      <c r="T682" s="12"/>
      <c r="U682" s="12">
        <v>3.7</v>
      </c>
      <c r="V682" s="12"/>
      <c r="W682" s="12"/>
      <c r="X682" s="12"/>
      <c r="Y682" s="12"/>
      <c r="Z682" s="12"/>
      <c r="AA682" s="12"/>
    </row>
    <row r="683" spans="1:27" ht="111" customHeight="1" x14ac:dyDescent="0.2">
      <c r="A683" s="23" t="s">
        <v>2175</v>
      </c>
      <c r="B683" s="14" t="s">
        <v>2184</v>
      </c>
      <c r="C683" s="14" t="s">
        <v>59</v>
      </c>
      <c r="D683" s="14" t="s">
        <v>2185</v>
      </c>
      <c r="E683" s="14" t="s">
        <v>60</v>
      </c>
      <c r="F683" s="14" t="s">
        <v>72</v>
      </c>
      <c r="G683" s="12"/>
      <c r="H683" s="17" t="s">
        <v>239</v>
      </c>
      <c r="I683" s="17" t="s">
        <v>74</v>
      </c>
      <c r="J683" s="14" t="s">
        <v>2186</v>
      </c>
      <c r="K683" s="12"/>
      <c r="L683" s="12"/>
      <c r="M683" s="12"/>
      <c r="N683" s="12"/>
      <c r="O683" s="30" t="str">
        <f>HYPERLINK("http://www.brockport.edu/honors/apply/index.html","http://www.brockport.edu/honors/apply/index.html")</f>
        <v>http://www.brockport.edu/honors/apply/index.html</v>
      </c>
      <c r="P683" s="14" t="s">
        <v>2187</v>
      </c>
      <c r="Q683" s="97">
        <v>0.53</v>
      </c>
      <c r="R683" s="94" t="s">
        <v>124</v>
      </c>
      <c r="S683" s="94" t="s">
        <v>2188</v>
      </c>
      <c r="T683" s="12"/>
      <c r="U683" s="12" t="s">
        <v>2189</v>
      </c>
      <c r="V683" s="12"/>
      <c r="W683" s="12"/>
      <c r="X683" s="12"/>
      <c r="Y683" s="12"/>
      <c r="Z683" s="12"/>
      <c r="AA683" s="12"/>
    </row>
    <row r="684" spans="1:27" ht="174" customHeight="1" x14ac:dyDescent="0.2">
      <c r="A684" s="23" t="s">
        <v>2175</v>
      </c>
      <c r="B684" s="14" t="s">
        <v>2190</v>
      </c>
      <c r="C684" s="14" t="s">
        <v>101</v>
      </c>
      <c r="D684" s="14"/>
      <c r="E684" s="14" t="s">
        <v>177</v>
      </c>
      <c r="F684" s="14" t="s">
        <v>72</v>
      </c>
      <c r="G684" s="12"/>
      <c r="H684" s="17" t="s">
        <v>2191</v>
      </c>
      <c r="I684" s="17" t="s">
        <v>74</v>
      </c>
      <c r="J684" s="14" t="s">
        <v>2192</v>
      </c>
      <c r="K684" s="12"/>
      <c r="L684" s="12"/>
      <c r="M684" s="12"/>
      <c r="N684" s="12"/>
      <c r="O684" s="30" t="str">
        <f t="shared" ref="O684:O685" si="103">HYPERLINK("http://www.mountsaintvincent.edu/admission/financial-aid/financial-aid-options/scholarships/","http://www.mountsaintvincent.edu/admission/financial-aid/financial-aid-options/scholarships/")</f>
        <v>http://www.mountsaintvincent.edu/admission/financial-aid/financial-aid-options/scholarships/</v>
      </c>
      <c r="P684" s="14">
        <v>35130</v>
      </c>
      <c r="Q684" s="97">
        <v>0.91</v>
      </c>
      <c r="R684" s="94" t="s">
        <v>2193</v>
      </c>
      <c r="S684" s="94" t="s">
        <v>2194</v>
      </c>
      <c r="T684" s="12"/>
      <c r="U684" s="12" t="s">
        <v>81</v>
      </c>
      <c r="V684" s="12"/>
      <c r="W684" s="12"/>
      <c r="X684" s="12"/>
      <c r="Y684" s="12"/>
      <c r="Z684" s="12"/>
      <c r="AA684" s="12"/>
    </row>
    <row r="685" spans="1:27" ht="192" x14ac:dyDescent="0.2">
      <c r="A685" s="23" t="s">
        <v>2175</v>
      </c>
      <c r="B685" s="14" t="s">
        <v>2190</v>
      </c>
      <c r="C685" s="14" t="s">
        <v>101</v>
      </c>
      <c r="D685" s="12"/>
      <c r="E685" s="14" t="s">
        <v>177</v>
      </c>
      <c r="F685" s="14" t="s">
        <v>72</v>
      </c>
      <c r="G685" s="12"/>
      <c r="H685" s="17" t="s">
        <v>2195</v>
      </c>
      <c r="I685" s="17">
        <v>1</v>
      </c>
      <c r="J685" s="14" t="s">
        <v>2196</v>
      </c>
      <c r="K685" s="12"/>
      <c r="L685" s="12"/>
      <c r="M685" s="12"/>
      <c r="N685" s="12"/>
      <c r="O685" s="30" t="str">
        <f t="shared" si="103"/>
        <v>http://www.mountsaintvincent.edu/admission/financial-aid/financial-aid-options/scholarships/</v>
      </c>
      <c r="P685" s="33">
        <v>35130</v>
      </c>
      <c r="Q685" s="93">
        <v>0.91</v>
      </c>
      <c r="R685" s="94" t="s">
        <v>2193</v>
      </c>
      <c r="S685" s="26" t="s">
        <v>2194</v>
      </c>
      <c r="T685" s="12"/>
      <c r="U685" s="12" t="s">
        <v>81</v>
      </c>
      <c r="V685" s="12"/>
      <c r="W685" s="12"/>
      <c r="X685" s="12"/>
      <c r="Y685" s="12"/>
      <c r="Z685" s="12"/>
      <c r="AA685" s="12"/>
    </row>
    <row r="686" spans="1:27" ht="111" customHeight="1" x14ac:dyDescent="0.2">
      <c r="A686" s="23" t="s">
        <v>2175</v>
      </c>
      <c r="B686" s="14" t="s">
        <v>107</v>
      </c>
      <c r="C686" s="14" t="s">
        <v>101</v>
      </c>
      <c r="D686" s="12"/>
      <c r="E686" s="14" t="s">
        <v>102</v>
      </c>
      <c r="F686" s="14" t="s">
        <v>61</v>
      </c>
      <c r="G686" s="12"/>
      <c r="H686" s="17" t="s">
        <v>62</v>
      </c>
      <c r="I686" s="17" t="s">
        <v>74</v>
      </c>
      <c r="J686" s="16" t="s">
        <v>2197</v>
      </c>
      <c r="K686" s="18">
        <v>26</v>
      </c>
      <c r="L686" s="18">
        <v>1270</v>
      </c>
      <c r="M686" s="16" t="s">
        <v>76</v>
      </c>
      <c r="N686" s="17">
        <v>3.5</v>
      </c>
      <c r="O686" s="19" t="s">
        <v>2198</v>
      </c>
      <c r="P686" s="33">
        <v>30550</v>
      </c>
      <c r="Q686" s="25">
        <v>0.76</v>
      </c>
      <c r="R686" s="14" t="s">
        <v>550</v>
      </c>
      <c r="S686" s="14" t="s">
        <v>2199</v>
      </c>
      <c r="T686" s="12"/>
      <c r="U686" s="12">
        <v>2.98</v>
      </c>
      <c r="V686" s="12"/>
      <c r="W686" s="12"/>
      <c r="X686" s="12"/>
      <c r="Y686" s="12"/>
      <c r="Z686" s="12"/>
      <c r="AA686" s="12"/>
    </row>
    <row r="687" spans="1:27" ht="126.75" customHeight="1" x14ac:dyDescent="0.2">
      <c r="A687" s="23" t="s">
        <v>2175</v>
      </c>
      <c r="B687" s="14" t="s">
        <v>107</v>
      </c>
      <c r="C687" s="14" t="s">
        <v>101</v>
      </c>
      <c r="D687" s="12"/>
      <c r="E687" s="14" t="s">
        <v>243</v>
      </c>
      <c r="F687" s="14" t="s">
        <v>72</v>
      </c>
      <c r="G687" s="12"/>
      <c r="H687" s="17" t="s">
        <v>2200</v>
      </c>
      <c r="I687" s="17" t="s">
        <v>74</v>
      </c>
      <c r="J687" s="14" t="s">
        <v>2201</v>
      </c>
      <c r="K687" s="12"/>
      <c r="L687" s="12"/>
      <c r="M687" s="12"/>
      <c r="N687" s="12"/>
      <c r="O687" s="19" t="s">
        <v>2198</v>
      </c>
      <c r="P687" s="33">
        <v>30550</v>
      </c>
      <c r="Q687" s="25">
        <v>0.76</v>
      </c>
      <c r="R687" s="14" t="s">
        <v>550</v>
      </c>
      <c r="S687" s="14" t="s">
        <v>2199</v>
      </c>
      <c r="T687" s="12"/>
      <c r="U687" s="12">
        <v>2.98</v>
      </c>
      <c r="V687" s="12"/>
      <c r="W687" s="12"/>
      <c r="X687" s="12"/>
      <c r="Y687" s="12"/>
      <c r="Z687" s="12"/>
      <c r="AA687" s="12"/>
    </row>
    <row r="688" spans="1:27" ht="126.75" customHeight="1" x14ac:dyDescent="0.2">
      <c r="A688" s="23" t="s">
        <v>2175</v>
      </c>
      <c r="B688" s="14" t="s">
        <v>2202</v>
      </c>
      <c r="C688" s="14" t="s">
        <v>59</v>
      </c>
      <c r="D688" s="12"/>
      <c r="E688" s="14" t="s">
        <v>191</v>
      </c>
      <c r="F688" s="14" t="s">
        <v>72</v>
      </c>
      <c r="G688" s="12"/>
      <c r="H688" s="17" t="s">
        <v>1917</v>
      </c>
      <c r="I688" s="17" t="s">
        <v>74</v>
      </c>
      <c r="J688" s="14" t="s">
        <v>2203</v>
      </c>
      <c r="K688" s="12"/>
      <c r="L688" s="12"/>
      <c r="M688" s="12"/>
      <c r="N688" s="12"/>
      <c r="O688" s="30" t="str">
        <f t="shared" ref="O688:O695" si="104">HYPERLINK("http://www.baruch.cuny.edu/scholarships/scholarships_undergrad.htm","http://www.baruch.cuny.edu/scholarships/scholarships_undergrad.htm")</f>
        <v>http://www.baruch.cuny.edu/scholarships/scholarships_undergrad.htm</v>
      </c>
      <c r="P688" s="14" t="s">
        <v>2204</v>
      </c>
      <c r="Q688" s="93">
        <v>0.32</v>
      </c>
      <c r="R688" s="23" t="s">
        <v>109</v>
      </c>
      <c r="S688" s="14" t="s">
        <v>2205</v>
      </c>
      <c r="T688" s="12"/>
      <c r="U688" s="12">
        <v>3.3</v>
      </c>
      <c r="V688" s="12"/>
      <c r="W688" s="12"/>
      <c r="X688" s="12"/>
      <c r="Y688" s="12"/>
      <c r="Z688" s="12"/>
      <c r="AA688" s="12"/>
    </row>
    <row r="689" spans="1:27" ht="158.25" customHeight="1" x14ac:dyDescent="0.2">
      <c r="A689" s="23" t="s">
        <v>2175</v>
      </c>
      <c r="B689" s="14" t="s">
        <v>2202</v>
      </c>
      <c r="C689" s="14" t="s">
        <v>59</v>
      </c>
      <c r="D689" s="12"/>
      <c r="E689" s="14" t="s">
        <v>2206</v>
      </c>
      <c r="F689" s="14" t="s">
        <v>72</v>
      </c>
      <c r="G689" s="12"/>
      <c r="H689" s="17" t="s">
        <v>1917</v>
      </c>
      <c r="I689" s="17" t="s">
        <v>74</v>
      </c>
      <c r="J689" s="14" t="s">
        <v>2207</v>
      </c>
      <c r="K689" s="12"/>
      <c r="L689" s="12"/>
      <c r="M689" s="12"/>
      <c r="N689" s="12"/>
      <c r="O689" s="30" t="str">
        <f t="shared" si="104"/>
        <v>http://www.baruch.cuny.edu/scholarships/scholarships_undergrad.htm</v>
      </c>
      <c r="P689" s="14" t="s">
        <v>2204</v>
      </c>
      <c r="Q689" s="93">
        <v>0.32</v>
      </c>
      <c r="R689" s="23" t="s">
        <v>109</v>
      </c>
      <c r="S689" s="14" t="s">
        <v>2205</v>
      </c>
      <c r="T689" s="12"/>
      <c r="U689" s="12">
        <v>3.3</v>
      </c>
      <c r="V689" s="12"/>
      <c r="W689" s="12"/>
      <c r="X689" s="12"/>
      <c r="Y689" s="12"/>
      <c r="Z689" s="12"/>
      <c r="AA689" s="12"/>
    </row>
    <row r="690" spans="1:27" ht="237" customHeight="1" x14ac:dyDescent="0.2">
      <c r="A690" s="23" t="s">
        <v>2175</v>
      </c>
      <c r="B690" s="14" t="s">
        <v>2202</v>
      </c>
      <c r="C690" s="14" t="s">
        <v>59</v>
      </c>
      <c r="D690" s="12"/>
      <c r="E690" s="14" t="s">
        <v>60</v>
      </c>
      <c r="F690" s="14" t="s">
        <v>72</v>
      </c>
      <c r="G690" s="12"/>
      <c r="H690" s="17" t="s">
        <v>2208</v>
      </c>
      <c r="I690" s="17" t="s">
        <v>74</v>
      </c>
      <c r="J690" s="14" t="s">
        <v>2209</v>
      </c>
      <c r="K690" s="12"/>
      <c r="L690" s="12"/>
      <c r="M690" s="12"/>
      <c r="N690" s="12"/>
      <c r="O690" s="30" t="str">
        <f t="shared" si="104"/>
        <v>http://www.baruch.cuny.edu/scholarships/scholarships_undergrad.htm</v>
      </c>
      <c r="P690" s="14" t="s">
        <v>2204</v>
      </c>
      <c r="Q690" s="93">
        <v>0.32</v>
      </c>
      <c r="R690" s="23" t="s">
        <v>109</v>
      </c>
      <c r="S690" s="14" t="s">
        <v>2205</v>
      </c>
      <c r="T690" s="12"/>
      <c r="U690" s="12">
        <v>3.3</v>
      </c>
      <c r="V690" s="12"/>
      <c r="W690" s="12"/>
      <c r="X690" s="12"/>
      <c r="Y690" s="12"/>
      <c r="Z690" s="12"/>
      <c r="AA690" s="12"/>
    </row>
    <row r="691" spans="1:27" ht="221.25" customHeight="1" x14ac:dyDescent="0.2">
      <c r="A691" s="23" t="s">
        <v>2175</v>
      </c>
      <c r="B691" s="14" t="s">
        <v>2202</v>
      </c>
      <c r="C691" s="14" t="s">
        <v>59</v>
      </c>
      <c r="D691" s="12"/>
      <c r="E691" s="14" t="s">
        <v>60</v>
      </c>
      <c r="F691" s="14" t="s">
        <v>72</v>
      </c>
      <c r="G691" s="12"/>
      <c r="H691" s="17" t="s">
        <v>2208</v>
      </c>
      <c r="I691" s="17" t="s">
        <v>74</v>
      </c>
      <c r="J691" s="14" t="s">
        <v>2210</v>
      </c>
      <c r="K691" s="12"/>
      <c r="L691" s="12"/>
      <c r="M691" s="12"/>
      <c r="N691" s="12"/>
      <c r="O691" s="30" t="str">
        <f t="shared" si="104"/>
        <v>http://www.baruch.cuny.edu/scholarships/scholarships_undergrad.htm</v>
      </c>
      <c r="P691" s="14" t="s">
        <v>2204</v>
      </c>
      <c r="Q691" s="93">
        <v>0.32</v>
      </c>
      <c r="R691" s="23" t="s">
        <v>109</v>
      </c>
      <c r="S691" s="14" t="s">
        <v>2205</v>
      </c>
      <c r="T691" s="12"/>
      <c r="U691" s="12">
        <v>3.3</v>
      </c>
      <c r="V691" s="12"/>
      <c r="W691" s="12"/>
      <c r="X691" s="12"/>
      <c r="Y691" s="12"/>
      <c r="Z691" s="12"/>
      <c r="AA691" s="12"/>
    </row>
    <row r="692" spans="1:27" ht="142.5" customHeight="1" x14ac:dyDescent="0.2">
      <c r="A692" s="23" t="s">
        <v>2175</v>
      </c>
      <c r="B692" s="14" t="s">
        <v>2202</v>
      </c>
      <c r="C692" s="14" t="s">
        <v>59</v>
      </c>
      <c r="D692" s="12"/>
      <c r="E692" s="14" t="s">
        <v>111</v>
      </c>
      <c r="F692" s="14" t="s">
        <v>72</v>
      </c>
      <c r="G692" s="12"/>
      <c r="H692" s="17" t="s">
        <v>2208</v>
      </c>
      <c r="I692" s="17" t="s">
        <v>74</v>
      </c>
      <c r="J692" s="14" t="s">
        <v>2211</v>
      </c>
      <c r="K692" s="12"/>
      <c r="L692" s="12"/>
      <c r="M692" s="12"/>
      <c r="N692" s="12"/>
      <c r="O692" s="30" t="str">
        <f t="shared" si="104"/>
        <v>http://www.baruch.cuny.edu/scholarships/scholarships_undergrad.htm</v>
      </c>
      <c r="P692" s="14" t="s">
        <v>2204</v>
      </c>
      <c r="Q692" s="93">
        <v>0.32</v>
      </c>
      <c r="R692" s="23" t="s">
        <v>109</v>
      </c>
      <c r="S692" s="14" t="s">
        <v>2205</v>
      </c>
      <c r="T692" s="12"/>
      <c r="U692" s="12">
        <v>3.3</v>
      </c>
      <c r="V692" s="12"/>
      <c r="W692" s="12"/>
      <c r="X692" s="12"/>
      <c r="Y692" s="12"/>
      <c r="Z692" s="12"/>
      <c r="AA692" s="12"/>
    </row>
    <row r="693" spans="1:27" ht="268.5" customHeight="1" x14ac:dyDescent="0.2">
      <c r="A693" s="23" t="s">
        <v>2175</v>
      </c>
      <c r="B693" s="14" t="s">
        <v>2202</v>
      </c>
      <c r="C693" s="14" t="s">
        <v>59</v>
      </c>
      <c r="D693" s="12"/>
      <c r="E693" s="14" t="s">
        <v>60</v>
      </c>
      <c r="F693" s="14" t="s">
        <v>72</v>
      </c>
      <c r="G693" s="12"/>
      <c r="H693" s="17" t="s">
        <v>2212</v>
      </c>
      <c r="I693" s="17">
        <v>3</v>
      </c>
      <c r="J693" s="14" t="s">
        <v>2213</v>
      </c>
      <c r="K693" s="12"/>
      <c r="L693" s="12"/>
      <c r="M693" s="12"/>
      <c r="N693" s="12"/>
      <c r="O693" s="30" t="str">
        <f t="shared" si="104"/>
        <v>http://www.baruch.cuny.edu/scholarships/scholarships_undergrad.htm</v>
      </c>
      <c r="P693" s="14" t="s">
        <v>2204</v>
      </c>
      <c r="Q693" s="93">
        <v>0.32</v>
      </c>
      <c r="R693" s="23" t="s">
        <v>109</v>
      </c>
      <c r="S693" s="14" t="s">
        <v>2205</v>
      </c>
      <c r="T693" s="12"/>
      <c r="U693" s="12">
        <v>3.3</v>
      </c>
      <c r="V693" s="12"/>
      <c r="W693" s="12"/>
      <c r="X693" s="12"/>
      <c r="Y693" s="12"/>
      <c r="Z693" s="12"/>
      <c r="AA693" s="12"/>
    </row>
    <row r="694" spans="1:27" ht="205.5" customHeight="1" x14ac:dyDescent="0.2">
      <c r="A694" s="23" t="s">
        <v>2175</v>
      </c>
      <c r="B694" s="14" t="s">
        <v>2202</v>
      </c>
      <c r="C694" s="14" t="s">
        <v>59</v>
      </c>
      <c r="D694" s="12"/>
      <c r="E694" s="14" t="s">
        <v>60</v>
      </c>
      <c r="F694" s="14" t="s">
        <v>72</v>
      </c>
      <c r="G694" s="12"/>
      <c r="H694" s="17" t="s">
        <v>2214</v>
      </c>
      <c r="I694" s="17" t="s">
        <v>74</v>
      </c>
      <c r="J694" s="14" t="s">
        <v>2215</v>
      </c>
      <c r="K694" s="12"/>
      <c r="L694" s="12"/>
      <c r="M694" s="12"/>
      <c r="N694" s="12"/>
      <c r="O694" s="30" t="str">
        <f t="shared" si="104"/>
        <v>http://www.baruch.cuny.edu/scholarships/scholarships_undergrad.htm</v>
      </c>
      <c r="P694" s="14" t="s">
        <v>2204</v>
      </c>
      <c r="Q694" s="93">
        <v>0.32</v>
      </c>
      <c r="R694" s="23" t="s">
        <v>109</v>
      </c>
      <c r="S694" s="14" t="s">
        <v>2205</v>
      </c>
      <c r="T694" s="12"/>
      <c r="U694" s="12">
        <v>3.3</v>
      </c>
      <c r="V694" s="12"/>
      <c r="W694" s="12"/>
      <c r="X694" s="12"/>
      <c r="Y694" s="12"/>
      <c r="Z694" s="12"/>
      <c r="AA694" s="12"/>
    </row>
    <row r="695" spans="1:27" ht="205.5" customHeight="1" x14ac:dyDescent="0.2">
      <c r="A695" s="23" t="s">
        <v>2175</v>
      </c>
      <c r="B695" s="14" t="s">
        <v>2202</v>
      </c>
      <c r="C695" s="14" t="s">
        <v>59</v>
      </c>
      <c r="D695" s="12"/>
      <c r="E695" s="14" t="s">
        <v>60</v>
      </c>
      <c r="F695" s="14" t="s">
        <v>72</v>
      </c>
      <c r="G695" s="12"/>
      <c r="H695" s="17" t="s">
        <v>2216</v>
      </c>
      <c r="I695" s="17">
        <v>1</v>
      </c>
      <c r="J695" s="14" t="s">
        <v>2217</v>
      </c>
      <c r="K695" s="12"/>
      <c r="L695" s="12"/>
      <c r="M695" s="12"/>
      <c r="N695" s="12"/>
      <c r="O695" s="30" t="str">
        <f t="shared" si="104"/>
        <v>http://www.baruch.cuny.edu/scholarships/scholarships_undergrad.htm</v>
      </c>
      <c r="P695" s="14" t="s">
        <v>2204</v>
      </c>
      <c r="Q695" s="93">
        <v>0.32</v>
      </c>
      <c r="R695" s="23" t="s">
        <v>109</v>
      </c>
      <c r="S695" s="14" t="s">
        <v>2205</v>
      </c>
      <c r="T695" s="12"/>
      <c r="U695" s="12">
        <v>3.3</v>
      </c>
      <c r="V695" s="12"/>
      <c r="W695" s="12"/>
      <c r="X695" s="12"/>
      <c r="Y695" s="12"/>
      <c r="Z695" s="12"/>
      <c r="AA695" s="12"/>
    </row>
    <row r="696" spans="1:27" ht="217" x14ac:dyDescent="0.2">
      <c r="A696" s="23" t="s">
        <v>2175</v>
      </c>
      <c r="B696" s="14" t="s">
        <v>2218</v>
      </c>
      <c r="C696" s="14" t="s">
        <v>59</v>
      </c>
      <c r="D696" s="12"/>
      <c r="E696" s="14" t="s">
        <v>177</v>
      </c>
      <c r="F696" s="14" t="s">
        <v>72</v>
      </c>
      <c r="G696" s="12"/>
      <c r="H696" s="17" t="s">
        <v>454</v>
      </c>
      <c r="I696" s="17" t="s">
        <v>74</v>
      </c>
      <c r="J696" s="56" t="s">
        <v>2219</v>
      </c>
      <c r="K696" s="12"/>
      <c r="L696" s="12"/>
      <c r="M696" s="12"/>
      <c r="N696" s="12"/>
      <c r="O696" s="30" t="str">
        <f>HYPERLINK("http://www.jjay.cuny.edu/scholarships-incoming-freshmen","http://www.jjay.cuny.edu/scholarships-incoming-freshmen")</f>
        <v>http://www.jjay.cuny.edu/scholarships-incoming-freshmen</v>
      </c>
      <c r="P696" s="14" t="s">
        <v>2220</v>
      </c>
      <c r="Q696" s="97">
        <v>0.52</v>
      </c>
      <c r="R696" s="23" t="s">
        <v>109</v>
      </c>
      <c r="S696" s="14" t="s">
        <v>2221</v>
      </c>
      <c r="T696" s="12"/>
      <c r="U696" s="12">
        <v>2.84</v>
      </c>
      <c r="V696" s="12"/>
      <c r="W696" s="12"/>
      <c r="X696" s="12"/>
      <c r="Y696" s="12"/>
      <c r="Z696" s="12"/>
      <c r="AA696" s="12"/>
    </row>
    <row r="697" spans="1:27" ht="325" x14ac:dyDescent="0.2">
      <c r="A697" s="109" t="s">
        <v>2175</v>
      </c>
      <c r="B697" s="110" t="s">
        <v>2222</v>
      </c>
      <c r="C697" s="110" t="s">
        <v>59</v>
      </c>
      <c r="D697" s="112"/>
      <c r="E697" s="110" t="s">
        <v>88</v>
      </c>
      <c r="F697" s="110" t="s">
        <v>72</v>
      </c>
      <c r="G697" s="112"/>
      <c r="H697" s="17" t="s">
        <v>454</v>
      </c>
      <c r="I697" s="17" t="s">
        <v>74</v>
      </c>
      <c r="J697" s="209" t="s">
        <v>2223</v>
      </c>
      <c r="K697" s="112"/>
      <c r="L697" s="112"/>
      <c r="M697" s="112"/>
      <c r="N697" s="112"/>
      <c r="O697" s="210"/>
      <c r="P697" s="110" t="s">
        <v>2224</v>
      </c>
      <c r="Q697" s="211">
        <v>0.23</v>
      </c>
      <c r="R697" s="109" t="s">
        <v>109</v>
      </c>
      <c r="S697" s="110" t="s">
        <v>2225</v>
      </c>
      <c r="T697" s="112"/>
      <c r="U697" s="112" t="s">
        <v>81</v>
      </c>
      <c r="V697" s="112"/>
      <c r="W697" s="112"/>
      <c r="X697" s="112"/>
      <c r="Y697" s="112"/>
      <c r="Z697" s="112"/>
      <c r="AA697" s="112"/>
    </row>
    <row r="698" spans="1:27" ht="284.25" customHeight="1" x14ac:dyDescent="0.2">
      <c r="A698" s="23" t="s">
        <v>2175</v>
      </c>
      <c r="B698" s="14" t="s">
        <v>2226</v>
      </c>
      <c r="C698" s="14" t="s">
        <v>101</v>
      </c>
      <c r="D698" s="12"/>
      <c r="E698" s="14" t="s">
        <v>60</v>
      </c>
      <c r="F698" s="14" t="s">
        <v>145</v>
      </c>
      <c r="G698" s="12"/>
      <c r="H698" s="17" t="s">
        <v>157</v>
      </c>
      <c r="I698" s="17" t="s">
        <v>74</v>
      </c>
      <c r="J698" s="14" t="s">
        <v>2227</v>
      </c>
      <c r="K698" s="12">
        <v>19</v>
      </c>
      <c r="L698" s="12">
        <v>920</v>
      </c>
      <c r="M698" s="17" t="s">
        <v>76</v>
      </c>
      <c r="N698" s="12">
        <v>2.5</v>
      </c>
      <c r="O698" s="30" t="str">
        <f>HYPERLINK("http://www.elmira.edu/admissions-aid/Tuition_Aid/Scholarships_and_Aid/ROTC_Scholarships.html","http://www.elmira.edu/admissions-aid/Tuition_Aid/Scholarships_and_Aid/ROTC_Scholarships.html")</f>
        <v>http://www.elmira.edu/admissions-aid/Tuition_Aid/Scholarships_and_Aid/ROTC_Scholarships.html</v>
      </c>
      <c r="P698" s="33">
        <v>41900</v>
      </c>
      <c r="Q698" s="25">
        <v>0.76</v>
      </c>
      <c r="R698" s="14" t="s">
        <v>142</v>
      </c>
      <c r="S698" s="14" t="s">
        <v>2228</v>
      </c>
      <c r="T698" s="12"/>
      <c r="U698" s="12">
        <v>3.28</v>
      </c>
      <c r="V698" s="12"/>
      <c r="W698" s="12"/>
      <c r="X698" s="12"/>
      <c r="Y698" s="12"/>
      <c r="Z698" s="12"/>
      <c r="AA698" s="12"/>
    </row>
    <row r="699" spans="1:27" ht="111" customHeight="1" x14ac:dyDescent="0.2">
      <c r="A699" s="23" t="s">
        <v>2175</v>
      </c>
      <c r="B699" s="14" t="s">
        <v>2229</v>
      </c>
      <c r="C699" s="14" t="s">
        <v>101</v>
      </c>
      <c r="D699" s="12"/>
      <c r="E699" s="14" t="s">
        <v>111</v>
      </c>
      <c r="F699" s="14" t="s">
        <v>72</v>
      </c>
      <c r="G699" s="12"/>
      <c r="H699" s="17" t="s">
        <v>2230</v>
      </c>
      <c r="I699" s="17" t="s">
        <v>74</v>
      </c>
      <c r="J699" s="14" t="s">
        <v>2231</v>
      </c>
      <c r="K699" s="12"/>
      <c r="L699" s="12"/>
      <c r="M699" s="12"/>
      <c r="N699" s="12"/>
      <c r="O699" s="30" t="str">
        <f t="shared" ref="O699:O700" si="105">HYPERLINK("http://216.230.117.32/section6/section79/index.html","http://216.230.117.32/section6/section79/index.html")</f>
        <v>http://216.230.117.32/section6/section79/index.html</v>
      </c>
      <c r="P699" s="33">
        <v>49073</v>
      </c>
      <c r="Q699" s="25">
        <v>0.48</v>
      </c>
      <c r="R699" s="14" t="s">
        <v>616</v>
      </c>
      <c r="S699" s="14" t="s">
        <v>2232</v>
      </c>
      <c r="T699" s="12"/>
      <c r="U699" s="12">
        <v>3.64</v>
      </c>
      <c r="V699" s="12"/>
      <c r="W699" s="12"/>
      <c r="X699" s="12"/>
      <c r="Y699" s="12"/>
      <c r="Z699" s="12"/>
      <c r="AA699" s="12"/>
    </row>
    <row r="700" spans="1:27" ht="111" customHeight="1" x14ac:dyDescent="0.2">
      <c r="A700" s="23" t="s">
        <v>2175</v>
      </c>
      <c r="B700" s="14" t="s">
        <v>2229</v>
      </c>
      <c r="C700" s="14" t="s">
        <v>101</v>
      </c>
      <c r="D700" s="12"/>
      <c r="E700" s="14" t="s">
        <v>111</v>
      </c>
      <c r="F700" s="14" t="s">
        <v>72</v>
      </c>
      <c r="G700" s="12"/>
      <c r="H700" s="17" t="s">
        <v>1913</v>
      </c>
      <c r="I700" s="17" t="s">
        <v>74</v>
      </c>
      <c r="J700" s="14" t="s">
        <v>2233</v>
      </c>
      <c r="K700" s="12"/>
      <c r="L700" s="12"/>
      <c r="M700" s="12"/>
      <c r="N700" s="12"/>
      <c r="O700" s="30" t="str">
        <f t="shared" si="105"/>
        <v>http://216.230.117.32/section6/section79/index.html</v>
      </c>
      <c r="P700" s="33">
        <v>49073</v>
      </c>
      <c r="Q700" s="25">
        <v>0.48</v>
      </c>
      <c r="R700" s="14" t="s">
        <v>616</v>
      </c>
      <c r="S700" s="14" t="s">
        <v>2232</v>
      </c>
      <c r="T700" s="12"/>
      <c r="U700" s="12">
        <v>3.64</v>
      </c>
      <c r="V700" s="12"/>
      <c r="W700" s="12"/>
      <c r="X700" s="12"/>
      <c r="Y700" s="12"/>
      <c r="Z700" s="12"/>
      <c r="AA700" s="12"/>
    </row>
    <row r="701" spans="1:27" ht="120.75" customHeight="1" x14ac:dyDescent="0.2">
      <c r="A701" s="39" t="s">
        <v>2175</v>
      </c>
      <c r="B701" s="40" t="s">
        <v>2229</v>
      </c>
      <c r="C701" s="40" t="s">
        <v>101</v>
      </c>
      <c r="D701" s="40"/>
      <c r="E701" s="40" t="s">
        <v>238</v>
      </c>
      <c r="F701" s="40" t="s">
        <v>92</v>
      </c>
      <c r="G701" s="40"/>
      <c r="H701" s="69" t="s">
        <v>2234</v>
      </c>
      <c r="I701" s="69" t="s">
        <v>74</v>
      </c>
      <c r="J701" s="40" t="s">
        <v>2235</v>
      </c>
      <c r="K701" s="40"/>
      <c r="L701" s="40"/>
      <c r="M701" s="40"/>
      <c r="N701" s="40"/>
      <c r="O701" s="59" t="s">
        <v>2236</v>
      </c>
      <c r="P701" s="41">
        <v>49073</v>
      </c>
      <c r="Q701" s="42">
        <v>0.48</v>
      </c>
      <c r="R701" s="40" t="s">
        <v>616</v>
      </c>
      <c r="S701" s="40" t="s">
        <v>2232</v>
      </c>
      <c r="T701" s="40"/>
      <c r="U701" s="40">
        <v>3.64</v>
      </c>
      <c r="V701" s="40"/>
      <c r="W701" s="40"/>
      <c r="X701" s="40"/>
      <c r="Y701" s="40"/>
      <c r="Z701" s="40"/>
      <c r="AA701" s="40"/>
    </row>
    <row r="702" spans="1:27" ht="111" customHeight="1" x14ac:dyDescent="0.2">
      <c r="A702" s="23" t="s">
        <v>2175</v>
      </c>
      <c r="B702" s="14" t="s">
        <v>2237</v>
      </c>
      <c r="C702" s="14" t="s">
        <v>101</v>
      </c>
      <c r="D702" s="17" t="s">
        <v>2238</v>
      </c>
      <c r="E702" s="14" t="s">
        <v>60</v>
      </c>
      <c r="F702" s="14" t="s">
        <v>313</v>
      </c>
      <c r="G702" s="12"/>
      <c r="H702" s="17" t="s">
        <v>1978</v>
      </c>
      <c r="I702" s="17">
        <v>2</v>
      </c>
      <c r="J702" s="14" t="s">
        <v>2239</v>
      </c>
      <c r="K702" s="12"/>
      <c r="L702" s="12"/>
      <c r="M702" s="12"/>
      <c r="N702" s="12"/>
      <c r="O702" s="30" t="str">
        <f>HYPERLINK("http://www.hofstra.edu/About/global/diversity/diversity_scholarships.html","http://www.hofstra.edu/About/global/diversity/diversity_scholarships.html")</f>
        <v>http://www.hofstra.edu/About/global/diversity/diversity_scholarships.html</v>
      </c>
      <c r="P702" s="33">
        <v>42160</v>
      </c>
      <c r="Q702" s="25">
        <v>0.61</v>
      </c>
      <c r="R702" s="14" t="s">
        <v>687</v>
      </c>
      <c r="S702" s="14" t="s">
        <v>2240</v>
      </c>
      <c r="T702" s="12"/>
      <c r="U702" s="12">
        <v>3.62</v>
      </c>
      <c r="V702" s="12"/>
      <c r="W702" s="12"/>
      <c r="X702" s="12"/>
      <c r="Y702" s="12"/>
      <c r="Z702" s="12"/>
      <c r="AA702" s="12"/>
    </row>
    <row r="703" spans="1:27" ht="111" customHeight="1" x14ac:dyDescent="0.2">
      <c r="A703" s="23" t="s">
        <v>2175</v>
      </c>
      <c r="B703" s="14" t="s">
        <v>2237</v>
      </c>
      <c r="C703" s="14" t="s">
        <v>101</v>
      </c>
      <c r="D703" s="12"/>
      <c r="E703" s="14" t="s">
        <v>60</v>
      </c>
      <c r="F703" s="14" t="s">
        <v>72</v>
      </c>
      <c r="G703" s="12"/>
      <c r="H703" s="17" t="s">
        <v>62</v>
      </c>
      <c r="I703" s="17">
        <v>30</v>
      </c>
      <c r="J703" s="14" t="s">
        <v>2241</v>
      </c>
      <c r="K703" s="12"/>
      <c r="L703" s="17">
        <v>1556</v>
      </c>
      <c r="M703" s="17" t="s">
        <v>76</v>
      </c>
      <c r="N703" s="12">
        <v>4.3</v>
      </c>
      <c r="O703" s="30" t="str">
        <f>HYPERLINK("http://www.hofstra.edu/admission/adm_firstyear_scholarship.html","http://www.hofstra.edu/admission/adm_firstyear_scholarship.html")</f>
        <v>http://www.hofstra.edu/admission/adm_firstyear_scholarship.html</v>
      </c>
      <c r="P703" s="33">
        <v>42160</v>
      </c>
      <c r="Q703" s="25">
        <v>0.61</v>
      </c>
      <c r="R703" s="14" t="s">
        <v>687</v>
      </c>
      <c r="S703" s="14" t="s">
        <v>2240</v>
      </c>
      <c r="T703" s="12"/>
      <c r="U703" s="12">
        <v>3.62</v>
      </c>
      <c r="V703" s="12"/>
      <c r="W703" s="12"/>
      <c r="X703" s="12"/>
      <c r="Y703" s="12"/>
      <c r="Z703" s="12"/>
      <c r="AA703" s="12"/>
    </row>
    <row r="704" spans="1:27" ht="268.5" customHeight="1" x14ac:dyDescent="0.2">
      <c r="A704" s="23" t="s">
        <v>2175</v>
      </c>
      <c r="B704" s="14" t="s">
        <v>2242</v>
      </c>
      <c r="C704" s="14" t="s">
        <v>101</v>
      </c>
      <c r="D704" s="12"/>
      <c r="E704" s="14" t="s">
        <v>2243</v>
      </c>
      <c r="F704" s="14" t="s">
        <v>61</v>
      </c>
      <c r="G704" s="12"/>
      <c r="H704" s="17" t="s">
        <v>326</v>
      </c>
      <c r="I704" s="17" t="s">
        <v>74</v>
      </c>
      <c r="J704" s="16" t="s">
        <v>2244</v>
      </c>
      <c r="K704" s="17">
        <v>30</v>
      </c>
      <c r="L704" s="12">
        <v>1400</v>
      </c>
      <c r="M704" s="12" t="s">
        <v>197</v>
      </c>
      <c r="N704" s="17">
        <v>4</v>
      </c>
      <c r="O704" s="30" t="str">
        <f t="shared" ref="O704:O705" si="106">HYPERLINK("http://www.houghton.edu/financial-aid/scholarships-grants/","http://www.houghton.edu/financial-aid/scholarships-grants/")</f>
        <v>http://www.houghton.edu/financial-aid/scholarships-grants/</v>
      </c>
      <c r="P704" s="33">
        <v>30336</v>
      </c>
      <c r="Q704" s="25">
        <v>0.94</v>
      </c>
      <c r="R704" s="14" t="s">
        <v>1879</v>
      </c>
      <c r="S704" s="14" t="s">
        <v>2245</v>
      </c>
      <c r="T704" s="12"/>
      <c r="U704" s="12">
        <v>3.52</v>
      </c>
      <c r="V704" s="12"/>
      <c r="W704" s="12"/>
      <c r="X704" s="12"/>
      <c r="Y704" s="12"/>
      <c r="Z704" s="12"/>
      <c r="AA704" s="12"/>
    </row>
    <row r="705" spans="1:27" ht="142.5" customHeight="1" x14ac:dyDescent="0.2">
      <c r="A705" s="23" t="s">
        <v>2175</v>
      </c>
      <c r="B705" s="14" t="s">
        <v>2242</v>
      </c>
      <c r="C705" s="14" t="s">
        <v>101</v>
      </c>
      <c r="D705" s="12"/>
      <c r="E705" s="14" t="s">
        <v>177</v>
      </c>
      <c r="F705" s="14" t="s">
        <v>72</v>
      </c>
      <c r="G705" s="12"/>
      <c r="H705" s="17" t="s">
        <v>239</v>
      </c>
      <c r="I705" s="17" t="s">
        <v>74</v>
      </c>
      <c r="J705" s="14" t="s">
        <v>2246</v>
      </c>
      <c r="K705" s="12"/>
      <c r="L705" s="12"/>
      <c r="M705" s="12"/>
      <c r="N705" s="12"/>
      <c r="O705" s="30" t="str">
        <f t="shared" si="106"/>
        <v>http://www.houghton.edu/financial-aid/scholarships-grants/</v>
      </c>
      <c r="P705" s="33">
        <v>30336</v>
      </c>
      <c r="Q705" s="25">
        <v>0.94</v>
      </c>
      <c r="R705" s="14" t="s">
        <v>1879</v>
      </c>
      <c r="S705" s="14" t="s">
        <v>2245</v>
      </c>
      <c r="T705" s="12"/>
      <c r="U705" s="12">
        <v>3.52</v>
      </c>
      <c r="V705" s="12"/>
      <c r="W705" s="12"/>
      <c r="X705" s="12"/>
      <c r="Y705" s="12"/>
      <c r="Z705" s="12"/>
      <c r="AA705" s="12"/>
    </row>
    <row r="706" spans="1:27" ht="90.75" customHeight="1" x14ac:dyDescent="0.2">
      <c r="A706" s="39" t="s">
        <v>2175</v>
      </c>
      <c r="B706" s="40" t="s">
        <v>2242</v>
      </c>
      <c r="C706" s="40" t="s">
        <v>101</v>
      </c>
      <c r="D706" s="40"/>
      <c r="E706" s="40" t="s">
        <v>2243</v>
      </c>
      <c r="F706" s="40" t="s">
        <v>92</v>
      </c>
      <c r="G706" s="40"/>
      <c r="H706" s="69" t="s">
        <v>93</v>
      </c>
      <c r="I706" s="69" t="s">
        <v>63</v>
      </c>
      <c r="J706" s="40" t="s">
        <v>2247</v>
      </c>
      <c r="K706" s="40"/>
      <c r="L706" s="40"/>
      <c r="M706" s="40"/>
      <c r="N706" s="40"/>
      <c r="O706" s="19" t="s">
        <v>2248</v>
      </c>
      <c r="P706" s="41">
        <v>30336</v>
      </c>
      <c r="Q706" s="42">
        <v>0.94</v>
      </c>
      <c r="R706" s="40" t="s">
        <v>1879</v>
      </c>
      <c r="S706" s="40" t="s">
        <v>2245</v>
      </c>
      <c r="T706" s="40"/>
      <c r="U706" s="40">
        <v>3.52</v>
      </c>
      <c r="V706" s="40"/>
      <c r="W706" s="40"/>
      <c r="X706" s="40"/>
      <c r="Y706" s="40"/>
      <c r="Z706" s="40"/>
      <c r="AA706" s="40"/>
    </row>
    <row r="707" spans="1:27" ht="126.75" customHeight="1" x14ac:dyDescent="0.2">
      <c r="A707" s="23" t="s">
        <v>2175</v>
      </c>
      <c r="B707" s="14" t="s">
        <v>2249</v>
      </c>
      <c r="C707" s="14" t="s">
        <v>101</v>
      </c>
      <c r="D707" s="12"/>
      <c r="E707" s="14" t="s">
        <v>60</v>
      </c>
      <c r="F707" s="14" t="s">
        <v>145</v>
      </c>
      <c r="G707" s="12"/>
      <c r="H707" s="17" t="s">
        <v>157</v>
      </c>
      <c r="I707" s="17" t="s">
        <v>74</v>
      </c>
      <c r="J707" s="14" t="s">
        <v>2250</v>
      </c>
      <c r="K707" s="12"/>
      <c r="L707" s="12"/>
      <c r="M707" s="12"/>
      <c r="N707" s="12"/>
      <c r="O707" s="30" t="str">
        <f>HYPERLINK("http://www.ithaca.edu/finaid/aid/aidtypes/?item=774","http://www.ithaca.edu/finaid/aid/aidtypes/?item=774")</f>
        <v>http://www.ithaca.edu/finaid/aid/aidtypes/?item=774</v>
      </c>
      <c r="P707" s="33">
        <v>41776</v>
      </c>
      <c r="Q707" s="25">
        <v>0.67</v>
      </c>
      <c r="R707" s="14" t="s">
        <v>687</v>
      </c>
      <c r="S707" s="14" t="s">
        <v>2251</v>
      </c>
      <c r="T707" s="12"/>
      <c r="U707" s="12" t="s">
        <v>81</v>
      </c>
      <c r="V707" s="12"/>
      <c r="W707" s="12"/>
      <c r="X707" s="12"/>
      <c r="Y707" s="12"/>
      <c r="Z707" s="12"/>
      <c r="AA707" s="12"/>
    </row>
    <row r="708" spans="1:27" ht="169" x14ac:dyDescent="0.2">
      <c r="A708" s="23" t="s">
        <v>2175</v>
      </c>
      <c r="B708" s="14" t="s">
        <v>2249</v>
      </c>
      <c r="C708" s="14" t="s">
        <v>101</v>
      </c>
      <c r="D708" s="12"/>
      <c r="E708" s="14" t="s">
        <v>111</v>
      </c>
      <c r="F708" s="14" t="s">
        <v>72</v>
      </c>
      <c r="G708" s="12"/>
      <c r="H708" s="17" t="s">
        <v>239</v>
      </c>
      <c r="I708" s="17" t="s">
        <v>2252</v>
      </c>
      <c r="J708" s="56" t="s">
        <v>2253</v>
      </c>
      <c r="K708" s="12"/>
      <c r="L708" s="12"/>
      <c r="M708" s="12"/>
      <c r="N708" s="12"/>
      <c r="O708" s="30" t="str">
        <f>HYPERLINK("http://www.ithaca.edu/parkscholars/award/","http://www.ithaca.edu/parkscholars/award/")</f>
        <v>http://www.ithaca.edu/parkscholars/award/</v>
      </c>
      <c r="P708" s="33">
        <v>41776</v>
      </c>
      <c r="Q708" s="25">
        <v>0.67</v>
      </c>
      <c r="R708" s="14" t="s">
        <v>687</v>
      </c>
      <c r="S708" s="14" t="s">
        <v>2251</v>
      </c>
      <c r="T708" s="12"/>
      <c r="U708" s="12" t="s">
        <v>81</v>
      </c>
      <c r="V708" s="12"/>
      <c r="W708" s="12"/>
      <c r="X708" s="12"/>
      <c r="Y708" s="12"/>
      <c r="Z708" s="12"/>
      <c r="AA708" s="12"/>
    </row>
    <row r="709" spans="1:27" ht="111" customHeight="1" x14ac:dyDescent="0.2">
      <c r="A709" s="23" t="s">
        <v>2175</v>
      </c>
      <c r="B709" s="14" t="s">
        <v>2254</v>
      </c>
      <c r="C709" s="14" t="s">
        <v>101</v>
      </c>
      <c r="D709" s="12"/>
      <c r="E709" s="14" t="s">
        <v>60</v>
      </c>
      <c r="F709" s="14" t="s">
        <v>680</v>
      </c>
      <c r="G709" s="12"/>
      <c r="H709" s="17" t="s">
        <v>93</v>
      </c>
      <c r="I709" s="17" t="s">
        <v>63</v>
      </c>
      <c r="J709" s="14" t="s">
        <v>2255</v>
      </c>
      <c r="K709" s="12"/>
      <c r="L709" s="12"/>
      <c r="M709" s="12"/>
      <c r="N709" s="12"/>
      <c r="O709" s="30" t="str">
        <f>HYPERLINK("http://liu.edu/CWPost/Honors-college/Prestige-and-opportunity/Scholarship-Financial-Aid","http://liu.edu/CWPost/Honors-college/Prestige-and-opportunity/Scholarship-Financial-Aid")</f>
        <v>http://liu.edu/CWPost/Honors-college/Prestige-and-opportunity/Scholarship-Financial-Aid</v>
      </c>
      <c r="P709" s="33">
        <v>36256</v>
      </c>
      <c r="Q709" s="25">
        <v>0.81</v>
      </c>
      <c r="R709" s="14" t="s">
        <v>385</v>
      </c>
      <c r="S709" s="14" t="s">
        <v>2256</v>
      </c>
      <c r="T709" s="12"/>
      <c r="U709" s="12">
        <v>3.11</v>
      </c>
      <c r="V709" s="12"/>
      <c r="W709" s="12"/>
      <c r="X709" s="12"/>
      <c r="Y709" s="12"/>
      <c r="Z709" s="12"/>
      <c r="AA709" s="12"/>
    </row>
    <row r="710" spans="1:27" ht="224" x14ac:dyDescent="0.2">
      <c r="A710" s="23" t="s">
        <v>2175</v>
      </c>
      <c r="B710" s="14" t="s">
        <v>2257</v>
      </c>
      <c r="C710" s="14" t="s">
        <v>101</v>
      </c>
      <c r="D710" s="12"/>
      <c r="E710" s="14" t="s">
        <v>2258</v>
      </c>
      <c r="F710" s="14" t="s">
        <v>72</v>
      </c>
      <c r="G710" s="12"/>
      <c r="H710" s="17" t="s">
        <v>2259</v>
      </c>
      <c r="I710" s="17" t="s">
        <v>74</v>
      </c>
      <c r="J710" s="14" t="s">
        <v>2260</v>
      </c>
      <c r="K710" s="12"/>
      <c r="L710" s="12"/>
      <c r="M710" s="12"/>
      <c r="N710" s="12"/>
      <c r="O710" s="30" t="str">
        <f t="shared" ref="O710:O712" si="107">HYPERLINK("http://www.molloy.edu/admissions/financial-aid/scholarships/institutional-scholarships","http://www.molloy.edu/admissions/financial-aid/scholarships/institutional-scholarships")</f>
        <v>http://www.molloy.edu/admissions/financial-aid/scholarships/institutional-scholarships</v>
      </c>
      <c r="P710" s="33">
        <v>29100</v>
      </c>
      <c r="Q710" s="25">
        <v>0.76</v>
      </c>
      <c r="R710" s="14" t="s">
        <v>565</v>
      </c>
      <c r="S710" s="14" t="s">
        <v>2261</v>
      </c>
      <c r="T710" s="12"/>
      <c r="U710" s="12">
        <v>3</v>
      </c>
      <c r="V710" s="12"/>
      <c r="W710" s="12"/>
      <c r="X710" s="12"/>
      <c r="Y710" s="12"/>
      <c r="Z710" s="12"/>
      <c r="AA710" s="12"/>
    </row>
    <row r="711" spans="1:27" ht="181" x14ac:dyDescent="0.2">
      <c r="A711" s="23" t="s">
        <v>2175</v>
      </c>
      <c r="B711" s="14" t="s">
        <v>2257</v>
      </c>
      <c r="C711" s="14" t="s">
        <v>101</v>
      </c>
      <c r="D711" s="12"/>
      <c r="E711" s="14" t="s">
        <v>177</v>
      </c>
      <c r="F711" s="14" t="s">
        <v>72</v>
      </c>
      <c r="G711" s="12"/>
      <c r="H711" s="17" t="s">
        <v>2105</v>
      </c>
      <c r="I711" s="17" t="s">
        <v>74</v>
      </c>
      <c r="J711" s="56" t="s">
        <v>2262</v>
      </c>
      <c r="K711" s="24">
        <v>29</v>
      </c>
      <c r="L711" s="24">
        <v>1300</v>
      </c>
      <c r="M711" s="16" t="s">
        <v>76</v>
      </c>
      <c r="N711" s="24"/>
      <c r="O711" s="30" t="str">
        <f t="shared" si="107"/>
        <v>http://www.molloy.edu/admissions/financial-aid/scholarships/institutional-scholarships</v>
      </c>
      <c r="P711" s="33">
        <v>29100</v>
      </c>
      <c r="Q711" s="93">
        <v>0.76</v>
      </c>
      <c r="R711" s="23" t="s">
        <v>565</v>
      </c>
      <c r="S711" s="14" t="s">
        <v>2261</v>
      </c>
      <c r="T711" s="12"/>
      <c r="U711" s="12">
        <v>3</v>
      </c>
      <c r="V711" s="12"/>
      <c r="W711" s="12"/>
      <c r="X711" s="12"/>
      <c r="Y711" s="12"/>
      <c r="Z711" s="12"/>
      <c r="AA711" s="12"/>
    </row>
    <row r="712" spans="1:27" ht="193" x14ac:dyDescent="0.2">
      <c r="A712" s="23" t="s">
        <v>2175</v>
      </c>
      <c r="B712" s="14" t="s">
        <v>2257</v>
      </c>
      <c r="C712" s="14" t="s">
        <v>101</v>
      </c>
      <c r="D712" s="12"/>
      <c r="E712" s="14" t="s">
        <v>238</v>
      </c>
      <c r="F712" s="14" t="s">
        <v>461</v>
      </c>
      <c r="G712" s="12"/>
      <c r="H712" s="17" t="s">
        <v>2263</v>
      </c>
      <c r="I712" s="17" t="s">
        <v>74</v>
      </c>
      <c r="J712" s="56" t="s">
        <v>2264</v>
      </c>
      <c r="K712" s="12"/>
      <c r="L712" s="12"/>
      <c r="M712" s="12"/>
      <c r="N712" s="12"/>
      <c r="O712" s="30" t="str">
        <f t="shared" si="107"/>
        <v>http://www.molloy.edu/admissions/financial-aid/scholarships/institutional-scholarships</v>
      </c>
      <c r="P712" s="33">
        <v>29100</v>
      </c>
      <c r="Q712" s="93">
        <v>0.76</v>
      </c>
      <c r="R712" s="23" t="s">
        <v>565</v>
      </c>
      <c r="S712" s="14" t="s">
        <v>2261</v>
      </c>
      <c r="T712" s="12"/>
      <c r="U712" s="12">
        <v>3</v>
      </c>
      <c r="V712" s="12"/>
      <c r="W712" s="12"/>
      <c r="X712" s="12"/>
      <c r="Y712" s="12"/>
      <c r="Z712" s="12"/>
      <c r="AA712" s="12"/>
    </row>
    <row r="713" spans="1:27" ht="169" x14ac:dyDescent="0.2">
      <c r="A713" s="109" t="s">
        <v>2175</v>
      </c>
      <c r="B713" s="110" t="s">
        <v>2265</v>
      </c>
      <c r="C713" s="110" t="s">
        <v>59</v>
      </c>
      <c r="D713" s="128" t="s">
        <v>2266</v>
      </c>
      <c r="E713" s="110" t="s">
        <v>60</v>
      </c>
      <c r="F713" s="110" t="s">
        <v>61</v>
      </c>
      <c r="G713" s="112"/>
      <c r="H713" s="117" t="s">
        <v>1978</v>
      </c>
      <c r="I713" s="117" t="s">
        <v>74</v>
      </c>
      <c r="J713" s="209" t="s">
        <v>2267</v>
      </c>
      <c r="K713" s="112"/>
      <c r="L713" s="112"/>
      <c r="M713" s="112"/>
      <c r="N713" s="112"/>
      <c r="O713" s="113" t="str">
        <f>HYPERLINK("http://www.morrisville.edu/financial_aid/awardlist.aspx?sortby=category&amp;id=1","http://www.morrisville.edu/financial_aid/awardlist.aspx?sortby=category&amp;id=1")</f>
        <v>http://www.morrisville.edu/financial_aid/awardlist.aspx?sortby=category&amp;id=1</v>
      </c>
      <c r="P713" s="110" t="s">
        <v>2268</v>
      </c>
      <c r="Q713" s="114">
        <v>0.56200000000000006</v>
      </c>
      <c r="R713" s="110" t="s">
        <v>834</v>
      </c>
      <c r="S713" s="110" t="s">
        <v>2269</v>
      </c>
      <c r="T713" s="112"/>
      <c r="U713" s="112" t="s">
        <v>81</v>
      </c>
      <c r="V713" s="112"/>
      <c r="W713" s="112"/>
      <c r="X713" s="112"/>
      <c r="Y713" s="112"/>
      <c r="Z713" s="112"/>
      <c r="AA713" s="112"/>
    </row>
    <row r="714" spans="1:27" ht="325" x14ac:dyDescent="0.2">
      <c r="A714" s="23" t="s">
        <v>2175</v>
      </c>
      <c r="B714" s="14" t="s">
        <v>2270</v>
      </c>
      <c r="C714" s="14" t="s">
        <v>101</v>
      </c>
      <c r="D714" s="17" t="s">
        <v>2271</v>
      </c>
      <c r="E714" s="14" t="s">
        <v>191</v>
      </c>
      <c r="F714" s="14" t="s">
        <v>72</v>
      </c>
      <c r="G714" s="12"/>
      <c r="H714" s="17" t="s">
        <v>2272</v>
      </c>
      <c r="I714" s="17">
        <v>1</v>
      </c>
      <c r="J714" s="56" t="s">
        <v>2273</v>
      </c>
      <c r="K714" s="12"/>
      <c r="L714" s="12"/>
      <c r="M714" s="12"/>
      <c r="N714" s="12"/>
      <c r="O714" s="30" t="str">
        <f>HYPERLINK("http://www.roberts.edu/undergraduate/tuition-and-aid/grants-scholarships/merit-scholarships/farash-scholarship.aspx","http://www.roberts.edu/undergraduate/tuition-and-aid/grants-scholarships/merit-scholarships/farash-scholarship.aspx")</f>
        <v>http://www.roberts.edu/undergraduate/tuition-and-aid/grants-scholarships/merit-scholarships/farash-scholarship.aspx</v>
      </c>
      <c r="P714" s="33">
        <v>29740</v>
      </c>
      <c r="Q714" s="97">
        <v>0.66</v>
      </c>
      <c r="R714" s="23" t="s">
        <v>126</v>
      </c>
      <c r="S714" s="14" t="s">
        <v>2274</v>
      </c>
      <c r="T714" s="12"/>
      <c r="U714" s="12">
        <v>3.43</v>
      </c>
      <c r="V714" s="12"/>
      <c r="W714" s="12"/>
      <c r="X714" s="12"/>
      <c r="Y714" s="12"/>
      <c r="Z714" s="12"/>
      <c r="AA714" s="12"/>
    </row>
    <row r="715" spans="1:27" ht="256" x14ac:dyDescent="0.2">
      <c r="A715" s="23" t="s">
        <v>2175</v>
      </c>
      <c r="B715" s="14" t="s">
        <v>2270</v>
      </c>
      <c r="C715" s="14" t="s">
        <v>101</v>
      </c>
      <c r="D715" s="12"/>
      <c r="E715" s="14" t="s">
        <v>177</v>
      </c>
      <c r="F715" s="14" t="s">
        <v>92</v>
      </c>
      <c r="G715" s="12"/>
      <c r="H715" s="17" t="s">
        <v>2275</v>
      </c>
      <c r="I715" s="17" t="s">
        <v>74</v>
      </c>
      <c r="J715" s="14" t="s">
        <v>2276</v>
      </c>
      <c r="K715" s="12"/>
      <c r="L715" s="12"/>
      <c r="M715" s="12"/>
      <c r="N715" s="12"/>
      <c r="O715" s="30" t="str">
        <f>HYPERLINK("http://www.roberts.edu/undergraduate/tuition-and-aid/grants-scholarships/academic-scholarships.aspx","http://www.roberts.edu/undergraduate/tuition-and-aid/grants-scholarships/academic-scholarships.aspx")</f>
        <v>http://www.roberts.edu/undergraduate/tuition-and-aid/grants-scholarships/academic-scholarships.aspx</v>
      </c>
      <c r="P715" s="33">
        <v>29740</v>
      </c>
      <c r="Q715" s="97">
        <v>0.66</v>
      </c>
      <c r="R715" s="23" t="s">
        <v>126</v>
      </c>
      <c r="S715" s="14" t="s">
        <v>2274</v>
      </c>
      <c r="T715" s="12"/>
      <c r="U715" s="12">
        <v>3.43</v>
      </c>
      <c r="V715" s="12"/>
      <c r="W715" s="12"/>
      <c r="X715" s="12"/>
      <c r="Y715" s="12"/>
      <c r="Z715" s="12"/>
      <c r="AA715" s="12"/>
    </row>
    <row r="716" spans="1:27" ht="95.25" customHeight="1" x14ac:dyDescent="0.2">
      <c r="A716" s="23" t="s">
        <v>2175</v>
      </c>
      <c r="B716" s="14" t="s">
        <v>2277</v>
      </c>
      <c r="C716" s="14" t="s">
        <v>101</v>
      </c>
      <c r="D716" s="12"/>
      <c r="E716" s="14" t="s">
        <v>111</v>
      </c>
      <c r="F716" s="14" t="s">
        <v>145</v>
      </c>
      <c r="G716" s="12"/>
      <c r="H716" s="17" t="s">
        <v>157</v>
      </c>
      <c r="I716" s="17" t="s">
        <v>74</v>
      </c>
      <c r="J716" s="14" t="s">
        <v>2278</v>
      </c>
      <c r="K716" s="12"/>
      <c r="L716" s="12"/>
      <c r="M716" s="12"/>
      <c r="N716" s="12"/>
      <c r="O716" s="30" t="str">
        <f>HYPERLINK("http://www.rit.edu/emcs/financialaid/table_merit.html","http://www.rit.edu/emcs/financialaid/table_merit.html")</f>
        <v>http://www.rit.edu/emcs/financialaid/table_merit.html</v>
      </c>
      <c r="P716" s="33">
        <v>38568</v>
      </c>
      <c r="Q716" s="93">
        <v>0.56999999999999995</v>
      </c>
      <c r="R716" s="23" t="s">
        <v>379</v>
      </c>
      <c r="S716" s="14" t="s">
        <v>2279</v>
      </c>
      <c r="T716" s="12"/>
      <c r="U716" s="12">
        <v>3.7</v>
      </c>
      <c r="V716" s="12"/>
      <c r="W716" s="12"/>
      <c r="X716" s="12"/>
      <c r="Y716" s="12"/>
      <c r="Z716" s="12"/>
      <c r="AA716" s="12"/>
    </row>
    <row r="717" spans="1:27" ht="111" customHeight="1" x14ac:dyDescent="0.2">
      <c r="A717" s="23" t="s">
        <v>2175</v>
      </c>
      <c r="B717" s="14" t="s">
        <v>2280</v>
      </c>
      <c r="C717" s="14" t="s">
        <v>101</v>
      </c>
      <c r="D717" s="12"/>
      <c r="E717" s="14" t="s">
        <v>60</v>
      </c>
      <c r="F717" s="14" t="s">
        <v>72</v>
      </c>
      <c r="G717" s="12"/>
      <c r="H717" s="17" t="s">
        <v>239</v>
      </c>
      <c r="I717" s="17" t="s">
        <v>74</v>
      </c>
      <c r="J717" s="14" t="s">
        <v>2281</v>
      </c>
      <c r="K717" s="12"/>
      <c r="L717" s="12"/>
      <c r="M717" s="12"/>
      <c r="N717" s="12"/>
      <c r="O717" s="30" t="str">
        <f t="shared" ref="O717:O718" si="108">HYPERLINK("http://www.stjohns.edu/admission-aid/scholarships/merit-based-scholarships","http://www.stjohns.edu/admission-aid/scholarships/merit-based-scholarships")</f>
        <v>http://www.stjohns.edu/admission-aid/scholarships/merit-based-scholarships</v>
      </c>
      <c r="P717" s="33">
        <v>39460</v>
      </c>
      <c r="Q717" s="93">
        <v>0.65</v>
      </c>
      <c r="R717" s="23" t="s">
        <v>142</v>
      </c>
      <c r="S717" s="14" t="s">
        <v>2282</v>
      </c>
      <c r="T717" s="12"/>
      <c r="U717" s="12">
        <v>3.49</v>
      </c>
      <c r="V717" s="12"/>
      <c r="W717" s="12"/>
      <c r="X717" s="12"/>
      <c r="Y717" s="12"/>
      <c r="Z717" s="12"/>
      <c r="AA717" s="12"/>
    </row>
    <row r="718" spans="1:27" ht="111" customHeight="1" x14ac:dyDescent="0.2">
      <c r="A718" s="23" t="s">
        <v>2175</v>
      </c>
      <c r="B718" s="14" t="s">
        <v>2280</v>
      </c>
      <c r="C718" s="14" t="s">
        <v>101</v>
      </c>
      <c r="D718" s="12"/>
      <c r="E718" s="14" t="s">
        <v>238</v>
      </c>
      <c r="F718" s="14" t="s">
        <v>461</v>
      </c>
      <c r="G718" s="12"/>
      <c r="H718" s="17" t="s">
        <v>2283</v>
      </c>
      <c r="I718" s="17" t="s">
        <v>74</v>
      </c>
      <c r="J718" s="14" t="s">
        <v>2284</v>
      </c>
      <c r="K718" s="12"/>
      <c r="L718" s="12"/>
      <c r="M718" s="12"/>
      <c r="N718" s="12"/>
      <c r="O718" s="30" t="str">
        <f t="shared" si="108"/>
        <v>http://www.stjohns.edu/admission-aid/scholarships/merit-based-scholarships</v>
      </c>
      <c r="P718" s="33">
        <v>39460</v>
      </c>
      <c r="Q718" s="25">
        <v>0.65</v>
      </c>
      <c r="R718" s="14" t="s">
        <v>142</v>
      </c>
      <c r="S718" s="14" t="s">
        <v>2282</v>
      </c>
      <c r="T718" s="12"/>
      <c r="U718" s="12">
        <v>3.49</v>
      </c>
      <c r="V718" s="12"/>
      <c r="W718" s="12"/>
      <c r="X718" s="12"/>
      <c r="Y718" s="12"/>
      <c r="Z718" s="12"/>
      <c r="AA718" s="12"/>
    </row>
    <row r="719" spans="1:27" ht="142.5" customHeight="1" x14ac:dyDescent="0.2">
      <c r="A719" s="23" t="s">
        <v>2175</v>
      </c>
      <c r="B719" s="14" t="s">
        <v>2285</v>
      </c>
      <c r="C719" s="14" t="s">
        <v>101</v>
      </c>
      <c r="D719" s="12"/>
      <c r="E719" s="14" t="s">
        <v>60</v>
      </c>
      <c r="F719" s="14" t="s">
        <v>72</v>
      </c>
      <c r="G719" s="12"/>
      <c r="H719" s="17" t="s">
        <v>1150</v>
      </c>
      <c r="I719" s="17" t="s">
        <v>74</v>
      </c>
      <c r="J719" s="14" t="s">
        <v>2286</v>
      </c>
      <c r="K719" s="12"/>
      <c r="L719" s="12"/>
      <c r="M719" s="12"/>
      <c r="N719" s="12"/>
      <c r="O719" s="30" t="str">
        <f>HYPERLINK("http://www.stlawu.edu/admissions/merit-scholarships","http://www.stlawu.edu/admissions/merit-scholarships")</f>
        <v>http://www.stlawu.edu/admissions/merit-scholarships</v>
      </c>
      <c r="P719" s="33">
        <v>51200</v>
      </c>
      <c r="Q719" s="25">
        <v>0.46</v>
      </c>
      <c r="R719" s="34" t="s">
        <v>490</v>
      </c>
      <c r="S719" s="34" t="s">
        <v>2287</v>
      </c>
      <c r="T719" s="12"/>
      <c r="U719" s="12">
        <v>3.56</v>
      </c>
      <c r="V719" s="12"/>
      <c r="W719" s="12"/>
      <c r="X719" s="12"/>
      <c r="Y719" s="12"/>
      <c r="Z719" s="12"/>
      <c r="AA719" s="12"/>
    </row>
    <row r="720" spans="1:27" ht="221.25" customHeight="1" x14ac:dyDescent="0.2">
      <c r="A720" s="23" t="s">
        <v>2175</v>
      </c>
      <c r="B720" s="14" t="s">
        <v>2288</v>
      </c>
      <c r="C720" s="14" t="s">
        <v>59</v>
      </c>
      <c r="D720" s="12"/>
      <c r="E720" s="14" t="s">
        <v>111</v>
      </c>
      <c r="F720" s="14" t="s">
        <v>61</v>
      </c>
      <c r="G720" s="12"/>
      <c r="H720" s="17" t="s">
        <v>62</v>
      </c>
      <c r="I720" s="17" t="s">
        <v>74</v>
      </c>
      <c r="J720" s="14" t="s">
        <v>2289</v>
      </c>
      <c r="K720" s="24">
        <v>28</v>
      </c>
      <c r="L720" s="18">
        <v>1310</v>
      </c>
      <c r="M720" s="16" t="s">
        <v>76</v>
      </c>
      <c r="N720" s="24">
        <v>3.7</v>
      </c>
      <c r="O720" s="30" t="str">
        <f>HYPERLINK("https://www.alfredstate.edu/financial-aid/scholarships/distinguished-scholar-program","https://www.alfredstate.edu/financial-aid/scholarships/distinguished-scholar-program")</f>
        <v>https://www.alfredstate.edu/financial-aid/scholarships/distinguished-scholar-program</v>
      </c>
      <c r="P720" s="14" t="s">
        <v>81</v>
      </c>
      <c r="Q720" s="25">
        <v>0.56999999999999995</v>
      </c>
      <c r="R720" s="14" t="s">
        <v>259</v>
      </c>
      <c r="S720" s="14" t="s">
        <v>2290</v>
      </c>
      <c r="T720" s="12"/>
      <c r="U720" s="12">
        <v>3.04</v>
      </c>
      <c r="V720" s="12"/>
      <c r="W720" s="12"/>
      <c r="X720" s="12"/>
      <c r="Y720" s="12"/>
      <c r="Z720" s="12"/>
      <c r="AA720" s="12"/>
    </row>
    <row r="721" spans="1:27" ht="174" customHeight="1" x14ac:dyDescent="0.2">
      <c r="A721" s="23" t="s">
        <v>2175</v>
      </c>
      <c r="B721" s="14" t="s">
        <v>2288</v>
      </c>
      <c r="C721" s="14" t="s">
        <v>59</v>
      </c>
      <c r="D721" s="14" t="s">
        <v>194</v>
      </c>
      <c r="E721" s="14" t="s">
        <v>60</v>
      </c>
      <c r="F721" s="14" t="s">
        <v>61</v>
      </c>
      <c r="G721" s="12"/>
      <c r="H721" s="17" t="s">
        <v>2291</v>
      </c>
      <c r="I721" s="17" t="s">
        <v>74</v>
      </c>
      <c r="J721" s="14" t="s">
        <v>2292</v>
      </c>
      <c r="K721" s="12"/>
      <c r="L721" s="12"/>
      <c r="M721" s="12"/>
      <c r="N721" s="12"/>
      <c r="O721" s="30" t="str">
        <f>HYPERLINK("https://www.alfredstate.edu/financial-aid/scholarships/new-york-state-scholarships","https://www.alfredstate.edu/financial-aid/scholarships/new-york-state-scholarships")</f>
        <v>https://www.alfredstate.edu/financial-aid/scholarships/new-york-state-scholarships</v>
      </c>
      <c r="P721" s="14" t="s">
        <v>81</v>
      </c>
      <c r="Q721" s="25">
        <v>0.56999999999999995</v>
      </c>
      <c r="R721" s="14" t="s">
        <v>259</v>
      </c>
      <c r="S721" s="14" t="s">
        <v>2290</v>
      </c>
      <c r="T721" s="12"/>
      <c r="U721" s="12">
        <v>3.04</v>
      </c>
      <c r="V721" s="12"/>
      <c r="W721" s="12"/>
      <c r="X721" s="12"/>
      <c r="Y721" s="12"/>
      <c r="Z721" s="12"/>
      <c r="AA721" s="12"/>
    </row>
    <row r="722" spans="1:27" ht="221.25" customHeight="1" x14ac:dyDescent="0.2">
      <c r="A722" s="23" t="s">
        <v>2175</v>
      </c>
      <c r="B722" s="14" t="s">
        <v>2293</v>
      </c>
      <c r="C722" s="14" t="s">
        <v>59</v>
      </c>
      <c r="D722" s="17" t="s">
        <v>1365</v>
      </c>
      <c r="E722" s="14" t="s">
        <v>2258</v>
      </c>
      <c r="F722" s="14" t="s">
        <v>72</v>
      </c>
      <c r="G722" s="14" t="s">
        <v>186</v>
      </c>
      <c r="H722" s="16" t="s">
        <v>62</v>
      </c>
      <c r="I722" s="16" t="s">
        <v>74</v>
      </c>
      <c r="J722" s="14" t="s">
        <v>2294</v>
      </c>
      <c r="K722" s="24">
        <v>29</v>
      </c>
      <c r="L722" s="24">
        <v>1320</v>
      </c>
      <c r="M722" s="16" t="s">
        <v>76</v>
      </c>
      <c r="N722" s="24">
        <v>3.5</v>
      </c>
      <c r="O722" s="19" t="s">
        <v>2295</v>
      </c>
      <c r="P722" s="14" t="s">
        <v>2296</v>
      </c>
      <c r="Q722" s="93">
        <v>0.56100000000000005</v>
      </c>
      <c r="R722" s="23" t="s">
        <v>2297</v>
      </c>
      <c r="S722" s="14" t="s">
        <v>2298</v>
      </c>
      <c r="T722" s="12"/>
      <c r="U722" s="12">
        <v>3.52</v>
      </c>
      <c r="V722" s="12"/>
      <c r="W722" s="12"/>
      <c r="X722" s="12"/>
      <c r="Y722" s="12"/>
      <c r="Z722" s="12"/>
      <c r="AA722" s="12"/>
    </row>
    <row r="723" spans="1:27" ht="221.25" customHeight="1" x14ac:dyDescent="0.2">
      <c r="A723" s="23" t="s">
        <v>2175</v>
      </c>
      <c r="B723" s="14" t="s">
        <v>2299</v>
      </c>
      <c r="C723" s="14" t="s">
        <v>59</v>
      </c>
      <c r="D723" s="12"/>
      <c r="E723" s="14" t="s">
        <v>60</v>
      </c>
      <c r="F723" s="14" t="s">
        <v>72</v>
      </c>
      <c r="G723" s="12"/>
      <c r="H723" s="17" t="s">
        <v>2300</v>
      </c>
      <c r="I723" s="17" t="s">
        <v>74</v>
      </c>
      <c r="J723" s="14" t="s">
        <v>2301</v>
      </c>
      <c r="K723" s="12"/>
      <c r="L723" s="12"/>
      <c r="M723" s="12"/>
      <c r="N723" s="12"/>
      <c r="O723" s="19" t="s">
        <v>2302</v>
      </c>
      <c r="P723" s="14" t="s">
        <v>2303</v>
      </c>
      <c r="Q723" s="93">
        <v>0.73</v>
      </c>
      <c r="R723" s="94" t="s">
        <v>638</v>
      </c>
      <c r="S723" s="94" t="s">
        <v>2304</v>
      </c>
      <c r="T723" s="12"/>
      <c r="U723" s="12">
        <v>3.66</v>
      </c>
      <c r="V723" s="12"/>
      <c r="W723" s="12"/>
      <c r="X723" s="12"/>
      <c r="Y723" s="12"/>
      <c r="Z723" s="12"/>
      <c r="AA723" s="12"/>
    </row>
    <row r="724" spans="1:27" ht="174" customHeight="1" x14ac:dyDescent="0.2">
      <c r="A724" s="23" t="s">
        <v>2175</v>
      </c>
      <c r="B724" s="14" t="s">
        <v>2305</v>
      </c>
      <c r="C724" s="14" t="s">
        <v>101</v>
      </c>
      <c r="D724" s="12"/>
      <c r="E724" s="14" t="s">
        <v>990</v>
      </c>
      <c r="F724" s="14" t="s">
        <v>145</v>
      </c>
      <c r="G724" s="12"/>
      <c r="H724" s="17" t="s">
        <v>157</v>
      </c>
      <c r="I724" s="17" t="s">
        <v>74</v>
      </c>
      <c r="J724" s="14" t="s">
        <v>2306</v>
      </c>
      <c r="K724" s="12"/>
      <c r="L724" s="12"/>
      <c r="M724" s="12"/>
      <c r="N724" s="12"/>
      <c r="O724" s="30" t="str">
        <f>HYPERLINK("http://financialaid.syr.edu/typesofaid/scholarships/su/","http://financialaid.syr.edu/typesofaid/scholarships/su/")</f>
        <v>http://financialaid.syr.edu/typesofaid/scholarships/su/</v>
      </c>
      <c r="P724" s="33">
        <v>45022</v>
      </c>
      <c r="Q724" s="25">
        <v>0.48</v>
      </c>
      <c r="R724" s="14" t="s">
        <v>687</v>
      </c>
      <c r="S724" s="14" t="s">
        <v>2307</v>
      </c>
      <c r="T724" s="12"/>
      <c r="U724" s="12">
        <v>3.6</v>
      </c>
      <c r="V724" s="12"/>
      <c r="W724" s="12"/>
      <c r="X724" s="12"/>
      <c r="Y724" s="12"/>
      <c r="Z724" s="12"/>
      <c r="AA724" s="12"/>
    </row>
    <row r="725" spans="1:27" ht="189.75" customHeight="1" x14ac:dyDescent="0.2">
      <c r="A725" s="23" t="s">
        <v>2175</v>
      </c>
      <c r="B725" s="14" t="s">
        <v>2305</v>
      </c>
      <c r="C725" s="14" t="s">
        <v>101</v>
      </c>
      <c r="D725" s="12"/>
      <c r="E725" s="14" t="s">
        <v>990</v>
      </c>
      <c r="F725" s="14" t="s">
        <v>145</v>
      </c>
      <c r="G725" s="12"/>
      <c r="H725" s="17" t="s">
        <v>157</v>
      </c>
      <c r="I725" s="17" t="s">
        <v>74</v>
      </c>
      <c r="J725" s="14" t="s">
        <v>2308</v>
      </c>
      <c r="K725" s="12"/>
      <c r="L725" s="12"/>
      <c r="M725" s="12"/>
      <c r="N725" s="12"/>
      <c r="O725" s="30" t="str">
        <f>HYPERLINK("http://financialaid.syr.edu/typesofaid/scholarships/su/#ROTC","http://financialaid.syr.edu/typesofaid/scholarships/su/#ROTC")</f>
        <v>http://financialaid.syr.edu/typesofaid/scholarships/su/#ROTC</v>
      </c>
      <c r="P725" s="33">
        <v>45022</v>
      </c>
      <c r="Q725" s="25">
        <v>0.48</v>
      </c>
      <c r="R725" s="14" t="s">
        <v>687</v>
      </c>
      <c r="S725" s="14" t="s">
        <v>2307</v>
      </c>
      <c r="T725" s="12"/>
      <c r="U725" s="12">
        <v>3.6</v>
      </c>
      <c r="V725" s="12"/>
      <c r="W725" s="12"/>
      <c r="X725" s="12"/>
      <c r="Y725" s="12"/>
      <c r="Z725" s="12"/>
      <c r="AA725" s="12"/>
    </row>
    <row r="726" spans="1:27" ht="205.5" customHeight="1" x14ac:dyDescent="0.2">
      <c r="A726" s="23" t="s">
        <v>2175</v>
      </c>
      <c r="B726" s="14" t="s">
        <v>2305</v>
      </c>
      <c r="C726" s="14" t="s">
        <v>101</v>
      </c>
      <c r="D726" s="12"/>
      <c r="E726" s="14" t="s">
        <v>60</v>
      </c>
      <c r="F726" s="14" t="s">
        <v>72</v>
      </c>
      <c r="G726" s="12"/>
      <c r="H726" s="17" t="s">
        <v>2309</v>
      </c>
      <c r="I726" s="17" t="s">
        <v>74</v>
      </c>
      <c r="J726" s="14" t="s">
        <v>2310</v>
      </c>
      <c r="K726" s="12"/>
      <c r="L726" s="12"/>
      <c r="M726" s="12"/>
      <c r="N726" s="12"/>
      <c r="O726" s="63" t="s">
        <v>2311</v>
      </c>
      <c r="P726" s="33">
        <v>45022</v>
      </c>
      <c r="Q726" s="25">
        <v>0.48</v>
      </c>
      <c r="R726" s="14" t="s">
        <v>687</v>
      </c>
      <c r="S726" s="14" t="s">
        <v>2307</v>
      </c>
      <c r="T726" s="12"/>
      <c r="U726" s="12">
        <v>3.6</v>
      </c>
      <c r="V726" s="12"/>
      <c r="W726" s="12"/>
      <c r="X726" s="12"/>
      <c r="Y726" s="12"/>
      <c r="Z726" s="12"/>
      <c r="AA726" s="12"/>
    </row>
    <row r="727" spans="1:27" ht="205.5" customHeight="1" x14ac:dyDescent="0.2">
      <c r="A727" s="23" t="s">
        <v>2175</v>
      </c>
      <c r="B727" s="14" t="s">
        <v>2305</v>
      </c>
      <c r="C727" s="14" t="s">
        <v>101</v>
      </c>
      <c r="D727" s="12"/>
      <c r="E727" s="14" t="s">
        <v>60</v>
      </c>
      <c r="F727" s="14" t="s">
        <v>72</v>
      </c>
      <c r="G727" s="12"/>
      <c r="H727" s="17" t="s">
        <v>2312</v>
      </c>
      <c r="I727" s="17">
        <v>1</v>
      </c>
      <c r="J727" s="14" t="s">
        <v>2313</v>
      </c>
      <c r="K727" s="12"/>
      <c r="L727" s="12"/>
      <c r="M727" s="12"/>
      <c r="N727" s="12"/>
      <c r="O727" s="30" t="str">
        <f>HYPERLINK("http://financialaid.syr.edu/typesofaid/scholarships/su/","http://financialaid.syr.edu/typesofaid/scholarships/su/")</f>
        <v>http://financialaid.syr.edu/typesofaid/scholarships/su/</v>
      </c>
      <c r="P727" s="33">
        <v>45022</v>
      </c>
      <c r="Q727" s="25">
        <v>0.48</v>
      </c>
      <c r="R727" s="14" t="s">
        <v>687</v>
      </c>
      <c r="S727" s="14" t="s">
        <v>2307</v>
      </c>
      <c r="T727" s="12"/>
      <c r="U727" s="12">
        <v>3.6</v>
      </c>
      <c r="V727" s="12"/>
      <c r="W727" s="12"/>
      <c r="X727" s="12"/>
      <c r="Y727" s="12"/>
      <c r="Z727" s="12"/>
      <c r="AA727" s="12"/>
    </row>
    <row r="728" spans="1:27" ht="347.25" customHeight="1" x14ac:dyDescent="0.2">
      <c r="A728" s="23" t="s">
        <v>2175</v>
      </c>
      <c r="B728" s="14" t="s">
        <v>2314</v>
      </c>
      <c r="C728" s="14" t="s">
        <v>101</v>
      </c>
      <c r="D728" s="12"/>
      <c r="E728" s="14" t="s">
        <v>177</v>
      </c>
      <c r="F728" s="14" t="s">
        <v>72</v>
      </c>
      <c r="G728" s="14" t="s">
        <v>186</v>
      </c>
      <c r="H728" s="16" t="s">
        <v>1987</v>
      </c>
      <c r="I728" s="16">
        <v>4</v>
      </c>
      <c r="J728" s="14" t="s">
        <v>2315</v>
      </c>
      <c r="K728" s="12"/>
      <c r="L728" s="12"/>
      <c r="M728" s="12"/>
      <c r="N728" s="12"/>
      <c r="O728" s="30" t="str">
        <f>HYPERLINK("https://www.tkc.edu/financial-aid/founders-scholarship","https://www.tkc.edu/financial-aid/founders-scholarship")</f>
        <v>https://www.tkc.edu/financial-aid/founders-scholarship</v>
      </c>
      <c r="P728" s="33">
        <v>34320</v>
      </c>
      <c r="Q728" s="93">
        <v>0.4</v>
      </c>
      <c r="R728" s="23" t="s">
        <v>687</v>
      </c>
      <c r="S728" s="14" t="s">
        <v>2316</v>
      </c>
      <c r="T728" s="12"/>
      <c r="U728" s="12">
        <v>3.71</v>
      </c>
      <c r="V728" s="12"/>
      <c r="W728" s="12"/>
      <c r="X728" s="12"/>
      <c r="Y728" s="12"/>
      <c r="Z728" s="12"/>
      <c r="AA728" s="12"/>
    </row>
    <row r="729" spans="1:27" ht="205.5" customHeight="1" x14ac:dyDescent="0.2">
      <c r="A729" s="23" t="s">
        <v>2175</v>
      </c>
      <c r="B729" s="14" t="s">
        <v>2317</v>
      </c>
      <c r="C729" s="14" t="s">
        <v>59</v>
      </c>
      <c r="D729" s="14" t="s">
        <v>98</v>
      </c>
      <c r="E729" s="14" t="s">
        <v>111</v>
      </c>
      <c r="F729" s="14" t="s">
        <v>72</v>
      </c>
      <c r="G729" s="12"/>
      <c r="H729" s="17" t="s">
        <v>250</v>
      </c>
      <c r="I729" s="17" t="s">
        <v>74</v>
      </c>
      <c r="J729" s="14" t="s">
        <v>2318</v>
      </c>
      <c r="K729" s="24">
        <v>33</v>
      </c>
      <c r="L729" s="18">
        <v>1510</v>
      </c>
      <c r="M729" s="16" t="s">
        <v>76</v>
      </c>
      <c r="N729" s="24"/>
      <c r="O729" s="30" t="str">
        <f t="shared" ref="O729:O731" si="109">HYPERLINK("http://honors.buffalo.edu/prospective/scholarships.php","http://honors.buffalo.edu/prospective/scholarships.php")</f>
        <v>http://honors.buffalo.edu/prospective/scholarships.php</v>
      </c>
      <c r="P729" s="14" t="s">
        <v>2319</v>
      </c>
      <c r="Q729" s="25">
        <v>0.6</v>
      </c>
      <c r="R729" s="14" t="s">
        <v>687</v>
      </c>
      <c r="S729" s="14" t="s">
        <v>2320</v>
      </c>
      <c r="T729" s="12"/>
      <c r="U729" s="12">
        <v>3.6</v>
      </c>
      <c r="V729" s="12"/>
      <c r="W729" s="12"/>
      <c r="X729" s="12"/>
      <c r="Y729" s="12"/>
      <c r="Z729" s="12"/>
      <c r="AA729" s="12"/>
    </row>
    <row r="730" spans="1:27" ht="205.5" customHeight="1" x14ac:dyDescent="0.2">
      <c r="A730" s="23" t="s">
        <v>2175</v>
      </c>
      <c r="B730" s="14" t="s">
        <v>2317</v>
      </c>
      <c r="C730" s="14" t="s">
        <v>59</v>
      </c>
      <c r="D730" s="14" t="s">
        <v>98</v>
      </c>
      <c r="E730" s="14" t="s">
        <v>60</v>
      </c>
      <c r="F730" s="14" t="s">
        <v>72</v>
      </c>
      <c r="G730" s="12"/>
      <c r="H730" s="17" t="s">
        <v>2321</v>
      </c>
      <c r="I730" s="17">
        <v>1</v>
      </c>
      <c r="J730" s="14" t="s">
        <v>2322</v>
      </c>
      <c r="K730" s="12"/>
      <c r="L730" s="12"/>
      <c r="M730" s="12"/>
      <c r="N730" s="12"/>
      <c r="O730" s="30" t="str">
        <f t="shared" si="109"/>
        <v>http://honors.buffalo.edu/prospective/scholarships.php</v>
      </c>
      <c r="P730" s="14" t="s">
        <v>2319</v>
      </c>
      <c r="Q730" s="25">
        <v>0.6</v>
      </c>
      <c r="R730" s="14" t="s">
        <v>687</v>
      </c>
      <c r="S730" s="14" t="s">
        <v>2320</v>
      </c>
      <c r="T730" s="12"/>
      <c r="U730" s="12">
        <v>3.6</v>
      </c>
      <c r="V730" s="12"/>
      <c r="W730" s="12"/>
      <c r="X730" s="12"/>
      <c r="Y730" s="12"/>
      <c r="Z730" s="12"/>
      <c r="AA730" s="12"/>
    </row>
    <row r="731" spans="1:27" ht="126.75" customHeight="1" x14ac:dyDescent="0.2">
      <c r="A731" s="23" t="s">
        <v>2175</v>
      </c>
      <c r="B731" s="14" t="s">
        <v>2317</v>
      </c>
      <c r="C731" s="14" t="s">
        <v>59</v>
      </c>
      <c r="D731" s="14" t="s">
        <v>98</v>
      </c>
      <c r="E731" s="14" t="s">
        <v>60</v>
      </c>
      <c r="F731" s="14" t="s">
        <v>461</v>
      </c>
      <c r="G731" s="12"/>
      <c r="H731" s="17" t="s">
        <v>2323</v>
      </c>
      <c r="I731" s="17">
        <v>1</v>
      </c>
      <c r="J731" s="14" t="s">
        <v>2324</v>
      </c>
      <c r="K731" s="24">
        <v>27</v>
      </c>
      <c r="L731" s="18">
        <v>1300</v>
      </c>
      <c r="M731" s="16" t="s">
        <v>76</v>
      </c>
      <c r="N731" s="24"/>
      <c r="O731" s="30" t="str">
        <f t="shared" si="109"/>
        <v>http://honors.buffalo.edu/prospective/scholarships.php</v>
      </c>
      <c r="P731" s="14" t="s">
        <v>2319</v>
      </c>
      <c r="Q731" s="25">
        <v>0.6</v>
      </c>
      <c r="R731" s="14" t="s">
        <v>687</v>
      </c>
      <c r="S731" s="14" t="s">
        <v>2320</v>
      </c>
      <c r="T731" s="12"/>
      <c r="U731" s="12">
        <v>3.6</v>
      </c>
      <c r="V731" s="12"/>
      <c r="W731" s="12"/>
      <c r="X731" s="12"/>
      <c r="Y731" s="12"/>
      <c r="Z731" s="12"/>
      <c r="AA731" s="12"/>
    </row>
    <row r="732" spans="1:27" ht="347.25" customHeight="1" x14ac:dyDescent="0.2">
      <c r="A732" s="23" t="s">
        <v>2175</v>
      </c>
      <c r="B732" s="14" t="s">
        <v>2325</v>
      </c>
      <c r="C732" s="14" t="s">
        <v>101</v>
      </c>
      <c r="D732" s="12"/>
      <c r="E732" s="14" t="s">
        <v>60</v>
      </c>
      <c r="F732" s="14" t="s">
        <v>72</v>
      </c>
      <c r="G732" s="12"/>
      <c r="H732" s="17" t="s">
        <v>2326</v>
      </c>
      <c r="I732" s="17" t="s">
        <v>74</v>
      </c>
      <c r="J732" s="14" t="s">
        <v>2327</v>
      </c>
      <c r="K732" s="12"/>
      <c r="L732" s="12"/>
      <c r="M732" s="12"/>
      <c r="N732" s="12">
        <v>3.2</v>
      </c>
      <c r="O732" s="30" t="str">
        <f>HYPERLINK("http://www.vaughn.edu/admissions-scholarships","http://www.vaughn.edu/admissions-scholarships")</f>
        <v>http://www.vaughn.edu/admissions-scholarships</v>
      </c>
      <c r="P732" s="33">
        <v>23935</v>
      </c>
      <c r="Q732" s="25">
        <v>0.74</v>
      </c>
      <c r="R732" s="14" t="s">
        <v>385</v>
      </c>
      <c r="S732" s="14" t="s">
        <v>2328</v>
      </c>
      <c r="T732" s="12"/>
      <c r="U732" s="12" t="s">
        <v>81</v>
      </c>
      <c r="V732" s="12"/>
      <c r="W732" s="12"/>
      <c r="X732" s="12"/>
      <c r="Y732" s="12"/>
      <c r="Z732" s="12"/>
      <c r="AA732" s="12"/>
    </row>
    <row r="733" spans="1:27" ht="243.75" customHeight="1" x14ac:dyDescent="0.2">
      <c r="A733" s="23" t="s">
        <v>2329</v>
      </c>
      <c r="B733" s="14" t="s">
        <v>2330</v>
      </c>
      <c r="C733" s="14" t="s">
        <v>101</v>
      </c>
      <c r="D733" s="12"/>
      <c r="E733" s="14" t="s">
        <v>177</v>
      </c>
      <c r="F733" s="14" t="s">
        <v>72</v>
      </c>
      <c r="G733" s="12"/>
      <c r="H733" s="17" t="s">
        <v>837</v>
      </c>
      <c r="I733" s="17">
        <v>2</v>
      </c>
      <c r="J733" s="12" t="s">
        <v>2331</v>
      </c>
      <c r="K733" s="24">
        <v>25</v>
      </c>
      <c r="L733" s="24">
        <v>1130</v>
      </c>
      <c r="M733" s="17" t="s">
        <v>76</v>
      </c>
      <c r="N733" s="24">
        <v>3.5</v>
      </c>
      <c r="O733" s="30" t="str">
        <f>HYPERLINK("http://www.bluffton.edu/admission/financialaid/scholarships/index.html","http://www.bluffton.edu/admission/financialaid/scholarships/index.html")</f>
        <v>http://www.bluffton.edu/admission/financialaid/scholarships/index.html</v>
      </c>
      <c r="P733" s="33">
        <v>30762</v>
      </c>
      <c r="Q733" s="58">
        <v>0.54</v>
      </c>
      <c r="R733" s="12" t="s">
        <v>550</v>
      </c>
      <c r="S733" s="12" t="s">
        <v>1184</v>
      </c>
      <c r="T733" s="12"/>
      <c r="U733" s="12">
        <v>3.16</v>
      </c>
      <c r="V733" s="12"/>
      <c r="W733" s="12"/>
      <c r="X733" s="12"/>
      <c r="Y733" s="12"/>
      <c r="Z733" s="12"/>
      <c r="AA733" s="12"/>
    </row>
    <row r="734" spans="1:27" ht="111" customHeight="1" x14ac:dyDescent="0.2">
      <c r="A734" s="109" t="s">
        <v>2329</v>
      </c>
      <c r="B734" s="110" t="s">
        <v>2332</v>
      </c>
      <c r="C734" s="110" t="s">
        <v>59</v>
      </c>
      <c r="D734" s="112"/>
      <c r="E734" s="110" t="s">
        <v>263</v>
      </c>
      <c r="F734" s="110" t="s">
        <v>72</v>
      </c>
      <c r="G734" s="112"/>
      <c r="H734" s="117" t="s">
        <v>62</v>
      </c>
      <c r="I734" s="117" t="s">
        <v>74</v>
      </c>
      <c r="J734" s="112" t="s">
        <v>2333</v>
      </c>
      <c r="K734" s="120">
        <v>27</v>
      </c>
      <c r="L734" s="120">
        <v>1280</v>
      </c>
      <c r="M734" s="128" t="s">
        <v>76</v>
      </c>
      <c r="N734" s="120">
        <v>3.5</v>
      </c>
      <c r="O734" s="121" t="s">
        <v>2334</v>
      </c>
      <c r="P734" s="110" t="s">
        <v>2335</v>
      </c>
      <c r="Q734" s="114">
        <v>0.76</v>
      </c>
      <c r="R734" s="110" t="s">
        <v>124</v>
      </c>
      <c r="S734" s="110" t="s">
        <v>2336</v>
      </c>
      <c r="T734" s="112"/>
      <c r="U734" s="112">
        <v>3.3</v>
      </c>
      <c r="V734" s="109"/>
      <c r="W734" s="112"/>
      <c r="X734" s="112"/>
      <c r="Y734" s="112"/>
      <c r="Z734" s="112"/>
      <c r="AA734" s="112"/>
    </row>
    <row r="735" spans="1:27" ht="111" customHeight="1" x14ac:dyDescent="0.2">
      <c r="A735" s="23" t="s">
        <v>2329</v>
      </c>
      <c r="B735" s="14" t="s">
        <v>2332</v>
      </c>
      <c r="C735" s="14" t="s">
        <v>59</v>
      </c>
      <c r="D735" s="12"/>
      <c r="E735" s="14" t="s">
        <v>60</v>
      </c>
      <c r="F735" s="14" t="s">
        <v>72</v>
      </c>
      <c r="G735" s="12"/>
      <c r="H735" s="17" t="s">
        <v>62</v>
      </c>
      <c r="I735" s="17" t="s">
        <v>74</v>
      </c>
      <c r="J735" s="17" t="s">
        <v>2337</v>
      </c>
      <c r="K735" s="24">
        <v>30</v>
      </c>
      <c r="L735" s="18">
        <v>1390</v>
      </c>
      <c r="M735" s="16" t="s">
        <v>76</v>
      </c>
      <c r="N735" s="24">
        <v>3.8</v>
      </c>
      <c r="O735" s="19" t="s">
        <v>2334</v>
      </c>
      <c r="P735" s="14" t="s">
        <v>2335</v>
      </c>
      <c r="Q735" s="25">
        <v>0.76</v>
      </c>
      <c r="R735" s="14" t="s">
        <v>124</v>
      </c>
      <c r="S735" s="14" t="s">
        <v>2336</v>
      </c>
      <c r="T735" s="12"/>
      <c r="U735" s="12">
        <v>3.3</v>
      </c>
      <c r="V735" s="23"/>
      <c r="W735" s="12"/>
      <c r="X735" s="12"/>
      <c r="Y735" s="12"/>
      <c r="Z735" s="12"/>
      <c r="AA735" s="12"/>
    </row>
    <row r="736" spans="1:27" ht="205.5" customHeight="1" x14ac:dyDescent="0.2">
      <c r="A736" s="23" t="s">
        <v>2329</v>
      </c>
      <c r="B736" s="14" t="s">
        <v>2332</v>
      </c>
      <c r="C736" s="14" t="s">
        <v>59</v>
      </c>
      <c r="D736" s="12"/>
      <c r="E736" s="14" t="s">
        <v>1928</v>
      </c>
      <c r="F736" s="14" t="s">
        <v>72</v>
      </c>
      <c r="G736" s="12"/>
      <c r="H736" s="17" t="s">
        <v>2338</v>
      </c>
      <c r="I736" s="17" t="s">
        <v>74</v>
      </c>
      <c r="J736" s="16" t="s">
        <v>2339</v>
      </c>
      <c r="K736" s="12"/>
      <c r="L736" s="12"/>
      <c r="M736" s="12"/>
      <c r="N736" s="12"/>
      <c r="O736" s="30" t="str">
        <f>HYPERLINK("https://www.bgsu.edu/admissions/scholarships-and-financial-aid/freshman-scholarships.html","https://www.bgsu.edu/admissions/scholarships-and-financial-aid/freshman-scholarships.html")</f>
        <v>https://www.bgsu.edu/admissions/scholarships-and-financial-aid/freshman-scholarships.html</v>
      </c>
      <c r="P736" s="14" t="s">
        <v>2335</v>
      </c>
      <c r="Q736" s="25">
        <v>0.76</v>
      </c>
      <c r="R736" s="14" t="s">
        <v>124</v>
      </c>
      <c r="S736" s="14" t="s">
        <v>2336</v>
      </c>
      <c r="T736" s="12"/>
      <c r="U736" s="12">
        <v>3.3</v>
      </c>
      <c r="V736" s="12"/>
      <c r="W736" s="12"/>
      <c r="X736" s="12"/>
      <c r="Y736" s="12"/>
      <c r="Z736" s="12"/>
      <c r="AA736" s="12"/>
    </row>
    <row r="737" spans="1:27" ht="237" customHeight="1" x14ac:dyDescent="0.2">
      <c r="A737" s="23" t="s">
        <v>2329</v>
      </c>
      <c r="B737" s="14" t="s">
        <v>2340</v>
      </c>
      <c r="C737" s="14" t="s">
        <v>101</v>
      </c>
      <c r="D737" s="12"/>
      <c r="E737" s="14" t="s">
        <v>60</v>
      </c>
      <c r="F737" s="14" t="s">
        <v>72</v>
      </c>
      <c r="G737" s="12"/>
      <c r="H737" s="17" t="s">
        <v>2341</v>
      </c>
      <c r="I737" s="17" t="s">
        <v>74</v>
      </c>
      <c r="J737" s="14" t="s">
        <v>2342</v>
      </c>
      <c r="K737" s="24">
        <v>21</v>
      </c>
      <c r="L737" s="24">
        <v>980</v>
      </c>
      <c r="M737" s="16" t="s">
        <v>76</v>
      </c>
      <c r="N737" s="24">
        <v>3</v>
      </c>
      <c r="O737" s="30" t="str">
        <f t="shared" ref="O737:O739" si="110">HYPERLINK("http://www.capital.edu/First-Year-Student-Scholarships/","http://www.capital.edu/First-Year-Student-Scholarships/")</f>
        <v>http://www.capital.edu/First-Year-Student-Scholarships/</v>
      </c>
      <c r="P737" s="33">
        <v>33492</v>
      </c>
      <c r="Q737" s="25">
        <v>0.72</v>
      </c>
      <c r="R737" s="14" t="s">
        <v>224</v>
      </c>
      <c r="S737" s="14" t="s">
        <v>2343</v>
      </c>
      <c r="T737" s="12"/>
      <c r="U737" s="12">
        <v>3.52</v>
      </c>
      <c r="V737" s="12"/>
      <c r="W737" s="12"/>
      <c r="X737" s="12"/>
      <c r="Y737" s="12"/>
      <c r="Z737" s="12"/>
      <c r="AA737" s="12"/>
    </row>
    <row r="738" spans="1:27" ht="189.75" customHeight="1" x14ac:dyDescent="0.2">
      <c r="A738" s="23" t="s">
        <v>2329</v>
      </c>
      <c r="B738" s="14" t="s">
        <v>2340</v>
      </c>
      <c r="C738" s="14" t="s">
        <v>101</v>
      </c>
      <c r="D738" s="12"/>
      <c r="E738" s="14" t="s">
        <v>111</v>
      </c>
      <c r="F738" s="14" t="s">
        <v>145</v>
      </c>
      <c r="G738" s="12"/>
      <c r="H738" s="17" t="s">
        <v>157</v>
      </c>
      <c r="I738" s="17" t="s">
        <v>74</v>
      </c>
      <c r="J738" s="14" t="s">
        <v>2344</v>
      </c>
      <c r="K738" s="12"/>
      <c r="L738" s="12"/>
      <c r="M738" s="12"/>
      <c r="N738" s="12"/>
      <c r="O738" s="30" t="str">
        <f t="shared" si="110"/>
        <v>http://www.capital.edu/First-Year-Student-Scholarships/</v>
      </c>
      <c r="P738" s="33">
        <v>33492</v>
      </c>
      <c r="Q738" s="25">
        <v>0.72</v>
      </c>
      <c r="R738" s="14" t="s">
        <v>224</v>
      </c>
      <c r="S738" s="14" t="s">
        <v>2343</v>
      </c>
      <c r="T738" s="12"/>
      <c r="U738" s="12">
        <v>3.52</v>
      </c>
      <c r="V738" s="12"/>
      <c r="W738" s="12"/>
      <c r="X738" s="12"/>
      <c r="Y738" s="12"/>
      <c r="Z738" s="12"/>
      <c r="AA738" s="12"/>
    </row>
    <row r="739" spans="1:27" ht="189.75" customHeight="1" x14ac:dyDescent="0.2">
      <c r="A739" s="109" t="s">
        <v>2329</v>
      </c>
      <c r="B739" s="110" t="s">
        <v>2340</v>
      </c>
      <c r="C739" s="110" t="s">
        <v>101</v>
      </c>
      <c r="D739" s="112"/>
      <c r="E739" s="110" t="s">
        <v>60</v>
      </c>
      <c r="F739" s="110" t="s">
        <v>72</v>
      </c>
      <c r="G739" s="110" t="s">
        <v>186</v>
      </c>
      <c r="H739" s="128" t="s">
        <v>837</v>
      </c>
      <c r="I739" s="128" t="s">
        <v>74</v>
      </c>
      <c r="J739" s="110" t="s">
        <v>2345</v>
      </c>
      <c r="K739" s="119">
        <v>28</v>
      </c>
      <c r="L739" s="119">
        <v>1250</v>
      </c>
      <c r="M739" s="128" t="s">
        <v>76</v>
      </c>
      <c r="N739" s="112"/>
      <c r="O739" s="113" t="str">
        <f t="shared" si="110"/>
        <v>http://www.capital.edu/First-Year-Student-Scholarships/</v>
      </c>
      <c r="P739" s="124">
        <v>33492</v>
      </c>
      <c r="Q739" s="114">
        <v>0.72</v>
      </c>
      <c r="R739" s="110" t="s">
        <v>224</v>
      </c>
      <c r="S739" s="110" t="s">
        <v>2343</v>
      </c>
      <c r="T739" s="112"/>
      <c r="U739" s="112">
        <v>3.52</v>
      </c>
      <c r="V739" s="112"/>
      <c r="W739" s="112"/>
      <c r="X739" s="112"/>
      <c r="Y739" s="112"/>
      <c r="Z739" s="112"/>
      <c r="AA739" s="112"/>
    </row>
    <row r="740" spans="1:27" ht="158.25" customHeight="1" x14ac:dyDescent="0.2">
      <c r="A740" s="23" t="s">
        <v>2329</v>
      </c>
      <c r="B740" s="14" t="s">
        <v>2346</v>
      </c>
      <c r="C740" s="14" t="s">
        <v>101</v>
      </c>
      <c r="D740" s="12"/>
      <c r="E740" s="14" t="s">
        <v>177</v>
      </c>
      <c r="F740" s="14" t="s">
        <v>72</v>
      </c>
      <c r="G740" s="12"/>
      <c r="H740" s="17" t="s">
        <v>2347</v>
      </c>
      <c r="I740" s="17" t="s">
        <v>74</v>
      </c>
      <c r="J740" s="14" t="s">
        <v>2348</v>
      </c>
      <c r="K740" s="12"/>
      <c r="L740" s="12"/>
      <c r="M740" s="12"/>
      <c r="N740" s="12"/>
      <c r="O740" s="30" t="str">
        <f>HYPERLINK("https://case.edu/admission/affording-cwru/scholarships/scholarship-competitions/","https://case.edu/admission/affording-cwru/scholarships/scholarship-competitions/")</f>
        <v>https://case.edu/admission/affording-cwru/scholarships/scholarship-competitions/</v>
      </c>
      <c r="P740" s="33">
        <v>46006</v>
      </c>
      <c r="Q740" s="25">
        <v>0.36</v>
      </c>
      <c r="R740" s="14" t="s">
        <v>497</v>
      </c>
      <c r="S740" s="14" t="s">
        <v>2349</v>
      </c>
      <c r="T740" s="12"/>
      <c r="U740" s="12" t="s">
        <v>81</v>
      </c>
      <c r="V740" s="12"/>
      <c r="W740" s="12"/>
      <c r="X740" s="12"/>
      <c r="Y740" s="12"/>
      <c r="Z740" s="12"/>
      <c r="AA740" s="12"/>
    </row>
    <row r="741" spans="1:27" ht="221.25" customHeight="1" x14ac:dyDescent="0.2">
      <c r="A741" s="23" t="s">
        <v>2329</v>
      </c>
      <c r="B741" s="14" t="s">
        <v>2346</v>
      </c>
      <c r="C741" s="14" t="s">
        <v>101</v>
      </c>
      <c r="D741" s="12"/>
      <c r="E741" s="14" t="s">
        <v>583</v>
      </c>
      <c r="F741" s="14" t="s">
        <v>72</v>
      </c>
      <c r="G741" s="12"/>
      <c r="H741" s="17" t="s">
        <v>2350</v>
      </c>
      <c r="I741" s="17" t="s">
        <v>74</v>
      </c>
      <c r="J741" s="14" t="s">
        <v>2351</v>
      </c>
      <c r="K741" s="12"/>
      <c r="L741" s="12"/>
      <c r="M741" s="12"/>
      <c r="N741" s="12"/>
      <c r="O741" s="19" t="s">
        <v>2352</v>
      </c>
      <c r="P741" s="33">
        <v>46006</v>
      </c>
      <c r="Q741" s="25">
        <v>0.36</v>
      </c>
      <c r="R741" s="14" t="s">
        <v>497</v>
      </c>
      <c r="S741" s="14" t="s">
        <v>2349</v>
      </c>
      <c r="T741" s="12"/>
      <c r="U741" s="12" t="s">
        <v>81</v>
      </c>
      <c r="V741" s="12"/>
      <c r="W741" s="12"/>
      <c r="X741" s="12"/>
      <c r="Y741" s="12"/>
      <c r="Z741" s="12"/>
      <c r="AA741" s="12"/>
    </row>
    <row r="742" spans="1:27" ht="268.5" customHeight="1" x14ac:dyDescent="0.2">
      <c r="A742" s="23" t="s">
        <v>2329</v>
      </c>
      <c r="B742" s="14" t="s">
        <v>2346</v>
      </c>
      <c r="C742" s="14" t="s">
        <v>101</v>
      </c>
      <c r="D742" s="12"/>
      <c r="E742" s="14" t="s">
        <v>88</v>
      </c>
      <c r="F742" s="14" t="s">
        <v>72</v>
      </c>
      <c r="G742" s="12"/>
      <c r="H742" s="17" t="s">
        <v>2353</v>
      </c>
      <c r="I742" s="17">
        <v>1</v>
      </c>
      <c r="J742" s="14" t="s">
        <v>2354</v>
      </c>
      <c r="K742" s="12"/>
      <c r="L742" s="12"/>
      <c r="M742" s="12"/>
      <c r="N742" s="12"/>
      <c r="O742" s="19" t="s">
        <v>2352</v>
      </c>
      <c r="P742" s="33">
        <v>46006</v>
      </c>
      <c r="Q742" s="25">
        <v>0.36</v>
      </c>
      <c r="R742" s="14" t="s">
        <v>497</v>
      </c>
      <c r="S742" s="14" t="s">
        <v>2349</v>
      </c>
      <c r="T742" s="12"/>
      <c r="U742" s="12" t="s">
        <v>81</v>
      </c>
      <c r="V742" s="12"/>
      <c r="W742" s="12"/>
      <c r="X742" s="12"/>
      <c r="Y742" s="12"/>
      <c r="Z742" s="12"/>
      <c r="AA742" s="12"/>
    </row>
    <row r="743" spans="1:27" ht="205.5" customHeight="1" x14ac:dyDescent="0.2">
      <c r="A743" s="23" t="s">
        <v>2329</v>
      </c>
      <c r="B743" s="14" t="s">
        <v>2346</v>
      </c>
      <c r="C743" s="14" t="s">
        <v>101</v>
      </c>
      <c r="D743" s="12"/>
      <c r="E743" s="14" t="s">
        <v>177</v>
      </c>
      <c r="F743" s="14" t="s">
        <v>72</v>
      </c>
      <c r="G743" s="12"/>
      <c r="H743" s="17" t="s">
        <v>2355</v>
      </c>
      <c r="I743" s="17">
        <v>2</v>
      </c>
      <c r="J743" s="14" t="s">
        <v>2356</v>
      </c>
      <c r="K743" s="12"/>
      <c r="L743" s="12"/>
      <c r="M743" s="12"/>
      <c r="N743" s="12"/>
      <c r="O743" s="19" t="s">
        <v>2352</v>
      </c>
      <c r="P743" s="33">
        <v>46006</v>
      </c>
      <c r="Q743" s="25">
        <v>0.36</v>
      </c>
      <c r="R743" s="14" t="s">
        <v>497</v>
      </c>
      <c r="S743" s="14" t="s">
        <v>2349</v>
      </c>
      <c r="T743" s="12"/>
      <c r="U743" s="12" t="s">
        <v>81</v>
      </c>
      <c r="V743" s="12"/>
      <c r="W743" s="12"/>
      <c r="X743" s="12"/>
      <c r="Y743" s="12"/>
      <c r="Z743" s="12"/>
      <c r="AA743" s="12"/>
    </row>
    <row r="744" spans="1:27" ht="142.5" customHeight="1" x14ac:dyDescent="0.2">
      <c r="A744" s="23" t="s">
        <v>2329</v>
      </c>
      <c r="B744" s="14" t="s">
        <v>2346</v>
      </c>
      <c r="C744" s="14" t="s">
        <v>101</v>
      </c>
      <c r="D744" s="12"/>
      <c r="E744" s="14" t="s">
        <v>177</v>
      </c>
      <c r="F744" s="14" t="s">
        <v>72</v>
      </c>
      <c r="G744" s="12"/>
      <c r="H744" s="17" t="s">
        <v>2357</v>
      </c>
      <c r="I744" s="17" t="s">
        <v>74</v>
      </c>
      <c r="J744" s="14" t="s">
        <v>2358</v>
      </c>
      <c r="K744" s="12"/>
      <c r="L744" s="12"/>
      <c r="M744" s="12"/>
      <c r="N744" s="12"/>
      <c r="O744" s="19" t="s">
        <v>2352</v>
      </c>
      <c r="P744" s="33">
        <v>46006</v>
      </c>
      <c r="Q744" s="25">
        <v>0.36</v>
      </c>
      <c r="R744" s="14" t="s">
        <v>497</v>
      </c>
      <c r="S744" s="14" t="s">
        <v>2349</v>
      </c>
      <c r="T744" s="12"/>
      <c r="U744" s="12" t="s">
        <v>81</v>
      </c>
      <c r="V744" s="12"/>
      <c r="W744" s="12"/>
      <c r="X744" s="12"/>
      <c r="Y744" s="12"/>
      <c r="Z744" s="12"/>
      <c r="AA744" s="12"/>
    </row>
    <row r="745" spans="1:27" ht="268.5" customHeight="1" x14ac:dyDescent="0.2">
      <c r="A745" s="23" t="s">
        <v>2329</v>
      </c>
      <c r="B745" s="14" t="s">
        <v>2346</v>
      </c>
      <c r="C745" s="14" t="s">
        <v>101</v>
      </c>
      <c r="D745" s="12"/>
      <c r="E745" s="14" t="s">
        <v>60</v>
      </c>
      <c r="F745" s="14" t="s">
        <v>461</v>
      </c>
      <c r="G745" s="12"/>
      <c r="H745" s="17" t="s">
        <v>2359</v>
      </c>
      <c r="I745" s="17" t="s">
        <v>74</v>
      </c>
      <c r="J745" s="14" t="s">
        <v>2360</v>
      </c>
      <c r="K745" s="12"/>
      <c r="L745" s="12"/>
      <c r="M745" s="12"/>
      <c r="N745" s="12"/>
      <c r="O745" s="19" t="s">
        <v>2352</v>
      </c>
      <c r="P745" s="33">
        <v>46006</v>
      </c>
      <c r="Q745" s="25">
        <v>0.36</v>
      </c>
      <c r="R745" s="14" t="s">
        <v>497</v>
      </c>
      <c r="S745" s="14" t="s">
        <v>2349</v>
      </c>
      <c r="T745" s="12"/>
      <c r="U745" s="12" t="s">
        <v>81</v>
      </c>
      <c r="V745" s="12"/>
      <c r="W745" s="12"/>
      <c r="X745" s="12"/>
      <c r="Y745" s="12"/>
      <c r="Z745" s="12"/>
      <c r="AA745" s="12"/>
    </row>
    <row r="746" spans="1:27" ht="221.25" customHeight="1" x14ac:dyDescent="0.2">
      <c r="A746" s="23" t="s">
        <v>2329</v>
      </c>
      <c r="B746" s="14" t="s">
        <v>2361</v>
      </c>
      <c r="C746" s="14" t="s">
        <v>101</v>
      </c>
      <c r="D746" s="12"/>
      <c r="E746" s="14" t="s">
        <v>88</v>
      </c>
      <c r="F746" s="14" t="s">
        <v>145</v>
      </c>
      <c r="G746" s="14" t="s">
        <v>186</v>
      </c>
      <c r="H746" s="16" t="s">
        <v>157</v>
      </c>
      <c r="I746" s="16" t="s">
        <v>74</v>
      </c>
      <c r="J746" s="14" t="s">
        <v>2362</v>
      </c>
      <c r="K746" s="12"/>
      <c r="L746" s="12"/>
      <c r="M746" s="12"/>
      <c r="N746" s="12"/>
      <c r="O746" s="30" t="str">
        <f>HYPERLINK("http://www.cedarville.edu/financialaid/ROTC-Funded-Scholarships","http://www.cedarville.edu/financialaid/ROTC-Funded-Scholarships")</f>
        <v>http://www.cedarville.edu/financialaid/ROTC-Funded-Scholarships</v>
      </c>
      <c r="P746" s="33">
        <v>28110</v>
      </c>
      <c r="Q746" s="57">
        <v>0.74</v>
      </c>
      <c r="R746" s="12" t="s">
        <v>266</v>
      </c>
      <c r="S746" s="12" t="s">
        <v>2363</v>
      </c>
      <c r="T746" s="12"/>
      <c r="U746" s="12">
        <v>3.64</v>
      </c>
      <c r="V746" s="12"/>
      <c r="W746" s="12"/>
      <c r="X746" s="12"/>
      <c r="Y746" s="12"/>
      <c r="Z746" s="12"/>
      <c r="AA746" s="12"/>
    </row>
    <row r="747" spans="1:27" ht="126.75" customHeight="1" x14ac:dyDescent="0.2">
      <c r="A747" s="23" t="s">
        <v>2329</v>
      </c>
      <c r="B747" s="14" t="s">
        <v>2364</v>
      </c>
      <c r="C747" s="14" t="s">
        <v>101</v>
      </c>
      <c r="D747" s="12"/>
      <c r="E747" s="14" t="s">
        <v>60</v>
      </c>
      <c r="F747" s="14" t="s">
        <v>72</v>
      </c>
      <c r="G747" s="12"/>
      <c r="H747" s="17" t="s">
        <v>454</v>
      </c>
      <c r="I747" s="17" t="s">
        <v>2365</v>
      </c>
      <c r="J747" s="14" t="s">
        <v>2366</v>
      </c>
      <c r="K747" s="12"/>
      <c r="L747" s="12"/>
      <c r="M747" s="12"/>
      <c r="N747" s="12"/>
      <c r="O747" s="19" t="s">
        <v>2367</v>
      </c>
      <c r="P747" s="33">
        <v>48960</v>
      </c>
      <c r="Q747" s="25">
        <v>0.48</v>
      </c>
      <c r="R747" s="14" t="s">
        <v>379</v>
      </c>
      <c r="S747" s="14" t="s">
        <v>2368</v>
      </c>
      <c r="T747" s="12"/>
      <c r="U747" s="12">
        <v>3.6</v>
      </c>
      <c r="V747" s="12"/>
      <c r="W747" s="12"/>
      <c r="X747" s="12"/>
      <c r="Y747" s="12"/>
      <c r="Z747" s="12"/>
      <c r="AA747" s="12"/>
    </row>
    <row r="748" spans="1:27" ht="111" customHeight="1" x14ac:dyDescent="0.2">
      <c r="A748" s="23" t="s">
        <v>2329</v>
      </c>
      <c r="B748" s="14" t="s">
        <v>2369</v>
      </c>
      <c r="C748" s="14" t="s">
        <v>101</v>
      </c>
      <c r="D748" s="12"/>
      <c r="E748" s="14" t="s">
        <v>238</v>
      </c>
      <c r="F748" s="14" t="s">
        <v>72</v>
      </c>
      <c r="G748" s="12"/>
      <c r="H748" s="17" t="s">
        <v>239</v>
      </c>
      <c r="I748" s="17" t="s">
        <v>74</v>
      </c>
      <c r="J748" s="14" t="s">
        <v>2370</v>
      </c>
      <c r="K748" s="12"/>
      <c r="L748" s="12"/>
      <c r="M748" s="12"/>
      <c r="N748" s="12"/>
      <c r="O748" s="19" t="s">
        <v>2371</v>
      </c>
      <c r="P748" s="33">
        <v>33040</v>
      </c>
      <c r="Q748" s="25">
        <v>0.57999999999999996</v>
      </c>
      <c r="R748" s="14" t="s">
        <v>973</v>
      </c>
      <c r="S748" s="14" t="s">
        <v>2372</v>
      </c>
      <c r="T748" s="12"/>
      <c r="U748" s="12">
        <v>3.4</v>
      </c>
      <c r="V748" s="12"/>
      <c r="W748" s="12"/>
      <c r="X748" s="12"/>
      <c r="Y748" s="12"/>
      <c r="Z748" s="12"/>
      <c r="AA748" s="12"/>
    </row>
    <row r="749" spans="1:27" ht="111" customHeight="1" x14ac:dyDescent="0.2">
      <c r="A749" s="23" t="s">
        <v>2329</v>
      </c>
      <c r="B749" s="14" t="s">
        <v>2373</v>
      </c>
      <c r="C749" s="14" t="s">
        <v>59</v>
      </c>
      <c r="D749" s="12"/>
      <c r="E749" s="14" t="s">
        <v>243</v>
      </c>
      <c r="F749" s="14" t="s">
        <v>72</v>
      </c>
      <c r="G749" s="12"/>
      <c r="H749" s="17" t="s">
        <v>62</v>
      </c>
      <c r="I749" s="17">
        <v>50</v>
      </c>
      <c r="J749" s="14" t="s">
        <v>2374</v>
      </c>
      <c r="K749" s="12">
        <v>29</v>
      </c>
      <c r="L749" s="17">
        <v>1350</v>
      </c>
      <c r="M749" s="17" t="s">
        <v>76</v>
      </c>
      <c r="N749" s="12">
        <v>3.8</v>
      </c>
      <c r="O749" s="30" t="str">
        <f>HYPERLINK("http://www.kent.edu/admissions/undergraduate/new-freshmen-scholarships","http://www.kent.edu/admissions/undergraduate/new-freshmen-scholarships")</f>
        <v>http://www.kent.edu/admissions/undergraduate/new-freshmen-scholarships</v>
      </c>
      <c r="P749" s="33" t="s">
        <v>2375</v>
      </c>
      <c r="Q749" s="25">
        <v>0.85</v>
      </c>
      <c r="R749" s="14" t="s">
        <v>767</v>
      </c>
      <c r="S749" s="14" t="s">
        <v>2376</v>
      </c>
      <c r="T749" s="12"/>
      <c r="U749" s="12">
        <v>3.36</v>
      </c>
      <c r="V749" s="12"/>
      <c r="W749" s="12"/>
      <c r="X749" s="12"/>
      <c r="Y749" s="12"/>
      <c r="Z749" s="12"/>
      <c r="AA749" s="12"/>
    </row>
    <row r="750" spans="1:27" ht="224" x14ac:dyDescent="0.2">
      <c r="A750" s="23" t="s">
        <v>2329</v>
      </c>
      <c r="B750" s="14" t="s">
        <v>2377</v>
      </c>
      <c r="C750" s="14" t="s">
        <v>101</v>
      </c>
      <c r="D750" s="12"/>
      <c r="E750" s="14" t="s">
        <v>885</v>
      </c>
      <c r="F750" s="14" t="s">
        <v>72</v>
      </c>
      <c r="G750" s="12"/>
      <c r="H750" s="17" t="s">
        <v>553</v>
      </c>
      <c r="I750" s="17" t="s">
        <v>74</v>
      </c>
      <c r="J750" s="14" t="s">
        <v>2378</v>
      </c>
      <c r="K750" s="12"/>
      <c r="L750" s="12"/>
      <c r="M750" s="12"/>
      <c r="N750" s="12"/>
      <c r="O750" s="30" t="str">
        <f>HYPERLINK("http://www.kenyon.edu/admissions-aid/financial-aid/types-of-aid/scholarships-and-grants/academic-scholarships/","http://www.kenyon.edu/admissions-aid/financial-aid/types-of-aid/scholarships-and-grants/academic-scholarships/")</f>
        <v>http://www.kenyon.edu/admissions-aid/financial-aid/types-of-aid/scholarships-and-grants/academic-scholarships/</v>
      </c>
      <c r="P750" s="33">
        <v>51200</v>
      </c>
      <c r="Q750" s="25">
        <v>0.24</v>
      </c>
      <c r="R750" s="34" t="s">
        <v>523</v>
      </c>
      <c r="S750" s="34" t="s">
        <v>2379</v>
      </c>
      <c r="T750" s="12"/>
      <c r="U750" s="12">
        <v>3.9</v>
      </c>
      <c r="V750" s="12"/>
      <c r="W750" s="12"/>
      <c r="X750" s="12"/>
      <c r="Y750" s="12"/>
      <c r="Z750" s="12"/>
      <c r="AA750" s="12"/>
    </row>
    <row r="751" spans="1:27" ht="78" customHeight="1" x14ac:dyDescent="0.2">
      <c r="A751" s="23" t="s">
        <v>2329</v>
      </c>
      <c r="B751" s="14" t="s">
        <v>2380</v>
      </c>
      <c r="C751" s="14" t="s">
        <v>101</v>
      </c>
      <c r="D751" s="12"/>
      <c r="E751" s="14" t="s">
        <v>111</v>
      </c>
      <c r="F751" s="14" t="s">
        <v>72</v>
      </c>
      <c r="G751" s="12"/>
      <c r="H751" s="17" t="s">
        <v>553</v>
      </c>
      <c r="I751" s="17" t="s">
        <v>74</v>
      </c>
      <c r="J751" s="14" t="s">
        <v>2381</v>
      </c>
      <c r="K751" s="12"/>
      <c r="L751" s="12"/>
      <c r="M751" s="12"/>
      <c r="N751" s="12"/>
      <c r="O751" s="30" t="str">
        <f t="shared" ref="O751:O752" si="111">HYPERLINK("http://w3.marietta.edu/Admission/financial_aid/scholarships.html","http://w3.marietta.edu/Admission/financial_aid/scholarships.html")</f>
        <v>http://w3.marietta.edu/Admission/financial_aid/scholarships.html</v>
      </c>
      <c r="P751" s="33">
        <v>35330</v>
      </c>
      <c r="Q751" s="57">
        <v>0.72</v>
      </c>
      <c r="R751" s="12" t="s">
        <v>182</v>
      </c>
      <c r="S751" s="12" t="s">
        <v>2382</v>
      </c>
      <c r="T751" s="12"/>
      <c r="U751" s="12">
        <v>3.43</v>
      </c>
      <c r="V751" s="12"/>
      <c r="W751" s="12"/>
      <c r="X751" s="12"/>
      <c r="Y751" s="12"/>
      <c r="Z751" s="12"/>
      <c r="AA751" s="12"/>
    </row>
    <row r="752" spans="1:27" ht="78" customHeight="1" x14ac:dyDescent="0.2">
      <c r="A752" s="23" t="s">
        <v>2329</v>
      </c>
      <c r="B752" s="14" t="s">
        <v>2380</v>
      </c>
      <c r="C752" s="14" t="s">
        <v>101</v>
      </c>
      <c r="D752" s="12"/>
      <c r="E752" s="14" t="s">
        <v>177</v>
      </c>
      <c r="F752" s="14" t="s">
        <v>72</v>
      </c>
      <c r="G752" s="12"/>
      <c r="H752" s="17" t="s">
        <v>553</v>
      </c>
      <c r="I752" s="17" t="s">
        <v>74</v>
      </c>
      <c r="J752" s="14" t="s">
        <v>2383</v>
      </c>
      <c r="K752" s="12"/>
      <c r="L752" s="12"/>
      <c r="M752" s="12"/>
      <c r="N752" s="12"/>
      <c r="O752" s="30" t="str">
        <f t="shared" si="111"/>
        <v>http://w3.marietta.edu/Admission/financial_aid/scholarships.html</v>
      </c>
      <c r="P752" s="33">
        <v>35330</v>
      </c>
      <c r="Q752" s="57">
        <v>0.72</v>
      </c>
      <c r="R752" s="12" t="s">
        <v>182</v>
      </c>
      <c r="S752" s="12" t="s">
        <v>2382</v>
      </c>
      <c r="T752" s="12"/>
      <c r="U752" s="12">
        <v>3.43</v>
      </c>
      <c r="V752" s="12"/>
      <c r="W752" s="12"/>
      <c r="X752" s="12"/>
      <c r="Y752" s="12"/>
      <c r="Z752" s="12"/>
      <c r="AA752" s="12"/>
    </row>
    <row r="753" spans="1:27" ht="221.25" customHeight="1" x14ac:dyDescent="0.2">
      <c r="A753" s="23" t="s">
        <v>2329</v>
      </c>
      <c r="B753" s="14" t="s">
        <v>2384</v>
      </c>
      <c r="C753" s="14" t="s">
        <v>59</v>
      </c>
      <c r="D753" s="12"/>
      <c r="E753" s="14" t="s">
        <v>111</v>
      </c>
      <c r="F753" s="14" t="s">
        <v>145</v>
      </c>
      <c r="G753" s="12"/>
      <c r="H753" s="17" t="s">
        <v>157</v>
      </c>
      <c r="I753" s="17" t="s">
        <v>74</v>
      </c>
      <c r="J753" s="14" t="s">
        <v>2385</v>
      </c>
      <c r="K753" s="12"/>
      <c r="L753" s="12"/>
      <c r="M753" s="12"/>
      <c r="N753" s="12"/>
      <c r="O753" s="30" t="str">
        <f t="shared" ref="O753:O754" si="112">HYPERLINK("http://miamioh.edu/onestop/your-money/finaid/aid-types/scholarships/rotc/index.html","http://miamioh.edu/onestop/your-money/finaid/aid-types/scholarships/rotc/index.html")</f>
        <v>http://miamioh.edu/onestop/your-money/finaid/aid-types/scholarships/rotc/index.html</v>
      </c>
      <c r="P753" s="14" t="s">
        <v>2386</v>
      </c>
      <c r="Q753" s="25">
        <v>0.65</v>
      </c>
      <c r="R753" s="14" t="s">
        <v>490</v>
      </c>
      <c r="S753" s="14" t="s">
        <v>2387</v>
      </c>
      <c r="T753" s="12"/>
      <c r="U753" s="12">
        <v>3.76</v>
      </c>
      <c r="V753" s="12"/>
      <c r="W753" s="12"/>
      <c r="X753" s="12"/>
      <c r="Y753" s="12"/>
      <c r="Z753" s="12"/>
      <c r="AA753" s="12"/>
    </row>
    <row r="754" spans="1:27" ht="268.5" customHeight="1" x14ac:dyDescent="0.2">
      <c r="A754" s="23" t="s">
        <v>2329</v>
      </c>
      <c r="B754" s="14" t="s">
        <v>2384</v>
      </c>
      <c r="C754" s="14" t="s">
        <v>59</v>
      </c>
      <c r="D754" s="12"/>
      <c r="E754" s="14" t="s">
        <v>88</v>
      </c>
      <c r="F754" s="14" t="s">
        <v>145</v>
      </c>
      <c r="G754" s="12"/>
      <c r="H754" s="17" t="s">
        <v>157</v>
      </c>
      <c r="I754" s="17" t="s">
        <v>74</v>
      </c>
      <c r="J754" s="14" t="s">
        <v>2388</v>
      </c>
      <c r="K754" s="12"/>
      <c r="L754" s="12"/>
      <c r="M754" s="12"/>
      <c r="N754" s="12"/>
      <c r="O754" s="30" t="str">
        <f t="shared" si="112"/>
        <v>http://miamioh.edu/onestop/your-money/finaid/aid-types/scholarships/rotc/index.html</v>
      </c>
      <c r="P754" s="14" t="s">
        <v>2386</v>
      </c>
      <c r="Q754" s="25">
        <v>0.65</v>
      </c>
      <c r="R754" s="14" t="s">
        <v>490</v>
      </c>
      <c r="S754" s="14" t="s">
        <v>2387</v>
      </c>
      <c r="T754" s="12"/>
      <c r="U754" s="12">
        <v>3.76</v>
      </c>
      <c r="V754" s="12"/>
      <c r="W754" s="12"/>
      <c r="X754" s="12"/>
      <c r="Y754" s="12"/>
      <c r="Z754" s="12"/>
      <c r="AA754" s="12"/>
    </row>
    <row r="755" spans="1:27" ht="181" x14ac:dyDescent="0.2">
      <c r="A755" s="109" t="s">
        <v>2329</v>
      </c>
      <c r="B755" s="110" t="s">
        <v>2384</v>
      </c>
      <c r="C755" s="110" t="s">
        <v>59</v>
      </c>
      <c r="D755" s="112"/>
      <c r="E755" s="110" t="s">
        <v>82</v>
      </c>
      <c r="F755" s="110" t="s">
        <v>72</v>
      </c>
      <c r="G755" s="112"/>
      <c r="H755" s="117" t="s">
        <v>553</v>
      </c>
      <c r="I755" s="117" t="s">
        <v>1225</v>
      </c>
      <c r="J755" s="209" t="s">
        <v>2389</v>
      </c>
      <c r="K755" s="112"/>
      <c r="L755" s="112"/>
      <c r="M755" s="112"/>
      <c r="N755" s="112"/>
      <c r="O755" s="121" t="s">
        <v>2390</v>
      </c>
      <c r="P755" s="110" t="s">
        <v>2386</v>
      </c>
      <c r="Q755" s="114">
        <v>0.65</v>
      </c>
      <c r="R755" s="110" t="s">
        <v>490</v>
      </c>
      <c r="S755" s="110" t="s">
        <v>2387</v>
      </c>
      <c r="T755" s="112"/>
      <c r="U755" s="112">
        <v>3.76</v>
      </c>
      <c r="V755" s="112"/>
      <c r="W755" s="112"/>
      <c r="X755" s="112"/>
      <c r="Y755" s="112"/>
      <c r="Z755" s="112"/>
      <c r="AA755" s="112"/>
    </row>
    <row r="756" spans="1:27" ht="252.75" customHeight="1" x14ac:dyDescent="0.2">
      <c r="A756" s="23" t="s">
        <v>2329</v>
      </c>
      <c r="B756" s="14" t="s">
        <v>2384</v>
      </c>
      <c r="C756" s="14" t="s">
        <v>59</v>
      </c>
      <c r="D756" s="12"/>
      <c r="E756" s="14" t="s">
        <v>88</v>
      </c>
      <c r="F756" s="14" t="s">
        <v>145</v>
      </c>
      <c r="G756" s="12"/>
      <c r="H756" s="17" t="s">
        <v>157</v>
      </c>
      <c r="I756" s="17" t="s">
        <v>74</v>
      </c>
      <c r="J756" s="14" t="s">
        <v>2391</v>
      </c>
      <c r="K756" s="12"/>
      <c r="L756" s="12"/>
      <c r="M756" s="12"/>
      <c r="N756" s="12"/>
      <c r="O756" s="30" t="str">
        <f>HYPERLINK("http://miamioh.edu/onestop/your-money/finaid/aid-types/scholarships/rotc/index.html","http://miamioh.edu/onestop/your-money/finaid/aid-types/scholarships/rotc/index.html")</f>
        <v>http://miamioh.edu/onestop/your-money/finaid/aid-types/scholarships/rotc/index.html</v>
      </c>
      <c r="P756" s="14" t="s">
        <v>2386</v>
      </c>
      <c r="Q756" s="25">
        <v>0.65</v>
      </c>
      <c r="R756" s="14" t="s">
        <v>490</v>
      </c>
      <c r="S756" s="14" t="s">
        <v>2387</v>
      </c>
      <c r="T756" s="12"/>
      <c r="U756" s="12">
        <v>3.76</v>
      </c>
      <c r="V756" s="12"/>
      <c r="W756" s="12"/>
      <c r="X756" s="12"/>
      <c r="Y756" s="12"/>
      <c r="Z756" s="12"/>
      <c r="AA756" s="12"/>
    </row>
    <row r="757" spans="1:27" ht="111" customHeight="1" x14ac:dyDescent="0.2">
      <c r="A757" s="23" t="s">
        <v>2329</v>
      </c>
      <c r="B757" s="14" t="s">
        <v>2384</v>
      </c>
      <c r="C757" s="14" t="s">
        <v>59</v>
      </c>
      <c r="D757" s="12"/>
      <c r="E757" s="14" t="s">
        <v>885</v>
      </c>
      <c r="F757" s="14" t="s">
        <v>61</v>
      </c>
      <c r="G757" s="12"/>
      <c r="H757" s="17" t="s">
        <v>62</v>
      </c>
      <c r="I757" s="17" t="s">
        <v>63</v>
      </c>
      <c r="J757" s="14" t="s">
        <v>2392</v>
      </c>
      <c r="K757" s="12">
        <v>33</v>
      </c>
      <c r="L757" s="17">
        <v>1480</v>
      </c>
      <c r="M757" s="17" t="s">
        <v>76</v>
      </c>
      <c r="N757" s="12">
        <v>3.5</v>
      </c>
      <c r="O757" s="63" t="s">
        <v>2393</v>
      </c>
      <c r="P757" s="14" t="s">
        <v>2386</v>
      </c>
      <c r="Q757" s="25">
        <v>0.65</v>
      </c>
      <c r="R757" s="14" t="s">
        <v>490</v>
      </c>
      <c r="S757" s="14" t="s">
        <v>2387</v>
      </c>
      <c r="T757" s="12"/>
      <c r="U757" s="12">
        <v>3.76</v>
      </c>
      <c r="V757" s="12"/>
      <c r="W757" s="12"/>
      <c r="X757" s="12"/>
      <c r="Y757" s="12"/>
      <c r="Z757" s="12"/>
      <c r="AA757" s="12"/>
    </row>
    <row r="758" spans="1:27" ht="111" customHeight="1" x14ac:dyDescent="0.2">
      <c r="A758" s="23" t="s">
        <v>2329</v>
      </c>
      <c r="B758" s="14" t="s">
        <v>2394</v>
      </c>
      <c r="C758" s="14" t="s">
        <v>101</v>
      </c>
      <c r="D758" s="12"/>
      <c r="E758" s="14" t="s">
        <v>60</v>
      </c>
      <c r="F758" s="14" t="s">
        <v>72</v>
      </c>
      <c r="G758" s="12"/>
      <c r="H758" s="17" t="s">
        <v>239</v>
      </c>
      <c r="I758" s="17" t="s">
        <v>74</v>
      </c>
      <c r="J758" s="14" t="s">
        <v>2395</v>
      </c>
      <c r="K758" s="12"/>
      <c r="L758" s="12"/>
      <c r="M758" s="12"/>
      <c r="N758" s="12"/>
      <c r="O758" s="30" t="str">
        <f>HYPERLINK("http://www.muskingum.edu/financialaid/FirstYearScholarships.html","http://www.muskingum.edu/financialaid/FirstYearScholarships.html")</f>
        <v>http://www.muskingum.edu/financialaid/FirstYearScholarships.html</v>
      </c>
      <c r="P758" s="33">
        <v>27340</v>
      </c>
      <c r="Q758" s="25">
        <v>0.76400000000000001</v>
      </c>
      <c r="R758" s="14" t="s">
        <v>130</v>
      </c>
      <c r="S758" s="14" t="s">
        <v>2396</v>
      </c>
      <c r="T758" s="12"/>
      <c r="U758" s="12" t="s">
        <v>81</v>
      </c>
      <c r="V758" s="12"/>
      <c r="W758" s="12"/>
      <c r="X758" s="12"/>
      <c r="Y758" s="12"/>
      <c r="Z758" s="12"/>
      <c r="AA758" s="12"/>
    </row>
    <row r="759" spans="1:27" ht="224" x14ac:dyDescent="0.2">
      <c r="A759" s="23" t="s">
        <v>2329</v>
      </c>
      <c r="B759" s="14" t="s">
        <v>2397</v>
      </c>
      <c r="C759" s="14" t="s">
        <v>101</v>
      </c>
      <c r="D759" s="12"/>
      <c r="E759" s="14" t="s">
        <v>82</v>
      </c>
      <c r="F759" s="14" t="s">
        <v>72</v>
      </c>
      <c r="G759" s="12"/>
      <c r="H759" s="17" t="s">
        <v>553</v>
      </c>
      <c r="I759" s="17" t="s">
        <v>74</v>
      </c>
      <c r="J759" s="14" t="s">
        <v>2398</v>
      </c>
      <c r="K759" s="12"/>
      <c r="L759" s="12"/>
      <c r="M759" s="12"/>
      <c r="N759" s="12"/>
      <c r="O759" s="30" t="str">
        <f>HYPERLINK("http://www.stampsfoundation.org/2012/11/20/oberlin-oberlin-oh/","http://www.stampsfoundation.org/2012/11/20/oberlin-oberlin-oh/")</f>
        <v>http://www.stampsfoundation.org/2012/11/20/oberlin-oberlin-oh/</v>
      </c>
      <c r="P759" s="33">
        <v>52002</v>
      </c>
      <c r="Q759" s="57">
        <v>0.28999999999999998</v>
      </c>
      <c r="R759" s="12" t="s">
        <v>1357</v>
      </c>
      <c r="S759" s="12" t="s">
        <v>2399</v>
      </c>
      <c r="T759" s="12"/>
      <c r="U759" s="12">
        <v>3.59</v>
      </c>
      <c r="V759" s="12"/>
      <c r="W759" s="12"/>
      <c r="X759" s="12"/>
      <c r="Y759" s="12"/>
      <c r="Z759" s="12"/>
      <c r="AA759" s="12"/>
    </row>
    <row r="760" spans="1:27" ht="301" x14ac:dyDescent="0.2">
      <c r="A760" s="11" t="s">
        <v>2329</v>
      </c>
      <c r="B760" s="12" t="s">
        <v>2397</v>
      </c>
      <c r="C760" s="26" t="s">
        <v>101</v>
      </c>
      <c r="D760" s="17" t="s">
        <v>2400</v>
      </c>
      <c r="E760" s="12" t="s">
        <v>243</v>
      </c>
      <c r="F760" s="12" t="s">
        <v>72</v>
      </c>
      <c r="G760" s="26" t="s">
        <v>186</v>
      </c>
      <c r="H760" s="29" t="s">
        <v>2401</v>
      </c>
      <c r="I760" s="29" t="s">
        <v>74</v>
      </c>
      <c r="J760" s="176" t="s">
        <v>2402</v>
      </c>
      <c r="K760" s="12"/>
      <c r="L760" s="12"/>
      <c r="M760" s="12"/>
      <c r="N760" s="12"/>
      <c r="O760" s="19" t="s">
        <v>2403</v>
      </c>
      <c r="P760" s="33">
        <v>52002</v>
      </c>
      <c r="Q760" s="57">
        <v>0.28999999999999998</v>
      </c>
      <c r="R760" s="12" t="s">
        <v>1357</v>
      </c>
      <c r="S760" s="12" t="s">
        <v>2399</v>
      </c>
      <c r="T760" s="12"/>
      <c r="U760" s="12">
        <v>3.59</v>
      </c>
      <c r="V760" s="12"/>
      <c r="W760" s="12"/>
      <c r="X760" s="12"/>
      <c r="Y760" s="12"/>
      <c r="Z760" s="12"/>
      <c r="AA760" s="12"/>
    </row>
    <row r="761" spans="1:27" ht="287" x14ac:dyDescent="0.2">
      <c r="A761" s="11" t="s">
        <v>2329</v>
      </c>
      <c r="B761" s="12" t="s">
        <v>2397</v>
      </c>
      <c r="C761" s="26" t="s">
        <v>101</v>
      </c>
      <c r="D761" s="17" t="s">
        <v>2404</v>
      </c>
      <c r="E761" s="12" t="s">
        <v>243</v>
      </c>
      <c r="F761" s="12" t="s">
        <v>72</v>
      </c>
      <c r="G761" s="26" t="s">
        <v>186</v>
      </c>
      <c r="H761" s="29" t="s">
        <v>2401</v>
      </c>
      <c r="I761" s="29" t="s">
        <v>74</v>
      </c>
      <c r="J761" s="32" t="s">
        <v>2405</v>
      </c>
      <c r="K761" s="12"/>
      <c r="L761" s="12"/>
      <c r="M761" s="12"/>
      <c r="N761" s="12"/>
      <c r="O761" s="19" t="s">
        <v>2406</v>
      </c>
      <c r="P761" s="33">
        <v>52002</v>
      </c>
      <c r="Q761" s="57">
        <v>0.28999999999999998</v>
      </c>
      <c r="R761" s="12" t="s">
        <v>1357</v>
      </c>
      <c r="S761" s="12" t="s">
        <v>2399</v>
      </c>
      <c r="T761" s="12"/>
      <c r="U761" s="12">
        <v>3.59</v>
      </c>
      <c r="V761" s="12"/>
      <c r="W761" s="12"/>
      <c r="X761" s="12"/>
      <c r="Y761" s="12"/>
      <c r="Z761" s="12"/>
      <c r="AA761" s="12"/>
    </row>
    <row r="762" spans="1:27" ht="237" customHeight="1" x14ac:dyDescent="0.2">
      <c r="A762" s="23" t="s">
        <v>2329</v>
      </c>
      <c r="B762" s="14" t="s">
        <v>2407</v>
      </c>
      <c r="C762" s="14" t="s">
        <v>101</v>
      </c>
      <c r="D762" s="12"/>
      <c r="E762" s="14" t="s">
        <v>177</v>
      </c>
      <c r="F762" s="14" t="s">
        <v>72</v>
      </c>
      <c r="G762" s="12"/>
      <c r="H762" s="17" t="s">
        <v>837</v>
      </c>
      <c r="I762" s="17">
        <v>2</v>
      </c>
      <c r="J762" s="14" t="s">
        <v>2408</v>
      </c>
      <c r="K762" s="24">
        <v>30</v>
      </c>
      <c r="L762" s="24">
        <v>1330</v>
      </c>
      <c r="M762" s="17" t="s">
        <v>197</v>
      </c>
      <c r="N762" s="24">
        <v>3.5</v>
      </c>
      <c r="O762" s="30" t="str">
        <f t="shared" ref="O762:O763" si="113">HYPERLINK("http://www.onu.edu/financial_aid/scholarships","http://www.onu.edu/financial_aid/scholarships")</f>
        <v>http://www.onu.edu/financial_aid/scholarships</v>
      </c>
      <c r="P762" s="33">
        <v>29820</v>
      </c>
      <c r="Q762" s="57">
        <v>0.69</v>
      </c>
      <c r="R762" s="12" t="s">
        <v>266</v>
      </c>
      <c r="S762" s="12" t="s">
        <v>2409</v>
      </c>
      <c r="T762" s="12"/>
      <c r="U762" s="12">
        <v>3.6</v>
      </c>
      <c r="V762" s="12"/>
      <c r="W762" s="12"/>
      <c r="X762" s="12"/>
      <c r="Y762" s="12"/>
      <c r="Z762" s="12"/>
      <c r="AA762" s="12"/>
    </row>
    <row r="763" spans="1:27" ht="157" x14ac:dyDescent="0.2">
      <c r="A763" s="23" t="s">
        <v>2329</v>
      </c>
      <c r="B763" s="14" t="s">
        <v>2407</v>
      </c>
      <c r="C763" s="14" t="s">
        <v>101</v>
      </c>
      <c r="D763" s="12"/>
      <c r="E763" s="14" t="s">
        <v>177</v>
      </c>
      <c r="F763" s="14" t="s">
        <v>72</v>
      </c>
      <c r="G763" s="12"/>
      <c r="H763" s="17" t="s">
        <v>2410</v>
      </c>
      <c r="I763" s="17">
        <v>1</v>
      </c>
      <c r="J763" s="56" t="s">
        <v>2411</v>
      </c>
      <c r="K763" s="12"/>
      <c r="L763" s="12"/>
      <c r="M763" s="12"/>
      <c r="N763" s="12"/>
      <c r="O763" s="30" t="str">
        <f t="shared" si="113"/>
        <v>http://www.onu.edu/financial_aid/scholarships</v>
      </c>
      <c r="P763" s="33">
        <v>29820</v>
      </c>
      <c r="Q763" s="57">
        <v>0.69</v>
      </c>
      <c r="R763" s="12" t="s">
        <v>266</v>
      </c>
      <c r="S763" s="12" t="s">
        <v>2409</v>
      </c>
      <c r="T763" s="12"/>
      <c r="U763" s="12">
        <v>3.6</v>
      </c>
      <c r="V763" s="12"/>
      <c r="W763" s="12"/>
      <c r="X763" s="12"/>
      <c r="Y763" s="12"/>
      <c r="Z763" s="12"/>
      <c r="AA763" s="12"/>
    </row>
    <row r="764" spans="1:27" ht="142.5" customHeight="1" x14ac:dyDescent="0.2">
      <c r="A764" s="23" t="s">
        <v>2329</v>
      </c>
      <c r="B764" s="14" t="s">
        <v>2412</v>
      </c>
      <c r="C764" s="14" t="s">
        <v>59</v>
      </c>
      <c r="D764" s="14"/>
      <c r="E764" s="14" t="s">
        <v>82</v>
      </c>
      <c r="F764" s="14" t="s">
        <v>72</v>
      </c>
      <c r="G764" s="12"/>
      <c r="H764" s="17" t="s">
        <v>326</v>
      </c>
      <c r="I764" s="17" t="s">
        <v>74</v>
      </c>
      <c r="J764" s="14" t="s">
        <v>2413</v>
      </c>
      <c r="K764" s="24"/>
      <c r="L764" s="18"/>
      <c r="M764" s="17"/>
      <c r="N764" s="12"/>
      <c r="O764" s="30" t="str">
        <f t="shared" ref="O764:O766" si="114">HYPERLINK("http://undergrad.osu.edu/money-matters/scholarships.html","http://undergrad.osu.edu/money-matters/scholarships.html")</f>
        <v>http://undergrad.osu.edu/money-matters/scholarships.html</v>
      </c>
      <c r="P764" s="14" t="s">
        <v>2414</v>
      </c>
      <c r="Q764" s="58">
        <v>0.49</v>
      </c>
      <c r="R764" s="14" t="s">
        <v>2415</v>
      </c>
      <c r="S764" s="14" t="s">
        <v>2416</v>
      </c>
      <c r="T764" s="12"/>
      <c r="U764" s="12" t="s">
        <v>81</v>
      </c>
      <c r="V764" s="12"/>
      <c r="W764" s="12"/>
      <c r="X764" s="12"/>
      <c r="Y764" s="12"/>
      <c r="Z764" s="12"/>
      <c r="AA764" s="12"/>
    </row>
    <row r="765" spans="1:27" ht="158.25" customHeight="1" x14ac:dyDescent="0.2">
      <c r="A765" s="23" t="s">
        <v>2329</v>
      </c>
      <c r="B765" s="14" t="s">
        <v>2412</v>
      </c>
      <c r="C765" s="14" t="s">
        <v>59</v>
      </c>
      <c r="D765" s="14" t="s">
        <v>98</v>
      </c>
      <c r="E765" s="14" t="s">
        <v>60</v>
      </c>
      <c r="F765" s="14" t="s">
        <v>72</v>
      </c>
      <c r="G765" s="12"/>
      <c r="H765" s="17" t="s">
        <v>2417</v>
      </c>
      <c r="I765" s="17" t="s">
        <v>2418</v>
      </c>
      <c r="J765" s="14" t="s">
        <v>2419</v>
      </c>
      <c r="K765" s="24"/>
      <c r="L765" s="24"/>
      <c r="M765" s="12"/>
      <c r="N765" s="12"/>
      <c r="O765" s="30" t="str">
        <f t="shared" si="114"/>
        <v>http://undergrad.osu.edu/money-matters/scholarships.html</v>
      </c>
      <c r="P765" s="14" t="s">
        <v>2414</v>
      </c>
      <c r="Q765" s="58">
        <v>0.49</v>
      </c>
      <c r="R765" s="14" t="s">
        <v>2415</v>
      </c>
      <c r="S765" s="14" t="s">
        <v>2416</v>
      </c>
      <c r="T765" s="12"/>
      <c r="U765" s="12" t="s">
        <v>81</v>
      </c>
      <c r="V765" s="12"/>
      <c r="W765" s="12"/>
      <c r="X765" s="12"/>
      <c r="Y765" s="12"/>
      <c r="Z765" s="12"/>
      <c r="AA765" s="12"/>
    </row>
    <row r="766" spans="1:27" ht="169" x14ac:dyDescent="0.2">
      <c r="A766" s="23" t="s">
        <v>2329</v>
      </c>
      <c r="B766" s="14" t="s">
        <v>2412</v>
      </c>
      <c r="C766" s="14" t="s">
        <v>59</v>
      </c>
      <c r="D766" s="14"/>
      <c r="E766" s="14" t="s">
        <v>191</v>
      </c>
      <c r="F766" s="14" t="s">
        <v>72</v>
      </c>
      <c r="G766" s="12"/>
      <c r="H766" s="17" t="s">
        <v>2420</v>
      </c>
      <c r="I766" s="17" t="s">
        <v>74</v>
      </c>
      <c r="J766" s="56" t="s">
        <v>2421</v>
      </c>
      <c r="K766" s="12"/>
      <c r="L766" s="12"/>
      <c r="M766" s="12"/>
      <c r="N766" s="12"/>
      <c r="O766" s="30" t="str">
        <f t="shared" si="114"/>
        <v>http://undergrad.osu.edu/money-matters/scholarships.html</v>
      </c>
      <c r="P766" s="14" t="s">
        <v>2414</v>
      </c>
      <c r="Q766" s="58">
        <v>0.49</v>
      </c>
      <c r="R766" s="14" t="s">
        <v>2415</v>
      </c>
      <c r="S766" s="14" t="s">
        <v>2416</v>
      </c>
      <c r="T766" s="12"/>
      <c r="U766" s="12" t="s">
        <v>81</v>
      </c>
      <c r="V766" s="12"/>
      <c r="W766" s="12"/>
      <c r="X766" s="12"/>
      <c r="Y766" s="12"/>
      <c r="Z766" s="12"/>
      <c r="AA766" s="12"/>
    </row>
    <row r="767" spans="1:27" ht="111" customHeight="1" x14ac:dyDescent="0.2">
      <c r="A767" s="23" t="s">
        <v>2329</v>
      </c>
      <c r="B767" s="14" t="s">
        <v>2422</v>
      </c>
      <c r="C767" s="14" t="s">
        <v>59</v>
      </c>
      <c r="D767" s="14"/>
      <c r="E767" s="14" t="s">
        <v>2423</v>
      </c>
      <c r="F767" s="14" t="s">
        <v>72</v>
      </c>
      <c r="G767" s="12"/>
      <c r="H767" s="17" t="s">
        <v>2424</v>
      </c>
      <c r="I767" s="17" t="s">
        <v>74</v>
      </c>
      <c r="J767" s="14" t="s">
        <v>2425</v>
      </c>
      <c r="K767" s="12"/>
      <c r="L767" s="12"/>
      <c r="M767" s="12"/>
      <c r="N767" s="12"/>
      <c r="O767" s="30" t="str">
        <f>HYPERLINK("https://www.ohio.edu/admissions/tuition/scholfinaid/signature.cfm","https://www.ohio.edu/admissions/tuition/scholfinaid/signature.cfm")</f>
        <v>https://www.ohio.edu/admissions/tuition/scholfinaid/signature.cfm</v>
      </c>
      <c r="P767" s="14" t="s">
        <v>2426</v>
      </c>
      <c r="Q767" s="25">
        <v>0.74</v>
      </c>
      <c r="R767" s="14" t="s">
        <v>670</v>
      </c>
      <c r="S767" s="14" t="s">
        <v>2427</v>
      </c>
      <c r="T767" s="12"/>
      <c r="U767" s="12">
        <v>3.46</v>
      </c>
      <c r="V767" s="12"/>
      <c r="W767" s="12"/>
      <c r="X767" s="12"/>
      <c r="Y767" s="12"/>
      <c r="Z767" s="12"/>
      <c r="AA767" s="12"/>
    </row>
    <row r="768" spans="1:27" ht="189.75" customHeight="1" x14ac:dyDescent="0.2">
      <c r="A768" s="23" t="s">
        <v>2329</v>
      </c>
      <c r="B768" s="14" t="s">
        <v>2422</v>
      </c>
      <c r="C768" s="14" t="s">
        <v>59</v>
      </c>
      <c r="D768" s="16" t="s">
        <v>2428</v>
      </c>
      <c r="E768" s="14" t="s">
        <v>88</v>
      </c>
      <c r="F768" s="14" t="s">
        <v>72</v>
      </c>
      <c r="G768" s="12"/>
      <c r="H768" s="17" t="s">
        <v>2429</v>
      </c>
      <c r="I768" s="17" t="s">
        <v>74</v>
      </c>
      <c r="J768" s="14" t="s">
        <v>2430</v>
      </c>
      <c r="K768" s="12"/>
      <c r="L768" s="12"/>
      <c r="M768" s="12"/>
      <c r="N768" s="12"/>
      <c r="O768" s="19" t="s">
        <v>2431</v>
      </c>
      <c r="P768" s="14" t="s">
        <v>2426</v>
      </c>
      <c r="Q768" s="25">
        <v>0.74</v>
      </c>
      <c r="R768" s="14" t="s">
        <v>670</v>
      </c>
      <c r="S768" s="14" t="s">
        <v>2427</v>
      </c>
      <c r="T768" s="12"/>
      <c r="U768" s="12">
        <v>3.46</v>
      </c>
      <c r="V768" s="12"/>
      <c r="W768" s="12"/>
      <c r="X768" s="12"/>
      <c r="Y768" s="12"/>
      <c r="Z768" s="12"/>
      <c r="AA768" s="12"/>
    </row>
    <row r="769" spans="1:27" ht="111" customHeight="1" x14ac:dyDescent="0.2">
      <c r="A769" s="23" t="s">
        <v>2329</v>
      </c>
      <c r="B769" s="14" t="s">
        <v>2422</v>
      </c>
      <c r="C769" s="14" t="s">
        <v>59</v>
      </c>
      <c r="D769" s="14"/>
      <c r="E769" s="14" t="s">
        <v>111</v>
      </c>
      <c r="F769" s="14" t="s">
        <v>72</v>
      </c>
      <c r="G769" s="12"/>
      <c r="H769" s="17" t="s">
        <v>62</v>
      </c>
      <c r="I769" s="17" t="s">
        <v>74</v>
      </c>
      <c r="J769" s="14" t="s">
        <v>2432</v>
      </c>
      <c r="K769" s="24">
        <v>28</v>
      </c>
      <c r="L769" s="24">
        <v>1250</v>
      </c>
      <c r="M769" s="16" t="s">
        <v>76</v>
      </c>
      <c r="N769" s="12"/>
      <c r="O769" s="30" t="str">
        <f>HYPERLINK("https://www.ohio.edu/omsar/templeton.cfm","https://www.ohio.edu/omsar/templeton.cfm")</f>
        <v>https://www.ohio.edu/omsar/templeton.cfm</v>
      </c>
      <c r="P769" s="14" t="s">
        <v>2426</v>
      </c>
      <c r="Q769" s="25">
        <v>0.74</v>
      </c>
      <c r="R769" s="14" t="s">
        <v>670</v>
      </c>
      <c r="S769" s="14" t="s">
        <v>2427</v>
      </c>
      <c r="T769" s="12"/>
      <c r="U769" s="12">
        <v>3.46</v>
      </c>
      <c r="V769" s="12"/>
      <c r="W769" s="12"/>
      <c r="X769" s="12"/>
      <c r="Y769" s="12"/>
      <c r="Z769" s="12"/>
      <c r="AA769" s="12"/>
    </row>
    <row r="770" spans="1:27" ht="111" customHeight="1" x14ac:dyDescent="0.2">
      <c r="A770" s="23" t="s">
        <v>2329</v>
      </c>
      <c r="B770" s="14" t="s">
        <v>2433</v>
      </c>
      <c r="C770" s="14" t="s">
        <v>59</v>
      </c>
      <c r="D770" s="14" t="s">
        <v>98</v>
      </c>
      <c r="E770" s="14" t="s">
        <v>60</v>
      </c>
      <c r="F770" s="14" t="s">
        <v>72</v>
      </c>
      <c r="G770" s="12"/>
      <c r="H770" s="17" t="s">
        <v>62</v>
      </c>
      <c r="I770" s="17" t="s">
        <v>74</v>
      </c>
      <c r="J770" s="14" t="s">
        <v>2434</v>
      </c>
      <c r="K770" s="24">
        <v>24</v>
      </c>
      <c r="L770" s="18">
        <v>1160</v>
      </c>
      <c r="M770" s="16" t="s">
        <v>76</v>
      </c>
      <c r="N770" s="24">
        <v>3</v>
      </c>
      <c r="O770" s="30" t="str">
        <f>HYPERLINK("http://www.uc.edu/eps/applying_turner.html","http://www.uc.edu/eps/applying_turner.html")</f>
        <v>http://www.uc.edu/eps/applying_turner.html</v>
      </c>
      <c r="P770" s="14" t="s">
        <v>2435</v>
      </c>
      <c r="Q770" s="58">
        <v>0.86</v>
      </c>
      <c r="R770" s="14" t="s">
        <v>266</v>
      </c>
      <c r="S770" s="14" t="s">
        <v>2436</v>
      </c>
      <c r="T770" s="12"/>
      <c r="U770" s="12">
        <v>3.48</v>
      </c>
      <c r="V770" s="12"/>
      <c r="W770" s="12"/>
      <c r="X770" s="12"/>
      <c r="Y770" s="12"/>
      <c r="Z770" s="12"/>
      <c r="AA770" s="12"/>
    </row>
    <row r="771" spans="1:27" ht="142.5" customHeight="1" x14ac:dyDescent="0.2">
      <c r="A771" s="23" t="s">
        <v>2329</v>
      </c>
      <c r="B771" s="14" t="s">
        <v>2433</v>
      </c>
      <c r="C771" s="14" t="s">
        <v>59</v>
      </c>
      <c r="D771" s="14" t="s">
        <v>194</v>
      </c>
      <c r="E771" s="14" t="s">
        <v>111</v>
      </c>
      <c r="F771" s="14" t="s">
        <v>72</v>
      </c>
      <c r="G771" s="12"/>
      <c r="H771" s="17" t="s">
        <v>239</v>
      </c>
      <c r="I771" s="17">
        <v>10</v>
      </c>
      <c r="J771" s="14" t="s">
        <v>2437</v>
      </c>
      <c r="K771" s="12"/>
      <c r="L771" s="12"/>
      <c r="M771" s="12"/>
      <c r="N771" s="12"/>
      <c r="O771" s="30" t="str">
        <f t="shared" ref="O771:O772" si="115">HYPERLINK("http://financialaid.uc.edu/sfao/cincinnatus.html","http://financialaid.uc.edu/sfao/cincinnatus.html")</f>
        <v>http://financialaid.uc.edu/sfao/cincinnatus.html</v>
      </c>
      <c r="P771" s="14" t="s">
        <v>2435</v>
      </c>
      <c r="Q771" s="58">
        <v>0.86</v>
      </c>
      <c r="R771" s="14" t="s">
        <v>266</v>
      </c>
      <c r="S771" s="14" t="s">
        <v>2436</v>
      </c>
      <c r="T771" s="12"/>
      <c r="U771" s="12">
        <v>3.48</v>
      </c>
      <c r="V771" s="12"/>
      <c r="W771" s="12"/>
      <c r="X771" s="12"/>
      <c r="Y771" s="12"/>
      <c r="Z771" s="12"/>
      <c r="AA771" s="12"/>
    </row>
    <row r="772" spans="1:27" ht="142.5" customHeight="1" x14ac:dyDescent="0.2">
      <c r="A772" s="23" t="s">
        <v>2329</v>
      </c>
      <c r="B772" s="14" t="s">
        <v>2433</v>
      </c>
      <c r="C772" s="14" t="s">
        <v>59</v>
      </c>
      <c r="D772" s="14" t="s">
        <v>194</v>
      </c>
      <c r="E772" s="14" t="s">
        <v>88</v>
      </c>
      <c r="F772" s="14" t="s">
        <v>92</v>
      </c>
      <c r="G772" s="12"/>
      <c r="H772" s="17" t="s">
        <v>239</v>
      </c>
      <c r="I772" s="17" t="s">
        <v>74</v>
      </c>
      <c r="J772" s="14" t="s">
        <v>2438</v>
      </c>
      <c r="K772" s="12"/>
      <c r="L772" s="12"/>
      <c r="M772" s="12"/>
      <c r="N772" s="12"/>
      <c r="O772" s="30" t="str">
        <f t="shared" si="115"/>
        <v>http://financialaid.uc.edu/sfao/cincinnatus.html</v>
      </c>
      <c r="P772" s="14" t="s">
        <v>2435</v>
      </c>
      <c r="Q772" s="58">
        <v>0.86</v>
      </c>
      <c r="R772" s="14" t="s">
        <v>266</v>
      </c>
      <c r="S772" s="14" t="s">
        <v>2436</v>
      </c>
      <c r="T772" s="12"/>
      <c r="U772" s="12">
        <v>3.48</v>
      </c>
      <c r="V772" s="12"/>
      <c r="W772" s="12"/>
      <c r="X772" s="12"/>
      <c r="Y772" s="12"/>
      <c r="Z772" s="12"/>
      <c r="AA772" s="12"/>
    </row>
    <row r="773" spans="1:27" ht="142.5" customHeight="1" x14ac:dyDescent="0.2">
      <c r="A773" s="23" t="s">
        <v>2329</v>
      </c>
      <c r="B773" s="14" t="s">
        <v>2439</v>
      </c>
      <c r="C773" s="14" t="s">
        <v>101</v>
      </c>
      <c r="D773" s="12"/>
      <c r="E773" s="14" t="s">
        <v>88</v>
      </c>
      <c r="F773" s="14" t="s">
        <v>145</v>
      </c>
      <c r="G773" s="12"/>
      <c r="H773" s="17" t="s">
        <v>157</v>
      </c>
      <c r="I773" s="17" t="s">
        <v>74</v>
      </c>
      <c r="J773" s="14" t="s">
        <v>2440</v>
      </c>
      <c r="K773" s="12"/>
      <c r="L773" s="12"/>
      <c r="M773" s="12"/>
      <c r="N773" s="12"/>
      <c r="O773" s="30" t="str">
        <f>HYPERLINK("https://www.udayton.edu/fss/_resources/files/financial_aid/university_scholarships.pdf","https://www.udayton.edu/fss/_resources/files/financial_aid/university_scholarships.pdf")</f>
        <v>https://www.udayton.edu/fss/_resources/files/financial_aid/university_scholarships.pdf</v>
      </c>
      <c r="P773" s="33">
        <v>40940</v>
      </c>
      <c r="Q773" s="58">
        <v>0.57999999999999996</v>
      </c>
      <c r="R773" s="14" t="s">
        <v>687</v>
      </c>
      <c r="S773" s="14" t="s">
        <v>2441</v>
      </c>
      <c r="T773" s="12"/>
      <c r="U773" s="12">
        <v>3.64</v>
      </c>
      <c r="V773" s="12"/>
      <c r="W773" s="12"/>
      <c r="X773" s="12"/>
      <c r="Y773" s="12"/>
      <c r="Z773" s="12"/>
      <c r="AA773" s="12"/>
    </row>
    <row r="774" spans="1:27" ht="174" customHeight="1" x14ac:dyDescent="0.2">
      <c r="A774" s="23" t="s">
        <v>2329</v>
      </c>
      <c r="B774" s="14" t="s">
        <v>2439</v>
      </c>
      <c r="C774" s="14" t="s">
        <v>101</v>
      </c>
      <c r="D774" s="12"/>
      <c r="E774" s="14" t="s">
        <v>88</v>
      </c>
      <c r="F774" s="14" t="s">
        <v>145</v>
      </c>
      <c r="G774" s="12"/>
      <c r="H774" s="17" t="s">
        <v>157</v>
      </c>
      <c r="I774" s="17" t="s">
        <v>74</v>
      </c>
      <c r="J774" s="14" t="s">
        <v>2442</v>
      </c>
      <c r="K774" s="12"/>
      <c r="L774" s="12"/>
      <c r="M774" s="12"/>
      <c r="N774" s="12"/>
      <c r="O774" s="30" t="str">
        <f>HYPERLINK("https://www.udayton.edu/flyersfirst/financialaid/undergrad/types_of_aid/scholarships.php","https://www.udayton.edu/flyersfirst/financialaid/undergrad/types_of_aid/scholarships.php")</f>
        <v>https://www.udayton.edu/flyersfirst/financialaid/undergrad/types_of_aid/scholarships.php</v>
      </c>
      <c r="P774" s="33">
        <v>40940</v>
      </c>
      <c r="Q774" s="58">
        <v>0.57999999999999996</v>
      </c>
      <c r="R774" s="14" t="s">
        <v>687</v>
      </c>
      <c r="S774" s="14" t="s">
        <v>2441</v>
      </c>
      <c r="T774" s="12"/>
      <c r="U774" s="12">
        <v>3.64</v>
      </c>
      <c r="V774" s="12"/>
      <c r="W774" s="12"/>
      <c r="X774" s="12"/>
      <c r="Y774" s="12"/>
      <c r="Z774" s="12"/>
      <c r="AA774" s="12"/>
    </row>
    <row r="775" spans="1:27" ht="205.5" customHeight="1" x14ac:dyDescent="0.2">
      <c r="A775" s="23" t="s">
        <v>2329</v>
      </c>
      <c r="B775" s="14" t="s">
        <v>2443</v>
      </c>
      <c r="C775" s="14" t="s">
        <v>101</v>
      </c>
      <c r="D775" s="12"/>
      <c r="E775" s="14" t="s">
        <v>177</v>
      </c>
      <c r="F775" s="14" t="s">
        <v>72</v>
      </c>
      <c r="G775" s="14" t="s">
        <v>186</v>
      </c>
      <c r="H775" s="16" t="s">
        <v>326</v>
      </c>
      <c r="I775" s="16">
        <v>4</v>
      </c>
      <c r="J775" s="14" t="s">
        <v>2444</v>
      </c>
      <c r="K775" s="24">
        <v>27</v>
      </c>
      <c r="L775" s="18">
        <v>1280</v>
      </c>
      <c r="M775" s="17" t="s">
        <v>76</v>
      </c>
      <c r="N775" s="24">
        <v>3.5</v>
      </c>
      <c r="O775" s="30" t="str">
        <f>HYPERLINK("http://www.mountunion.edu/types-of-financial-aid#Grants%20and%20Scholarships","http://www.mountunion.edu/types-of-financial-aid#Grants%20and%20Scholarships")</f>
        <v>http://www.mountunion.edu/types-of-financial-aid#Grants%20and%20Scholarships</v>
      </c>
      <c r="P775" s="33">
        <v>29120</v>
      </c>
      <c r="Q775" s="57">
        <v>0.75</v>
      </c>
      <c r="R775" s="12" t="s">
        <v>565</v>
      </c>
      <c r="S775" s="12" t="s">
        <v>2445</v>
      </c>
      <c r="T775" s="12"/>
      <c r="U775" s="12">
        <v>3.44</v>
      </c>
      <c r="V775" s="12"/>
      <c r="W775" s="12"/>
      <c r="X775" s="12"/>
      <c r="Y775" s="12"/>
      <c r="Z775" s="12"/>
      <c r="AA775" s="12"/>
    </row>
    <row r="776" spans="1:27" ht="224" x14ac:dyDescent="0.2">
      <c r="A776" s="23" t="s">
        <v>2329</v>
      </c>
      <c r="B776" s="14" t="s">
        <v>2446</v>
      </c>
      <c r="C776" s="14" t="s">
        <v>59</v>
      </c>
      <c r="D776" s="14"/>
      <c r="E776" s="14" t="s">
        <v>724</v>
      </c>
      <c r="F776" s="14" t="s">
        <v>72</v>
      </c>
      <c r="G776" s="12"/>
      <c r="H776" s="17" t="s">
        <v>62</v>
      </c>
      <c r="I776" s="17" t="s">
        <v>74</v>
      </c>
      <c r="J776" s="16" t="s">
        <v>2447</v>
      </c>
      <c r="K776" s="24">
        <v>30</v>
      </c>
      <c r="L776" s="18">
        <v>1400</v>
      </c>
      <c r="M776" s="16" t="s">
        <v>76</v>
      </c>
      <c r="N776" s="24">
        <v>3.8</v>
      </c>
      <c r="O776" s="30" t="str">
        <f>HYPERLINK("https://www.utoledo.edu/admission/freshman/scholarships/presidential.html","https://www.utoledo.edu/admission/freshman/scholarships/presidential.html")</f>
        <v>https://www.utoledo.edu/admission/freshman/scholarships/presidential.html</v>
      </c>
      <c r="P776" s="14" t="s">
        <v>2448</v>
      </c>
      <c r="Q776" s="25">
        <v>0.93</v>
      </c>
      <c r="R776" s="14" t="s">
        <v>126</v>
      </c>
      <c r="S776" s="14" t="s">
        <v>2449</v>
      </c>
      <c r="T776" s="12"/>
      <c r="U776" s="12">
        <v>3.32</v>
      </c>
      <c r="V776" s="12"/>
      <c r="W776" s="12"/>
      <c r="X776" s="12"/>
      <c r="Y776" s="12"/>
      <c r="Z776" s="12"/>
      <c r="AA776" s="12"/>
    </row>
    <row r="777" spans="1:27" ht="157" x14ac:dyDescent="0.2">
      <c r="A777" s="23" t="s">
        <v>2329</v>
      </c>
      <c r="B777" s="14" t="s">
        <v>2450</v>
      </c>
      <c r="C777" s="14" t="s">
        <v>101</v>
      </c>
      <c r="D777" s="17" t="s">
        <v>2451</v>
      </c>
      <c r="E777" s="14" t="s">
        <v>60</v>
      </c>
      <c r="F777" s="14" t="s">
        <v>72</v>
      </c>
      <c r="G777" s="12"/>
      <c r="H777" s="17" t="s">
        <v>2452</v>
      </c>
      <c r="I777" s="17">
        <v>6</v>
      </c>
      <c r="J777" s="56" t="s">
        <v>2453</v>
      </c>
      <c r="K777" s="24">
        <v>27</v>
      </c>
      <c r="L777" s="24">
        <v>1200</v>
      </c>
      <c r="M777" s="14" t="s">
        <v>197</v>
      </c>
      <c r="N777" s="24">
        <v>3.75</v>
      </c>
      <c r="O777" s="30" t="str">
        <f t="shared" ref="O777:O778" si="116">HYPERLINK("https://www.walsh.edu/scholarships","https://www.walsh.edu/scholarships")</f>
        <v>https://www.walsh.edu/scholarships</v>
      </c>
      <c r="P777" s="33">
        <v>28720</v>
      </c>
      <c r="Q777" s="25">
        <v>0.8</v>
      </c>
      <c r="R777" s="14" t="s">
        <v>2454</v>
      </c>
      <c r="S777" s="14" t="s">
        <v>2455</v>
      </c>
      <c r="T777" s="12"/>
      <c r="U777" s="12">
        <v>3.46</v>
      </c>
      <c r="V777" s="12"/>
      <c r="W777" s="12"/>
      <c r="X777" s="12"/>
      <c r="Y777" s="12"/>
      <c r="Z777" s="12"/>
      <c r="AA777" s="12"/>
    </row>
    <row r="778" spans="1:27" ht="208" x14ac:dyDescent="0.2">
      <c r="A778" s="23" t="s">
        <v>2329</v>
      </c>
      <c r="B778" s="14" t="s">
        <v>2450</v>
      </c>
      <c r="C778" s="14" t="s">
        <v>101</v>
      </c>
      <c r="D778" s="12"/>
      <c r="E778" s="14" t="s">
        <v>60</v>
      </c>
      <c r="F778" s="14" t="s">
        <v>72</v>
      </c>
      <c r="G778" s="12"/>
      <c r="H778" s="17" t="s">
        <v>2452</v>
      </c>
      <c r="I778" s="17" t="s">
        <v>74</v>
      </c>
      <c r="J778" s="14" t="s">
        <v>2456</v>
      </c>
      <c r="K778" s="24">
        <v>27</v>
      </c>
      <c r="L778" s="24">
        <v>1200</v>
      </c>
      <c r="M778" s="14" t="s">
        <v>197</v>
      </c>
      <c r="N778" s="24">
        <v>3.75</v>
      </c>
      <c r="O778" s="30" t="str">
        <f t="shared" si="116"/>
        <v>https://www.walsh.edu/scholarships</v>
      </c>
      <c r="P778" s="33">
        <v>28720</v>
      </c>
      <c r="Q778" s="25">
        <v>0.8</v>
      </c>
      <c r="R778" s="14" t="s">
        <v>2454</v>
      </c>
      <c r="S778" s="14" t="s">
        <v>2455</v>
      </c>
      <c r="T778" s="12"/>
      <c r="U778" s="12">
        <v>3.46</v>
      </c>
      <c r="V778" s="12"/>
      <c r="W778" s="12"/>
      <c r="X778" s="12"/>
      <c r="Y778" s="12"/>
      <c r="Z778" s="12"/>
      <c r="AA778" s="12"/>
    </row>
    <row r="779" spans="1:27" ht="121" x14ac:dyDescent="0.2">
      <c r="A779" s="23" t="s">
        <v>2329</v>
      </c>
      <c r="B779" s="14" t="s">
        <v>2457</v>
      </c>
      <c r="C779" s="14" t="s">
        <v>101</v>
      </c>
      <c r="D779" s="12"/>
      <c r="E779" s="14" t="s">
        <v>177</v>
      </c>
      <c r="F779" s="14" t="s">
        <v>72</v>
      </c>
      <c r="G779" s="12"/>
      <c r="H779" s="17" t="s">
        <v>837</v>
      </c>
      <c r="I779" s="17">
        <v>10</v>
      </c>
      <c r="J779" s="122" t="s">
        <v>2458</v>
      </c>
      <c r="K779" s="12">
        <v>25</v>
      </c>
      <c r="L779" s="12">
        <v>1200</v>
      </c>
      <c r="M779" s="17" t="s">
        <v>76</v>
      </c>
      <c r="N779" s="12">
        <v>3.5</v>
      </c>
      <c r="O779" s="30" t="str">
        <f>HYPERLINK("http://www.wilmington.edu/admission/financial-aid/scholarships-awards/","http://www.wilmington.edu/admission/financial-aid/scholarships-awards/")</f>
        <v>http://www.wilmington.edu/admission/financial-aid/scholarships-awards/</v>
      </c>
      <c r="P779" s="33">
        <v>25000</v>
      </c>
      <c r="Q779" s="25">
        <v>0.95399999999999996</v>
      </c>
      <c r="R779" s="14" t="s">
        <v>550</v>
      </c>
      <c r="S779" s="12" t="s">
        <v>2459</v>
      </c>
      <c r="T779" s="12"/>
      <c r="U779" s="12">
        <v>3.2</v>
      </c>
      <c r="V779" s="12"/>
      <c r="W779" s="12"/>
      <c r="X779" s="12"/>
      <c r="Y779" s="12"/>
      <c r="Z779" s="12"/>
      <c r="AA779" s="12"/>
    </row>
    <row r="780" spans="1:27" ht="176" x14ac:dyDescent="0.2">
      <c r="A780" s="23" t="s">
        <v>2329</v>
      </c>
      <c r="B780" s="14" t="s">
        <v>2460</v>
      </c>
      <c r="C780" s="14" t="s">
        <v>101</v>
      </c>
      <c r="D780" s="12"/>
      <c r="E780" s="14" t="s">
        <v>238</v>
      </c>
      <c r="F780" s="14" t="s">
        <v>72</v>
      </c>
      <c r="G780" s="12"/>
      <c r="H780" s="17" t="s">
        <v>2461</v>
      </c>
      <c r="I780" s="17" t="s">
        <v>74</v>
      </c>
      <c r="J780" s="14" t="s">
        <v>2462</v>
      </c>
      <c r="K780" s="12"/>
      <c r="L780" s="12"/>
      <c r="M780" s="12"/>
      <c r="N780" s="12"/>
      <c r="O780" s="30" t="str">
        <f>HYPERLINK("http://www5.wittenberg.edu/admission/financials/witt_scholarships.html","http://www5.wittenberg.edu/admission/financials/witt_scholarships.html")</f>
        <v>http://www5.wittenberg.edu/admission/financials/witt_scholarships.html</v>
      </c>
      <c r="P780" s="33">
        <v>38090</v>
      </c>
      <c r="Q780" s="25">
        <v>0.77</v>
      </c>
      <c r="R780" s="34" t="s">
        <v>224</v>
      </c>
      <c r="S780" s="34" t="s">
        <v>2463</v>
      </c>
      <c r="T780" s="12"/>
      <c r="U780" s="12">
        <v>3.42</v>
      </c>
      <c r="V780" s="12"/>
      <c r="W780" s="12"/>
      <c r="X780" s="12"/>
      <c r="Y780" s="12"/>
      <c r="Z780" s="12"/>
      <c r="AA780" s="12"/>
    </row>
    <row r="781" spans="1:27" ht="150" x14ac:dyDescent="0.2">
      <c r="A781" s="39" t="s">
        <v>2329</v>
      </c>
      <c r="B781" s="40" t="s">
        <v>2464</v>
      </c>
      <c r="C781" s="40" t="s">
        <v>59</v>
      </c>
      <c r="D781" s="69" t="s">
        <v>416</v>
      </c>
      <c r="E781" s="40" t="s">
        <v>302</v>
      </c>
      <c r="F781" s="40" t="s">
        <v>92</v>
      </c>
      <c r="G781" s="40"/>
      <c r="H781" s="69" t="s">
        <v>2465</v>
      </c>
      <c r="I781" s="69" t="s">
        <v>63</v>
      </c>
      <c r="J781" s="69" t="s">
        <v>2466</v>
      </c>
      <c r="K781" s="40"/>
      <c r="L781" s="40"/>
      <c r="M781" s="40"/>
      <c r="N781" s="40"/>
      <c r="O781" s="30" t="str">
        <f t="shared" ref="O781:O784" si="117">HYPERLINK("http://www.wright.edu/raider-connect/loans-scholarships-and-grants/first-year-scholarships","http://www.wright.edu/raider-connect/loans-scholarships-and-grants/first-year-scholarships")</f>
        <v>http://www.wright.edu/raider-connect/loans-scholarships-and-grants/first-year-scholarships</v>
      </c>
      <c r="P781" s="40" t="s">
        <v>2467</v>
      </c>
      <c r="Q781" s="42">
        <v>0.96</v>
      </c>
      <c r="R781" s="40" t="s">
        <v>130</v>
      </c>
      <c r="S781" s="40" t="s">
        <v>2468</v>
      </c>
      <c r="T781" s="40"/>
      <c r="U781" s="40">
        <v>3.26</v>
      </c>
      <c r="V781" s="40"/>
      <c r="W781" s="40"/>
      <c r="X781" s="40"/>
      <c r="Y781" s="40"/>
      <c r="Z781" s="40"/>
      <c r="AA781" s="40"/>
    </row>
    <row r="782" spans="1:27" ht="112" x14ac:dyDescent="0.2">
      <c r="A782" s="23" t="s">
        <v>2329</v>
      </c>
      <c r="B782" s="14" t="s">
        <v>2464</v>
      </c>
      <c r="C782" s="14" t="s">
        <v>59</v>
      </c>
      <c r="D782" s="16" t="s">
        <v>416</v>
      </c>
      <c r="E782" s="14" t="s">
        <v>1928</v>
      </c>
      <c r="F782" s="14" t="s">
        <v>313</v>
      </c>
      <c r="G782" s="12"/>
      <c r="H782" s="17" t="s">
        <v>1978</v>
      </c>
      <c r="I782" s="17" t="s">
        <v>63</v>
      </c>
      <c r="J782" s="16" t="s">
        <v>2469</v>
      </c>
      <c r="K782" s="12"/>
      <c r="L782" s="12"/>
      <c r="M782" s="12"/>
      <c r="N782" s="12"/>
      <c r="O782" s="30" t="str">
        <f t="shared" si="117"/>
        <v>http://www.wright.edu/raider-connect/loans-scholarships-and-grants/first-year-scholarships</v>
      </c>
      <c r="P782" s="14" t="s">
        <v>2467</v>
      </c>
      <c r="Q782" s="25">
        <v>0.96</v>
      </c>
      <c r="R782" s="14" t="s">
        <v>130</v>
      </c>
      <c r="S782" s="14" t="s">
        <v>2468</v>
      </c>
      <c r="T782" s="12"/>
      <c r="U782" s="12">
        <v>3.26</v>
      </c>
      <c r="V782" s="12"/>
      <c r="W782" s="12"/>
      <c r="X782" s="12"/>
      <c r="Y782" s="12"/>
      <c r="Z782" s="12"/>
      <c r="AA782" s="12"/>
    </row>
    <row r="783" spans="1:27" ht="160" x14ac:dyDescent="0.2">
      <c r="A783" s="23" t="s">
        <v>2329</v>
      </c>
      <c r="B783" s="14" t="s">
        <v>2464</v>
      </c>
      <c r="C783" s="14" t="s">
        <v>59</v>
      </c>
      <c r="D783" s="14"/>
      <c r="E783" s="14" t="s">
        <v>2470</v>
      </c>
      <c r="F783" s="14" t="s">
        <v>72</v>
      </c>
      <c r="G783" s="12"/>
      <c r="H783" s="17" t="s">
        <v>326</v>
      </c>
      <c r="I783" s="17" t="s">
        <v>74</v>
      </c>
      <c r="J783" s="16" t="s">
        <v>2471</v>
      </c>
      <c r="K783" s="12">
        <v>28</v>
      </c>
      <c r="L783" s="17">
        <v>1290</v>
      </c>
      <c r="M783" s="17" t="s">
        <v>76</v>
      </c>
      <c r="N783" s="24">
        <v>3.5</v>
      </c>
      <c r="O783" s="30" t="str">
        <f t="shared" si="117"/>
        <v>http://www.wright.edu/raider-connect/loans-scholarships-and-grants/first-year-scholarships</v>
      </c>
      <c r="P783" s="14" t="s">
        <v>2467</v>
      </c>
      <c r="Q783" s="25">
        <v>0.96</v>
      </c>
      <c r="R783" s="14" t="s">
        <v>130</v>
      </c>
      <c r="S783" s="14" t="s">
        <v>2468</v>
      </c>
      <c r="T783" s="12"/>
      <c r="U783" s="12">
        <v>3.26</v>
      </c>
      <c r="V783" s="12"/>
      <c r="W783" s="12"/>
      <c r="X783" s="12"/>
      <c r="Y783" s="12"/>
      <c r="Z783" s="12"/>
      <c r="AA783" s="12"/>
    </row>
    <row r="784" spans="1:27" ht="189.75" customHeight="1" x14ac:dyDescent="0.2">
      <c r="A784" s="23" t="s">
        <v>2329</v>
      </c>
      <c r="B784" s="14" t="s">
        <v>2464</v>
      </c>
      <c r="C784" s="14" t="s">
        <v>59</v>
      </c>
      <c r="D784" s="14"/>
      <c r="E784" s="14" t="s">
        <v>724</v>
      </c>
      <c r="F784" s="14" t="s">
        <v>72</v>
      </c>
      <c r="G784" s="12"/>
      <c r="H784" s="17" t="s">
        <v>326</v>
      </c>
      <c r="I784" s="17" t="s">
        <v>74</v>
      </c>
      <c r="J784" s="16" t="s">
        <v>2472</v>
      </c>
      <c r="K784" s="12">
        <v>30</v>
      </c>
      <c r="L784" s="17">
        <v>1360</v>
      </c>
      <c r="M784" s="17" t="s">
        <v>76</v>
      </c>
      <c r="N784" s="24">
        <v>3.75</v>
      </c>
      <c r="O784" s="30" t="str">
        <f t="shared" si="117"/>
        <v>http://www.wright.edu/raider-connect/loans-scholarships-and-grants/first-year-scholarships</v>
      </c>
      <c r="P784" s="14" t="s">
        <v>2467</v>
      </c>
      <c r="Q784" s="25">
        <v>0.96</v>
      </c>
      <c r="R784" s="14" t="s">
        <v>130</v>
      </c>
      <c r="S784" s="14" t="s">
        <v>2468</v>
      </c>
      <c r="T784" s="12"/>
      <c r="U784" s="12">
        <v>3.26</v>
      </c>
      <c r="V784" s="12"/>
      <c r="W784" s="12"/>
      <c r="X784" s="12"/>
      <c r="Y784" s="12"/>
      <c r="Z784" s="12"/>
      <c r="AA784" s="12"/>
    </row>
    <row r="785" spans="1:27" ht="158.25" customHeight="1" x14ac:dyDescent="0.2">
      <c r="A785" s="109" t="s">
        <v>2329</v>
      </c>
      <c r="B785" s="110" t="s">
        <v>2464</v>
      </c>
      <c r="C785" s="110" t="s">
        <v>59</v>
      </c>
      <c r="D785" s="110"/>
      <c r="E785" s="110" t="s">
        <v>2470</v>
      </c>
      <c r="F785" s="110" t="s">
        <v>72</v>
      </c>
      <c r="G785" s="112"/>
      <c r="H785" s="117" t="s">
        <v>2473</v>
      </c>
      <c r="I785" s="117" t="s">
        <v>74</v>
      </c>
      <c r="J785" s="128" t="s">
        <v>2474</v>
      </c>
      <c r="K785" s="112"/>
      <c r="L785" s="112"/>
      <c r="M785" s="112"/>
      <c r="N785" s="112"/>
      <c r="O785" s="121" t="s">
        <v>2475</v>
      </c>
      <c r="P785" s="110" t="s">
        <v>2467</v>
      </c>
      <c r="Q785" s="114">
        <v>0.96</v>
      </c>
      <c r="R785" s="110" t="s">
        <v>130</v>
      </c>
      <c r="S785" s="110" t="s">
        <v>2468</v>
      </c>
      <c r="T785" s="112"/>
      <c r="U785" s="112">
        <v>3.26</v>
      </c>
      <c r="V785" s="112"/>
      <c r="W785" s="112"/>
      <c r="X785" s="112"/>
      <c r="Y785" s="112"/>
      <c r="Z785" s="112"/>
      <c r="AA785" s="112"/>
    </row>
    <row r="786" spans="1:27" ht="142.5" customHeight="1" x14ac:dyDescent="0.2">
      <c r="A786" s="23" t="s">
        <v>2329</v>
      </c>
      <c r="B786" s="14" t="s">
        <v>2464</v>
      </c>
      <c r="C786" s="14" t="s">
        <v>59</v>
      </c>
      <c r="D786" s="14"/>
      <c r="E786" s="14" t="s">
        <v>2476</v>
      </c>
      <c r="F786" s="14" t="s">
        <v>72</v>
      </c>
      <c r="G786" s="12"/>
      <c r="H786" s="17" t="s">
        <v>2477</v>
      </c>
      <c r="I786" s="17" t="s">
        <v>74</v>
      </c>
      <c r="J786" s="14" t="s">
        <v>2478</v>
      </c>
      <c r="K786" s="12"/>
      <c r="L786" s="12"/>
      <c r="M786" s="12"/>
      <c r="N786" s="12"/>
      <c r="O786" s="19" t="s">
        <v>2475</v>
      </c>
      <c r="P786" s="14" t="s">
        <v>2467</v>
      </c>
      <c r="Q786" s="25">
        <v>0.96</v>
      </c>
      <c r="R786" s="14" t="s">
        <v>130</v>
      </c>
      <c r="S786" s="14" t="s">
        <v>2468</v>
      </c>
      <c r="T786" s="12"/>
      <c r="U786" s="12">
        <v>3.26</v>
      </c>
      <c r="V786" s="12"/>
      <c r="W786" s="12"/>
      <c r="X786" s="12"/>
      <c r="Y786" s="12"/>
      <c r="Z786" s="12"/>
      <c r="AA786" s="12"/>
    </row>
    <row r="787" spans="1:27" ht="142.5" customHeight="1" x14ac:dyDescent="0.2">
      <c r="A787" s="23" t="s">
        <v>2329</v>
      </c>
      <c r="B787" s="14" t="s">
        <v>2464</v>
      </c>
      <c r="C787" s="14" t="s">
        <v>59</v>
      </c>
      <c r="D787" s="14"/>
      <c r="E787" s="16" t="s">
        <v>2470</v>
      </c>
      <c r="F787" s="14" t="s">
        <v>72</v>
      </c>
      <c r="G787" s="12"/>
      <c r="H787" s="17" t="s">
        <v>62</v>
      </c>
      <c r="I787" s="17" t="s">
        <v>74</v>
      </c>
      <c r="J787" s="16" t="s">
        <v>2479</v>
      </c>
      <c r="K787" s="12"/>
      <c r="L787" s="12"/>
      <c r="M787" s="12"/>
      <c r="N787" s="12"/>
      <c r="O787" s="19" t="s">
        <v>2475</v>
      </c>
      <c r="P787" s="14" t="s">
        <v>2467</v>
      </c>
      <c r="Q787" s="25">
        <v>0.96</v>
      </c>
      <c r="R787" s="14" t="s">
        <v>130</v>
      </c>
      <c r="S787" s="14" t="s">
        <v>2468</v>
      </c>
      <c r="T787" s="12"/>
      <c r="U787" s="12">
        <v>3.26</v>
      </c>
      <c r="V787" s="12"/>
      <c r="W787" s="12"/>
      <c r="X787" s="12"/>
      <c r="Y787" s="12"/>
      <c r="Z787" s="12"/>
      <c r="AA787" s="12"/>
    </row>
    <row r="788" spans="1:27" ht="174" customHeight="1" x14ac:dyDescent="0.2">
      <c r="A788" s="23" t="s">
        <v>2329</v>
      </c>
      <c r="B788" s="14" t="s">
        <v>2464</v>
      </c>
      <c r="C788" s="14" t="s">
        <v>59</v>
      </c>
      <c r="D788" s="14"/>
      <c r="E788" s="14" t="s">
        <v>2480</v>
      </c>
      <c r="F788" s="14" t="s">
        <v>72</v>
      </c>
      <c r="G788" s="12"/>
      <c r="H788" s="17" t="s">
        <v>2481</v>
      </c>
      <c r="I788" s="17" t="s">
        <v>74</v>
      </c>
      <c r="J788" s="14" t="s">
        <v>2482</v>
      </c>
      <c r="K788" s="12"/>
      <c r="L788" s="12"/>
      <c r="M788" s="12"/>
      <c r="N788" s="12"/>
      <c r="O788" s="19" t="s">
        <v>2483</v>
      </c>
      <c r="P788" s="14" t="s">
        <v>2467</v>
      </c>
      <c r="Q788" s="25">
        <v>0.96</v>
      </c>
      <c r="R788" s="14" t="s">
        <v>130</v>
      </c>
      <c r="S788" s="14" t="s">
        <v>2468</v>
      </c>
      <c r="T788" s="12"/>
      <c r="U788" s="12">
        <v>3.26</v>
      </c>
      <c r="V788" s="12"/>
      <c r="W788" s="12"/>
      <c r="X788" s="12"/>
      <c r="Y788" s="12"/>
      <c r="Z788" s="12"/>
      <c r="AA788" s="12"/>
    </row>
    <row r="789" spans="1:27" ht="126.75" customHeight="1" x14ac:dyDescent="0.2">
      <c r="A789" s="23" t="s">
        <v>2329</v>
      </c>
      <c r="B789" s="14" t="s">
        <v>2464</v>
      </c>
      <c r="C789" s="14" t="s">
        <v>59</v>
      </c>
      <c r="D789" s="14"/>
      <c r="E789" s="14" t="s">
        <v>2470</v>
      </c>
      <c r="F789" s="14" t="s">
        <v>461</v>
      </c>
      <c r="G789" s="12"/>
      <c r="H789" s="17" t="s">
        <v>2484</v>
      </c>
      <c r="I789" s="17" t="s">
        <v>74</v>
      </c>
      <c r="J789" s="14" t="s">
        <v>2485</v>
      </c>
      <c r="K789" s="12"/>
      <c r="L789" s="12"/>
      <c r="M789" s="12"/>
      <c r="N789" s="12"/>
      <c r="O789" s="19" t="s">
        <v>2483</v>
      </c>
      <c r="P789" s="14" t="s">
        <v>2467</v>
      </c>
      <c r="Q789" s="25">
        <v>0.96</v>
      </c>
      <c r="R789" s="14" t="s">
        <v>130</v>
      </c>
      <c r="S789" s="14" t="s">
        <v>2468</v>
      </c>
      <c r="T789" s="12"/>
      <c r="U789" s="12">
        <v>3.26</v>
      </c>
      <c r="V789" s="12"/>
      <c r="W789" s="12"/>
      <c r="X789" s="12"/>
      <c r="Y789" s="12"/>
      <c r="Z789" s="12"/>
      <c r="AA789" s="12"/>
    </row>
    <row r="790" spans="1:27" ht="111" customHeight="1" x14ac:dyDescent="0.2">
      <c r="A790" s="23" t="s">
        <v>2329</v>
      </c>
      <c r="B790" s="14" t="s">
        <v>2464</v>
      </c>
      <c r="C790" s="14" t="s">
        <v>59</v>
      </c>
      <c r="D790" s="14"/>
      <c r="E790" s="14" t="s">
        <v>2470</v>
      </c>
      <c r="F790" s="14" t="s">
        <v>461</v>
      </c>
      <c r="G790" s="12"/>
      <c r="H790" s="17" t="s">
        <v>2486</v>
      </c>
      <c r="I790" s="17" t="s">
        <v>74</v>
      </c>
      <c r="J790" s="14" t="s">
        <v>2487</v>
      </c>
      <c r="K790" s="12"/>
      <c r="L790" s="12"/>
      <c r="M790" s="12"/>
      <c r="N790" s="12"/>
      <c r="O790" s="19" t="s">
        <v>2483</v>
      </c>
      <c r="P790" s="14" t="s">
        <v>2467</v>
      </c>
      <c r="Q790" s="25">
        <v>0.96</v>
      </c>
      <c r="R790" s="14" t="s">
        <v>130</v>
      </c>
      <c r="S790" s="14" t="s">
        <v>2468</v>
      </c>
      <c r="T790" s="12"/>
      <c r="U790" s="12">
        <v>3.26</v>
      </c>
      <c r="V790" s="12"/>
      <c r="W790" s="12"/>
      <c r="X790" s="12"/>
      <c r="Y790" s="12"/>
      <c r="Z790" s="12"/>
      <c r="AA790" s="12"/>
    </row>
    <row r="791" spans="1:27" ht="142.5" customHeight="1" x14ac:dyDescent="0.2">
      <c r="A791" s="23" t="s">
        <v>2329</v>
      </c>
      <c r="B791" s="14" t="s">
        <v>2464</v>
      </c>
      <c r="C791" s="14" t="s">
        <v>59</v>
      </c>
      <c r="D791" s="14"/>
      <c r="E791" s="14" t="s">
        <v>2470</v>
      </c>
      <c r="F791" s="14" t="s">
        <v>461</v>
      </c>
      <c r="G791" s="12"/>
      <c r="H791" s="17" t="s">
        <v>2488</v>
      </c>
      <c r="I791" s="17" t="s">
        <v>74</v>
      </c>
      <c r="J791" s="14" t="s">
        <v>2489</v>
      </c>
      <c r="K791" s="12"/>
      <c r="L791" s="12"/>
      <c r="M791" s="12"/>
      <c r="N791" s="12"/>
      <c r="O791" s="19" t="s">
        <v>2483</v>
      </c>
      <c r="P791" s="14" t="s">
        <v>2467</v>
      </c>
      <c r="Q791" s="25">
        <v>0.96</v>
      </c>
      <c r="R791" s="14" t="s">
        <v>130</v>
      </c>
      <c r="S791" s="14" t="s">
        <v>2468</v>
      </c>
      <c r="T791" s="12"/>
      <c r="U791" s="12">
        <v>3.26</v>
      </c>
      <c r="V791" s="12"/>
      <c r="W791" s="12"/>
      <c r="X791" s="12"/>
      <c r="Y791" s="12"/>
      <c r="Z791" s="12"/>
      <c r="AA791" s="12"/>
    </row>
    <row r="792" spans="1:27" ht="174" customHeight="1" x14ac:dyDescent="0.2">
      <c r="A792" s="109" t="s">
        <v>2329</v>
      </c>
      <c r="B792" s="110" t="s">
        <v>2464</v>
      </c>
      <c r="C792" s="110" t="s">
        <v>59</v>
      </c>
      <c r="D792" s="110"/>
      <c r="E792" s="110" t="s">
        <v>2470</v>
      </c>
      <c r="F792" s="110" t="s">
        <v>461</v>
      </c>
      <c r="G792" s="112"/>
      <c r="H792" s="117" t="s">
        <v>2490</v>
      </c>
      <c r="I792" s="117" t="s">
        <v>74</v>
      </c>
      <c r="J792" s="110" t="s">
        <v>2491</v>
      </c>
      <c r="K792" s="112"/>
      <c r="L792" s="112"/>
      <c r="M792" s="112"/>
      <c r="N792" s="112"/>
      <c r="O792" s="121" t="s">
        <v>2483</v>
      </c>
      <c r="P792" s="110" t="s">
        <v>2467</v>
      </c>
      <c r="Q792" s="114">
        <v>0.96</v>
      </c>
      <c r="R792" s="110" t="s">
        <v>130</v>
      </c>
      <c r="S792" s="110" t="s">
        <v>2468</v>
      </c>
      <c r="T792" s="112"/>
      <c r="U792" s="112">
        <v>3.26</v>
      </c>
      <c r="V792" s="112"/>
      <c r="W792" s="112"/>
      <c r="X792" s="112"/>
      <c r="Y792" s="112"/>
      <c r="Z792" s="112"/>
      <c r="AA792" s="112"/>
    </row>
    <row r="793" spans="1:27" ht="158.25" customHeight="1" x14ac:dyDescent="0.2">
      <c r="A793" s="23" t="s">
        <v>2329</v>
      </c>
      <c r="B793" s="14" t="s">
        <v>2464</v>
      </c>
      <c r="C793" s="14" t="s">
        <v>59</v>
      </c>
      <c r="D793" s="14"/>
      <c r="E793" s="16" t="s">
        <v>2470</v>
      </c>
      <c r="F793" s="16" t="s">
        <v>461</v>
      </c>
      <c r="G793" s="12"/>
      <c r="H793" s="17" t="s">
        <v>2490</v>
      </c>
      <c r="I793" s="17" t="s">
        <v>74</v>
      </c>
      <c r="J793" s="16" t="s">
        <v>2492</v>
      </c>
      <c r="K793" s="12"/>
      <c r="L793" s="12"/>
      <c r="M793" s="12"/>
      <c r="N793" s="12"/>
      <c r="O793" s="19" t="s">
        <v>2483</v>
      </c>
      <c r="P793" s="14" t="s">
        <v>2467</v>
      </c>
      <c r="Q793" s="25">
        <v>0.96</v>
      </c>
      <c r="R793" s="14" t="s">
        <v>130</v>
      </c>
      <c r="S793" s="14" t="s">
        <v>2468</v>
      </c>
      <c r="T793" s="12"/>
      <c r="U793" s="12">
        <v>3.26</v>
      </c>
      <c r="V793" s="12"/>
      <c r="W793" s="12"/>
      <c r="X793" s="12"/>
      <c r="Y793" s="12"/>
      <c r="Z793" s="12"/>
      <c r="AA793" s="12"/>
    </row>
    <row r="794" spans="1:27" ht="158.25" customHeight="1" x14ac:dyDescent="0.2">
      <c r="A794" s="23" t="s">
        <v>2329</v>
      </c>
      <c r="B794" s="14" t="s">
        <v>2464</v>
      </c>
      <c r="C794" s="14" t="s">
        <v>59</v>
      </c>
      <c r="D794" s="14"/>
      <c r="E794" s="14" t="s">
        <v>2470</v>
      </c>
      <c r="F794" s="14" t="s">
        <v>461</v>
      </c>
      <c r="G794" s="12"/>
      <c r="H794" s="17" t="s">
        <v>2490</v>
      </c>
      <c r="I794" s="17" t="s">
        <v>74</v>
      </c>
      <c r="J794" s="14" t="s">
        <v>2493</v>
      </c>
      <c r="K794" s="12"/>
      <c r="L794" s="12"/>
      <c r="M794" s="12"/>
      <c r="N794" s="12"/>
      <c r="O794" s="30" t="str">
        <f t="shared" ref="O794:O795" si="118">HYPERLINK("http://www.wright.edu/raider-connect/loans-scholarships-and-grants/first-year-scholarships","http://www.wright.edu/raider-connect/loans-scholarships-and-grants/first-year-scholarships")</f>
        <v>http://www.wright.edu/raider-connect/loans-scholarships-and-grants/first-year-scholarships</v>
      </c>
      <c r="P794" s="14" t="s">
        <v>2467</v>
      </c>
      <c r="Q794" s="25">
        <v>0.96</v>
      </c>
      <c r="R794" s="14" t="s">
        <v>130</v>
      </c>
      <c r="S794" s="14" t="s">
        <v>2468</v>
      </c>
      <c r="T794" s="12"/>
      <c r="U794" s="12">
        <v>3.26</v>
      </c>
      <c r="V794" s="12"/>
      <c r="W794" s="12"/>
      <c r="X794" s="12"/>
      <c r="Y794" s="12"/>
      <c r="Z794" s="12"/>
      <c r="AA794" s="12"/>
    </row>
    <row r="795" spans="1:27" ht="111" customHeight="1" x14ac:dyDescent="0.2">
      <c r="A795" s="23" t="s">
        <v>2329</v>
      </c>
      <c r="B795" s="14" t="s">
        <v>2464</v>
      </c>
      <c r="C795" s="14" t="s">
        <v>59</v>
      </c>
      <c r="D795" s="14"/>
      <c r="E795" s="14" t="s">
        <v>2470</v>
      </c>
      <c r="F795" s="14" t="s">
        <v>72</v>
      </c>
      <c r="G795" s="12"/>
      <c r="H795" s="17" t="s">
        <v>2494</v>
      </c>
      <c r="I795" s="17" t="s">
        <v>74</v>
      </c>
      <c r="J795" s="14" t="s">
        <v>2495</v>
      </c>
      <c r="K795" s="12"/>
      <c r="L795" s="12"/>
      <c r="M795" s="12"/>
      <c r="N795" s="12"/>
      <c r="O795" s="30" t="str">
        <f t="shared" si="118"/>
        <v>http://www.wright.edu/raider-connect/loans-scholarships-and-grants/first-year-scholarships</v>
      </c>
      <c r="P795" s="14" t="s">
        <v>2467</v>
      </c>
      <c r="Q795" s="25">
        <v>0.96</v>
      </c>
      <c r="R795" s="14" t="s">
        <v>130</v>
      </c>
      <c r="S795" s="14" t="s">
        <v>2468</v>
      </c>
      <c r="T795" s="12"/>
      <c r="U795" s="12">
        <v>3.26</v>
      </c>
      <c r="V795" s="12"/>
      <c r="W795" s="12"/>
      <c r="X795" s="12"/>
      <c r="Y795" s="12"/>
      <c r="Z795" s="12"/>
      <c r="AA795" s="12"/>
    </row>
    <row r="796" spans="1:27" ht="237" customHeight="1" x14ac:dyDescent="0.2">
      <c r="A796" s="23" t="s">
        <v>2329</v>
      </c>
      <c r="B796" s="14" t="s">
        <v>2496</v>
      </c>
      <c r="C796" s="14" t="s">
        <v>101</v>
      </c>
      <c r="D796" s="12"/>
      <c r="E796" s="14" t="s">
        <v>243</v>
      </c>
      <c r="F796" s="14" t="s">
        <v>461</v>
      </c>
      <c r="G796" s="14" t="s">
        <v>186</v>
      </c>
      <c r="H796" s="16" t="s">
        <v>2497</v>
      </c>
      <c r="I796" s="16" t="s">
        <v>74</v>
      </c>
      <c r="J796" s="14" t="s">
        <v>2498</v>
      </c>
      <c r="K796" s="12"/>
      <c r="L796" s="12"/>
      <c r="M796" s="12"/>
      <c r="N796" s="12"/>
      <c r="O796" s="30" t="str">
        <f>HYPERLINK("http://www.xavier.edu/undergraduate-admission/Performing-and-Visual-Arts-Scholarship.cfm","http://www.xavier.edu/undergraduate-admission/Performing-and-Visual-Arts-Scholarship.cfm ")</f>
        <v xml:space="preserve">http://www.xavier.edu/undergraduate-admission/Performing-and-Visual-Arts-Scholarship.cfm </v>
      </c>
      <c r="P796" s="33">
        <v>36150</v>
      </c>
      <c r="Q796" s="25">
        <v>0.73</v>
      </c>
      <c r="R796" s="14" t="s">
        <v>142</v>
      </c>
      <c r="S796" s="14" t="s">
        <v>2499</v>
      </c>
      <c r="T796" s="12"/>
      <c r="U796" s="12" t="s">
        <v>2500</v>
      </c>
      <c r="V796" s="12"/>
      <c r="W796" s="12"/>
      <c r="X796" s="12"/>
      <c r="Y796" s="12"/>
      <c r="Z796" s="12"/>
      <c r="AA796" s="12"/>
    </row>
    <row r="797" spans="1:27" ht="189.75" customHeight="1" x14ac:dyDescent="0.2">
      <c r="A797" s="23" t="s">
        <v>2329</v>
      </c>
      <c r="B797" s="14" t="s">
        <v>2496</v>
      </c>
      <c r="C797" s="14" t="s">
        <v>101</v>
      </c>
      <c r="D797" s="12"/>
      <c r="E797" s="14" t="s">
        <v>88</v>
      </c>
      <c r="F797" s="14" t="s">
        <v>145</v>
      </c>
      <c r="G797" s="12"/>
      <c r="H797" s="17" t="s">
        <v>157</v>
      </c>
      <c r="I797" s="17" t="s">
        <v>74</v>
      </c>
      <c r="J797" s="14" t="s">
        <v>2501</v>
      </c>
      <c r="K797" s="12"/>
      <c r="L797" s="12"/>
      <c r="M797" s="12"/>
      <c r="N797" s="12"/>
      <c r="O797" s="30" t="str">
        <f>HYPERLINK("http://www.xavier.edu/undergraduate-admission/ROTC-Scholarships.cfm","http://www.xavier.edu/undergraduate-admission/ROTC-Scholarships.cfm ")</f>
        <v xml:space="preserve">http://www.xavier.edu/undergraduate-admission/ROTC-Scholarships.cfm </v>
      </c>
      <c r="P797" s="33">
        <v>36150</v>
      </c>
      <c r="Q797" s="25">
        <v>0.73</v>
      </c>
      <c r="R797" s="14" t="s">
        <v>142</v>
      </c>
      <c r="S797" s="14" t="s">
        <v>2499</v>
      </c>
      <c r="T797" s="12"/>
      <c r="U797" s="12" t="s">
        <v>2500</v>
      </c>
      <c r="V797" s="12"/>
      <c r="W797" s="12"/>
      <c r="X797" s="12"/>
      <c r="Y797" s="12"/>
      <c r="Z797" s="12"/>
      <c r="AA797" s="12"/>
    </row>
    <row r="798" spans="1:27" ht="111" customHeight="1" x14ac:dyDescent="0.2">
      <c r="A798" s="23" t="s">
        <v>2502</v>
      </c>
      <c r="B798" s="14" t="s">
        <v>2503</v>
      </c>
      <c r="C798" s="14" t="s">
        <v>101</v>
      </c>
      <c r="D798" s="17" t="s">
        <v>2504</v>
      </c>
      <c r="E798" s="14" t="s">
        <v>60</v>
      </c>
      <c r="F798" s="14" t="s">
        <v>72</v>
      </c>
      <c r="G798" s="12"/>
      <c r="H798" s="17" t="s">
        <v>2505</v>
      </c>
      <c r="I798" s="17" t="s">
        <v>74</v>
      </c>
      <c r="J798" s="14" t="s">
        <v>2506</v>
      </c>
      <c r="K798" s="24">
        <v>27</v>
      </c>
      <c r="L798" s="24">
        <v>1270</v>
      </c>
      <c r="M798" s="14" t="s">
        <v>197</v>
      </c>
      <c r="N798" s="24">
        <v>3.5</v>
      </c>
      <c r="O798" s="30" t="str">
        <f>HYPERLINK("https://www.okbu.edu/financial-aid/allen-scholarship.html","https://www.okbu.edu/financial-aid/allen-scholarship.html")</f>
        <v>https://www.okbu.edu/financial-aid/allen-scholarship.html</v>
      </c>
      <c r="P798" s="33">
        <v>25310</v>
      </c>
      <c r="Q798" s="25">
        <v>0.75</v>
      </c>
      <c r="R798" s="14" t="s">
        <v>124</v>
      </c>
      <c r="S798" s="14" t="s">
        <v>2507</v>
      </c>
      <c r="T798" s="12"/>
      <c r="U798" s="12" t="s">
        <v>81</v>
      </c>
      <c r="V798" s="12"/>
      <c r="W798" s="12"/>
      <c r="X798" s="12"/>
      <c r="Y798" s="12"/>
      <c r="Z798" s="12"/>
      <c r="AA798" s="12"/>
    </row>
    <row r="799" spans="1:27" ht="126.75" customHeight="1" x14ac:dyDescent="0.2">
      <c r="A799" s="23" t="s">
        <v>2502</v>
      </c>
      <c r="B799" s="14" t="s">
        <v>2503</v>
      </c>
      <c r="C799" s="14" t="s">
        <v>101</v>
      </c>
      <c r="D799" s="17" t="s">
        <v>2508</v>
      </c>
      <c r="E799" s="14" t="s">
        <v>60</v>
      </c>
      <c r="F799" s="14" t="s">
        <v>72</v>
      </c>
      <c r="G799" s="12"/>
      <c r="H799" s="17" t="s">
        <v>2509</v>
      </c>
      <c r="I799" s="17" t="s">
        <v>74</v>
      </c>
      <c r="J799" s="14" t="s">
        <v>2510</v>
      </c>
      <c r="K799" s="24">
        <v>25</v>
      </c>
      <c r="L799" s="24">
        <v>1190</v>
      </c>
      <c r="M799" s="14" t="s">
        <v>197</v>
      </c>
      <c r="N799" s="24">
        <v>3</v>
      </c>
      <c r="O799" s="30" t="str">
        <f>HYPERLINK("https://www.okbu.edu/financial-aid/martin-scholarship.html","https://www.okbu.edu/financial-aid/martin-scholarship.html")</f>
        <v>https://www.okbu.edu/financial-aid/martin-scholarship.html</v>
      </c>
      <c r="P799" s="33">
        <v>25310</v>
      </c>
      <c r="Q799" s="25">
        <v>0.75</v>
      </c>
      <c r="R799" s="14" t="s">
        <v>124</v>
      </c>
      <c r="S799" s="14" t="s">
        <v>2507</v>
      </c>
      <c r="T799" s="12"/>
      <c r="U799" s="12" t="s">
        <v>81</v>
      </c>
      <c r="V799" s="12"/>
      <c r="W799" s="12"/>
      <c r="X799" s="12"/>
      <c r="Y799" s="12"/>
      <c r="Z799" s="12"/>
      <c r="AA799" s="12"/>
    </row>
    <row r="800" spans="1:27" ht="111" customHeight="1" x14ac:dyDescent="0.2">
      <c r="A800" s="23" t="s">
        <v>2502</v>
      </c>
      <c r="B800" s="14" t="s">
        <v>2503</v>
      </c>
      <c r="C800" s="14" t="s">
        <v>101</v>
      </c>
      <c r="D800" s="12"/>
      <c r="E800" s="14" t="s">
        <v>60</v>
      </c>
      <c r="F800" s="14" t="s">
        <v>72</v>
      </c>
      <c r="G800" s="12"/>
      <c r="H800" s="17" t="s">
        <v>62</v>
      </c>
      <c r="I800" s="17">
        <v>8</v>
      </c>
      <c r="J800" s="14" t="s">
        <v>2511</v>
      </c>
      <c r="K800" s="24">
        <v>32</v>
      </c>
      <c r="L800" s="24">
        <v>1440</v>
      </c>
      <c r="M800" s="14" t="s">
        <v>197</v>
      </c>
      <c r="N800" s="24">
        <v>3.75</v>
      </c>
      <c r="O800" s="30" t="str">
        <f>HYPERLINK("https://www.okbu.edu/financial-aid/university-scholar.html","https://www.okbu.edu/financial-aid/university-scholar.html")</f>
        <v>https://www.okbu.edu/financial-aid/university-scholar.html</v>
      </c>
      <c r="P800" s="33">
        <v>25310</v>
      </c>
      <c r="Q800" s="25">
        <v>0.75</v>
      </c>
      <c r="R800" s="14" t="s">
        <v>124</v>
      </c>
      <c r="S800" s="14" t="s">
        <v>2507</v>
      </c>
      <c r="T800" s="12"/>
      <c r="U800" s="12" t="s">
        <v>81</v>
      </c>
      <c r="V800" s="12"/>
      <c r="W800" s="12"/>
      <c r="X800" s="12"/>
      <c r="Y800" s="12"/>
      <c r="Z800" s="12"/>
      <c r="AA800" s="12"/>
    </row>
    <row r="801" spans="1:27" ht="208" x14ac:dyDescent="0.2">
      <c r="A801" s="23" t="s">
        <v>2502</v>
      </c>
      <c r="B801" s="14" t="s">
        <v>2512</v>
      </c>
      <c r="C801" s="14" t="s">
        <v>101</v>
      </c>
      <c r="D801" s="12"/>
      <c r="E801" s="14" t="s">
        <v>111</v>
      </c>
      <c r="F801" s="14" t="s">
        <v>92</v>
      </c>
      <c r="G801" s="12"/>
      <c r="H801" s="17" t="s">
        <v>93</v>
      </c>
      <c r="I801" s="17" t="s">
        <v>63</v>
      </c>
      <c r="J801" s="14" t="s">
        <v>2513</v>
      </c>
      <c r="K801" s="12"/>
      <c r="L801" s="12"/>
      <c r="M801" s="12"/>
      <c r="N801" s="12"/>
      <c r="O801" s="30" t="str">
        <f>HYPERLINK("http://www.oc.edu/services/financial/financial-aid/scholarships/index.html","http://www.oc.edu/services/financial/financial-aid/scholarships/index.html")</f>
        <v>http://www.oc.edu/services/financial/financial-aid/scholarships/index.html</v>
      </c>
      <c r="P801" s="33">
        <v>20840</v>
      </c>
      <c r="Q801" s="58">
        <v>0.59</v>
      </c>
      <c r="R801" s="14" t="s">
        <v>364</v>
      </c>
      <c r="S801" s="14" t="s">
        <v>2514</v>
      </c>
      <c r="T801" s="12"/>
      <c r="U801" s="12">
        <v>3.53</v>
      </c>
      <c r="V801" s="12"/>
      <c r="W801" s="12"/>
      <c r="X801" s="12"/>
      <c r="Y801" s="12"/>
      <c r="Z801" s="12"/>
      <c r="AA801" s="12"/>
    </row>
    <row r="802" spans="1:27" ht="111" customHeight="1" x14ac:dyDescent="0.2">
      <c r="A802" s="23" t="s">
        <v>2502</v>
      </c>
      <c r="B802" s="14" t="s">
        <v>2515</v>
      </c>
      <c r="C802" s="14" t="s">
        <v>101</v>
      </c>
      <c r="D802" s="12"/>
      <c r="E802" s="14" t="s">
        <v>60</v>
      </c>
      <c r="F802" s="14" t="s">
        <v>92</v>
      </c>
      <c r="G802" s="12"/>
      <c r="H802" s="17" t="s">
        <v>93</v>
      </c>
      <c r="I802" s="17" t="s">
        <v>63</v>
      </c>
      <c r="J802" s="14" t="s">
        <v>2516</v>
      </c>
      <c r="K802" s="12"/>
      <c r="L802" s="12"/>
      <c r="M802" s="12"/>
      <c r="N802" s="12"/>
      <c r="O802" s="19" t="s">
        <v>2517</v>
      </c>
      <c r="P802" s="33">
        <v>30036</v>
      </c>
      <c r="Q802" s="58">
        <v>0.68</v>
      </c>
      <c r="R802" s="14" t="s">
        <v>224</v>
      </c>
      <c r="S802" s="14" t="s">
        <v>2518</v>
      </c>
      <c r="T802" s="12"/>
      <c r="U802" s="12">
        <v>3.68</v>
      </c>
      <c r="V802" s="12"/>
      <c r="W802" s="12"/>
      <c r="X802" s="12"/>
      <c r="Y802" s="12"/>
      <c r="Z802" s="12"/>
      <c r="AA802" s="12"/>
    </row>
    <row r="803" spans="1:27" ht="111" customHeight="1" x14ac:dyDescent="0.2">
      <c r="A803" s="23" t="s">
        <v>2502</v>
      </c>
      <c r="B803" s="14" t="s">
        <v>2515</v>
      </c>
      <c r="C803" s="14" t="s">
        <v>101</v>
      </c>
      <c r="D803" s="12"/>
      <c r="E803" s="14" t="s">
        <v>60</v>
      </c>
      <c r="F803" s="14" t="s">
        <v>92</v>
      </c>
      <c r="G803" s="12"/>
      <c r="H803" s="17" t="s">
        <v>2519</v>
      </c>
      <c r="I803" s="17" t="s">
        <v>63</v>
      </c>
      <c r="J803" s="14" t="s">
        <v>2520</v>
      </c>
      <c r="K803" s="12"/>
      <c r="L803" s="12"/>
      <c r="M803" s="12"/>
      <c r="N803" s="12"/>
      <c r="O803" s="19" t="s">
        <v>2517</v>
      </c>
      <c r="P803" s="33">
        <v>30036</v>
      </c>
      <c r="Q803" s="58">
        <v>0.68</v>
      </c>
      <c r="R803" s="14" t="s">
        <v>224</v>
      </c>
      <c r="S803" s="14" t="s">
        <v>2518</v>
      </c>
      <c r="T803" s="12"/>
      <c r="U803" s="12">
        <v>3.68</v>
      </c>
      <c r="V803" s="12"/>
      <c r="W803" s="12"/>
      <c r="X803" s="12"/>
      <c r="Y803" s="12"/>
      <c r="Z803" s="12"/>
      <c r="AA803" s="12"/>
    </row>
    <row r="804" spans="1:27" ht="253" x14ac:dyDescent="0.2">
      <c r="A804" s="11" t="s">
        <v>2502</v>
      </c>
      <c r="B804" s="12" t="s">
        <v>2515</v>
      </c>
      <c r="C804" s="26" t="s">
        <v>101</v>
      </c>
      <c r="D804" s="12"/>
      <c r="E804" s="12" t="s">
        <v>111</v>
      </c>
      <c r="F804" s="12" t="s">
        <v>72</v>
      </c>
      <c r="G804" s="12"/>
      <c r="H804" s="17" t="s">
        <v>2521</v>
      </c>
      <c r="I804" s="17" t="s">
        <v>74</v>
      </c>
      <c r="J804" s="56" t="s">
        <v>2522</v>
      </c>
      <c r="K804" s="12"/>
      <c r="L804" s="12"/>
      <c r="M804" s="12"/>
      <c r="N804" s="12"/>
      <c r="O804" s="19" t="s">
        <v>2517</v>
      </c>
      <c r="P804" s="33">
        <v>30036</v>
      </c>
      <c r="Q804" s="58">
        <v>0.68</v>
      </c>
      <c r="R804" s="14" t="s">
        <v>224</v>
      </c>
      <c r="S804" s="14" t="s">
        <v>2518</v>
      </c>
      <c r="T804" s="12"/>
      <c r="U804" s="12">
        <v>3.68</v>
      </c>
      <c r="V804" s="12"/>
      <c r="W804" s="12"/>
      <c r="X804" s="12"/>
      <c r="Y804" s="12"/>
      <c r="Z804" s="12"/>
      <c r="AA804" s="12"/>
    </row>
    <row r="805" spans="1:27" ht="280" x14ac:dyDescent="0.2">
      <c r="A805" s="11" t="s">
        <v>2502</v>
      </c>
      <c r="B805" s="12" t="s">
        <v>2515</v>
      </c>
      <c r="C805" s="26" t="s">
        <v>101</v>
      </c>
      <c r="D805" s="12"/>
      <c r="E805" s="12" t="s">
        <v>60</v>
      </c>
      <c r="F805" s="12" t="s">
        <v>72</v>
      </c>
      <c r="G805" s="12"/>
      <c r="H805" s="17" t="s">
        <v>2523</v>
      </c>
      <c r="I805" s="17">
        <v>1</v>
      </c>
      <c r="J805" s="81" t="s">
        <v>2524</v>
      </c>
      <c r="K805" s="12" t="s">
        <v>2525</v>
      </c>
      <c r="L805" s="12" t="s">
        <v>2526</v>
      </c>
      <c r="M805" s="12"/>
      <c r="N805" s="12"/>
      <c r="O805" s="19" t="s">
        <v>2517</v>
      </c>
      <c r="P805" s="33">
        <v>30036</v>
      </c>
      <c r="Q805" s="58">
        <v>0.68</v>
      </c>
      <c r="R805" s="14" t="s">
        <v>224</v>
      </c>
      <c r="S805" s="14" t="s">
        <v>2518</v>
      </c>
      <c r="T805" s="12"/>
      <c r="U805" s="12">
        <v>3.68</v>
      </c>
      <c r="V805" s="12"/>
      <c r="W805" s="12"/>
      <c r="X805" s="12"/>
      <c r="Y805" s="12"/>
      <c r="Z805" s="12"/>
      <c r="AA805" s="12"/>
    </row>
    <row r="806" spans="1:27" ht="111" customHeight="1" x14ac:dyDescent="0.2">
      <c r="A806" s="11" t="s">
        <v>2502</v>
      </c>
      <c r="B806" s="12" t="s">
        <v>2515</v>
      </c>
      <c r="C806" s="26" t="s">
        <v>101</v>
      </c>
      <c r="D806" s="12"/>
      <c r="E806" s="12" t="s">
        <v>60</v>
      </c>
      <c r="F806" s="12" t="s">
        <v>72</v>
      </c>
      <c r="G806" s="12"/>
      <c r="H806" s="17" t="s">
        <v>2527</v>
      </c>
      <c r="I806" s="17">
        <v>1</v>
      </c>
      <c r="J806" s="14" t="s">
        <v>2528</v>
      </c>
      <c r="K806" s="12"/>
      <c r="L806" s="12"/>
      <c r="M806" s="12"/>
      <c r="N806" s="12"/>
      <c r="O806" s="19" t="s">
        <v>2517</v>
      </c>
      <c r="P806" s="33">
        <v>30036</v>
      </c>
      <c r="Q806" s="58">
        <v>0.68</v>
      </c>
      <c r="R806" s="14" t="s">
        <v>224</v>
      </c>
      <c r="S806" s="14" t="s">
        <v>2518</v>
      </c>
      <c r="T806" s="12"/>
      <c r="U806" s="12">
        <v>3.68</v>
      </c>
      <c r="V806" s="12"/>
      <c r="W806" s="12"/>
      <c r="X806" s="12"/>
      <c r="Y806" s="12"/>
      <c r="Z806" s="12"/>
      <c r="AA806" s="12"/>
    </row>
    <row r="807" spans="1:27" ht="111" customHeight="1" x14ac:dyDescent="0.2">
      <c r="A807" s="11" t="s">
        <v>2502</v>
      </c>
      <c r="B807" s="12" t="s">
        <v>2529</v>
      </c>
      <c r="C807" s="26" t="s">
        <v>59</v>
      </c>
      <c r="D807" s="12"/>
      <c r="E807" s="12" t="s">
        <v>789</v>
      </c>
      <c r="F807" s="12" t="s">
        <v>680</v>
      </c>
      <c r="G807" s="12"/>
      <c r="H807" s="17" t="s">
        <v>93</v>
      </c>
      <c r="I807" s="17" t="s">
        <v>63</v>
      </c>
      <c r="J807" s="14" t="s">
        <v>2530</v>
      </c>
      <c r="K807" s="12"/>
      <c r="L807" s="12"/>
      <c r="M807" s="12"/>
      <c r="N807" s="12"/>
      <c r="O807" s="30" t="str">
        <f>HYPERLINK("https://financialaid.okstate.edu/national-merit#overlay-context=osrhe-academic-scholars","https://financialaid.okstate.edu/national-merit#overlay-context=osrhe-academic-scholars")</f>
        <v>https://financialaid.okstate.edu/national-merit#overlay-context=osrhe-academic-scholars</v>
      </c>
      <c r="P807" s="33" t="s">
        <v>2531</v>
      </c>
      <c r="Q807" s="58">
        <v>0.75</v>
      </c>
      <c r="R807" s="14" t="s">
        <v>142</v>
      </c>
      <c r="S807" s="14" t="s">
        <v>2532</v>
      </c>
      <c r="T807" s="12"/>
      <c r="U807" s="12">
        <v>3.52</v>
      </c>
      <c r="V807" s="12"/>
      <c r="W807" s="12"/>
      <c r="X807" s="12"/>
      <c r="Y807" s="12"/>
      <c r="Z807" s="12"/>
      <c r="AA807" s="12"/>
    </row>
    <row r="808" spans="1:27" ht="111" customHeight="1" x14ac:dyDescent="0.2">
      <c r="A808" s="11" t="s">
        <v>2502</v>
      </c>
      <c r="B808" s="12" t="s">
        <v>2529</v>
      </c>
      <c r="C808" s="26" t="s">
        <v>59</v>
      </c>
      <c r="D808" s="12"/>
      <c r="E808" s="12" t="s">
        <v>789</v>
      </c>
      <c r="F808" s="12" t="s">
        <v>72</v>
      </c>
      <c r="G808" s="12"/>
      <c r="H808" s="17" t="s">
        <v>239</v>
      </c>
      <c r="I808" s="17" t="s">
        <v>74</v>
      </c>
      <c r="J808" s="14" t="s">
        <v>2533</v>
      </c>
      <c r="K808" s="12"/>
      <c r="L808" s="12"/>
      <c r="M808" s="12"/>
      <c r="N808" s="12"/>
      <c r="O808" s="19" t="s">
        <v>2534</v>
      </c>
      <c r="P808" s="33" t="s">
        <v>2531</v>
      </c>
      <c r="Q808" s="58">
        <v>0.75</v>
      </c>
      <c r="R808" s="14" t="s">
        <v>142</v>
      </c>
      <c r="S808" s="14" t="s">
        <v>2532</v>
      </c>
      <c r="T808" s="12"/>
      <c r="U808" s="12">
        <v>3.52</v>
      </c>
      <c r="V808" s="12"/>
      <c r="W808" s="12"/>
      <c r="X808" s="12"/>
      <c r="Y808" s="12"/>
      <c r="Z808" s="12"/>
      <c r="AA808" s="12"/>
    </row>
    <row r="809" spans="1:27" ht="271.5" customHeight="1" x14ac:dyDescent="0.2">
      <c r="A809" s="11" t="s">
        <v>2502</v>
      </c>
      <c r="B809" s="12" t="s">
        <v>2535</v>
      </c>
      <c r="C809" s="26" t="s">
        <v>101</v>
      </c>
      <c r="D809" s="26"/>
      <c r="E809" s="12" t="s">
        <v>2536</v>
      </c>
      <c r="F809" s="12" t="s">
        <v>313</v>
      </c>
      <c r="G809" s="12"/>
      <c r="H809" s="17" t="s">
        <v>1978</v>
      </c>
      <c r="I809" s="17" t="s">
        <v>74</v>
      </c>
      <c r="J809" s="176" t="s">
        <v>2537</v>
      </c>
      <c r="K809" s="12"/>
      <c r="L809" s="12"/>
      <c r="M809" s="12"/>
      <c r="N809" s="12"/>
      <c r="O809" s="30" t="str">
        <f t="shared" ref="O809:O810" si="119">HYPERLINK("http://www.okwu.edu/financial-aid/residential/types-of-aid/","http://www.okwu.edu/financial-aid/residential/types-of-aid/")</f>
        <v>http://www.okwu.edu/financial-aid/residential/types-of-aid/</v>
      </c>
      <c r="P809" s="38">
        <v>25070</v>
      </c>
      <c r="Q809" s="31">
        <v>0.85</v>
      </c>
      <c r="R809" s="26" t="s">
        <v>259</v>
      </c>
      <c r="S809" s="26" t="s">
        <v>2538</v>
      </c>
      <c r="T809" s="12"/>
      <c r="U809" s="12">
        <v>3.38</v>
      </c>
      <c r="V809" s="12"/>
      <c r="W809" s="12"/>
      <c r="X809" s="12"/>
      <c r="Y809" s="12"/>
      <c r="Z809" s="12"/>
      <c r="AA809" s="12"/>
    </row>
    <row r="810" spans="1:27" ht="255.75" customHeight="1" x14ac:dyDescent="0.2">
      <c r="A810" s="39" t="s">
        <v>2502</v>
      </c>
      <c r="B810" s="40" t="s">
        <v>2535</v>
      </c>
      <c r="C810" s="53" t="s">
        <v>101</v>
      </c>
      <c r="D810" s="53"/>
      <c r="E810" s="40" t="s">
        <v>243</v>
      </c>
      <c r="F810" s="40" t="s">
        <v>680</v>
      </c>
      <c r="G810" s="40"/>
      <c r="H810" s="69" t="s">
        <v>93</v>
      </c>
      <c r="I810" s="69" t="s">
        <v>63</v>
      </c>
      <c r="J810" s="53" t="s">
        <v>2539</v>
      </c>
      <c r="K810" s="40"/>
      <c r="L810" s="40"/>
      <c r="M810" s="40"/>
      <c r="N810" s="40"/>
      <c r="O810" s="30" t="str">
        <f t="shared" si="119"/>
        <v>http://www.okwu.edu/financial-aid/residential/types-of-aid/</v>
      </c>
      <c r="P810" s="54">
        <v>25070</v>
      </c>
      <c r="Q810" s="99">
        <v>0.85</v>
      </c>
      <c r="R810" s="53" t="s">
        <v>259</v>
      </c>
      <c r="S810" s="53" t="s">
        <v>2538</v>
      </c>
      <c r="T810" s="40"/>
      <c r="U810" s="40">
        <v>3.38</v>
      </c>
      <c r="V810" s="40"/>
      <c r="W810" s="40"/>
      <c r="X810" s="40"/>
      <c r="Y810" s="40"/>
      <c r="Z810" s="40"/>
      <c r="AA810" s="40"/>
    </row>
    <row r="811" spans="1:27" ht="192.75" customHeight="1" x14ac:dyDescent="0.2">
      <c r="A811" s="11" t="s">
        <v>2502</v>
      </c>
      <c r="B811" s="12" t="s">
        <v>2540</v>
      </c>
      <c r="C811" s="26" t="s">
        <v>101</v>
      </c>
      <c r="D811" s="26"/>
      <c r="E811" s="12" t="s">
        <v>2541</v>
      </c>
      <c r="F811" s="12" t="s">
        <v>72</v>
      </c>
      <c r="G811" s="12"/>
      <c r="H811" s="17" t="s">
        <v>2542</v>
      </c>
      <c r="I811" s="17" t="s">
        <v>74</v>
      </c>
      <c r="J811" s="212" t="s">
        <v>2543</v>
      </c>
      <c r="K811" s="12">
        <v>31</v>
      </c>
      <c r="L811" s="17">
        <v>1410</v>
      </c>
      <c r="M811" s="17" t="s">
        <v>76</v>
      </c>
      <c r="N811" s="12">
        <v>3.5</v>
      </c>
      <c r="O811" s="30" t="str">
        <f>HYPERLINK("http://www.oru.edu/academics/honors-program/scholarships.php","http://www.oru.edu/academics/honors-program/scholarships.php")</f>
        <v>http://www.oru.edu/academics/honors-program/scholarships.php</v>
      </c>
      <c r="P811" s="38">
        <v>25678</v>
      </c>
      <c r="Q811" s="31">
        <v>0.22</v>
      </c>
      <c r="R811" s="26" t="s">
        <v>385</v>
      </c>
      <c r="S811" s="26" t="s">
        <v>2544</v>
      </c>
      <c r="T811" s="12"/>
      <c r="U811" s="12">
        <v>3.45</v>
      </c>
      <c r="V811" s="12"/>
      <c r="W811" s="12"/>
      <c r="X811" s="12"/>
      <c r="Y811" s="12"/>
      <c r="Z811" s="12"/>
      <c r="AA811" s="12"/>
    </row>
    <row r="812" spans="1:27" ht="95.25" customHeight="1" x14ac:dyDescent="0.2">
      <c r="A812" s="23" t="s">
        <v>2502</v>
      </c>
      <c r="B812" s="14" t="s">
        <v>2545</v>
      </c>
      <c r="C812" s="14" t="s">
        <v>101</v>
      </c>
      <c r="D812" s="12"/>
      <c r="E812" s="14" t="s">
        <v>60</v>
      </c>
      <c r="F812" s="16" t="s">
        <v>680</v>
      </c>
      <c r="G812" s="12"/>
      <c r="H812" s="17" t="s">
        <v>93</v>
      </c>
      <c r="I812" s="17" t="s">
        <v>63</v>
      </c>
      <c r="J812" s="14" t="s">
        <v>2546</v>
      </c>
      <c r="K812" s="24"/>
      <c r="L812" s="24"/>
      <c r="M812" s="14"/>
      <c r="N812" s="12"/>
      <c r="O812" s="19" t="s">
        <v>2547</v>
      </c>
      <c r="P812" s="33">
        <v>15930</v>
      </c>
      <c r="Q812" s="25">
        <v>0.80900000000000005</v>
      </c>
      <c r="R812" s="14" t="s">
        <v>1935</v>
      </c>
      <c r="S812" s="14" t="s">
        <v>1184</v>
      </c>
      <c r="T812" s="12"/>
      <c r="U812" s="12">
        <v>3.22</v>
      </c>
      <c r="V812" s="12"/>
      <c r="W812" s="12"/>
      <c r="X812" s="12"/>
      <c r="Y812" s="12"/>
      <c r="Z812" s="12"/>
      <c r="AA812" s="12"/>
    </row>
    <row r="813" spans="1:27" ht="95.25" customHeight="1" x14ac:dyDescent="0.2">
      <c r="A813" s="23" t="s">
        <v>2502</v>
      </c>
      <c r="B813" s="14" t="s">
        <v>2548</v>
      </c>
      <c r="C813" s="14" t="s">
        <v>59</v>
      </c>
      <c r="D813" s="14" t="s">
        <v>794</v>
      </c>
      <c r="E813" s="14" t="s">
        <v>88</v>
      </c>
      <c r="F813" s="14" t="s">
        <v>72</v>
      </c>
      <c r="G813" s="12"/>
      <c r="H813" s="17" t="s">
        <v>2549</v>
      </c>
      <c r="I813" s="17" t="s">
        <v>74</v>
      </c>
      <c r="J813" s="14" t="s">
        <v>2550</v>
      </c>
      <c r="K813" s="24">
        <v>30</v>
      </c>
      <c r="L813" s="12"/>
      <c r="M813" s="12"/>
      <c r="N813" s="24">
        <v>3.5</v>
      </c>
      <c r="O813" s="19" t="s">
        <v>2551</v>
      </c>
      <c r="P813" s="33" t="s">
        <v>2552</v>
      </c>
      <c r="Q813" s="25">
        <v>0.7</v>
      </c>
      <c r="R813" s="14" t="s">
        <v>385</v>
      </c>
      <c r="S813" s="14" t="s">
        <v>1184</v>
      </c>
      <c r="T813" s="12"/>
      <c r="U813" s="12">
        <v>3.29</v>
      </c>
      <c r="V813" s="12"/>
      <c r="W813" s="12"/>
      <c r="X813" s="12"/>
      <c r="Y813" s="12"/>
      <c r="Z813" s="12"/>
      <c r="AA813" s="12"/>
    </row>
    <row r="814" spans="1:27" ht="95.25" customHeight="1" x14ac:dyDescent="0.2">
      <c r="A814" s="23" t="s">
        <v>2502</v>
      </c>
      <c r="B814" s="14" t="s">
        <v>2548</v>
      </c>
      <c r="C814" s="14" t="s">
        <v>59</v>
      </c>
      <c r="D814" s="14" t="s">
        <v>794</v>
      </c>
      <c r="E814" s="14" t="s">
        <v>88</v>
      </c>
      <c r="F814" s="14" t="s">
        <v>72</v>
      </c>
      <c r="G814" s="12"/>
      <c r="H814" s="17" t="s">
        <v>1583</v>
      </c>
      <c r="I814" s="17" t="s">
        <v>74</v>
      </c>
      <c r="J814" s="14" t="s">
        <v>2553</v>
      </c>
      <c r="K814" s="12"/>
      <c r="L814" s="12"/>
      <c r="M814" s="12"/>
      <c r="N814" s="12"/>
      <c r="O814" s="19" t="s">
        <v>2551</v>
      </c>
      <c r="P814" s="33" t="s">
        <v>2552</v>
      </c>
      <c r="Q814" s="25">
        <v>0.7</v>
      </c>
      <c r="R814" s="14" t="s">
        <v>385</v>
      </c>
      <c r="S814" s="14" t="s">
        <v>1184</v>
      </c>
      <c r="T814" s="12"/>
      <c r="U814" s="12">
        <v>3.29</v>
      </c>
      <c r="V814" s="12"/>
      <c r="W814" s="12"/>
      <c r="X814" s="12"/>
      <c r="Y814" s="12"/>
      <c r="Z814" s="12"/>
      <c r="AA814" s="12"/>
    </row>
    <row r="815" spans="1:27" ht="111" customHeight="1" x14ac:dyDescent="0.2">
      <c r="A815" s="23" t="s">
        <v>2502</v>
      </c>
      <c r="B815" s="14" t="s">
        <v>2548</v>
      </c>
      <c r="C815" s="14" t="s">
        <v>59</v>
      </c>
      <c r="D815" s="12"/>
      <c r="E815" s="14" t="s">
        <v>88</v>
      </c>
      <c r="F815" s="14" t="s">
        <v>72</v>
      </c>
      <c r="G815" s="12"/>
      <c r="H815" s="17" t="s">
        <v>2554</v>
      </c>
      <c r="I815" s="17" t="s">
        <v>74</v>
      </c>
      <c r="J815" s="14" t="s">
        <v>2555</v>
      </c>
      <c r="K815" s="24">
        <v>20</v>
      </c>
      <c r="L815" s="12"/>
      <c r="M815" s="12"/>
      <c r="N815" s="24">
        <v>3</v>
      </c>
      <c r="O815" s="19" t="s">
        <v>2551</v>
      </c>
      <c r="P815" s="33" t="s">
        <v>2552</v>
      </c>
      <c r="Q815" s="25">
        <v>0.7</v>
      </c>
      <c r="R815" s="14" t="s">
        <v>385</v>
      </c>
      <c r="S815" s="14" t="s">
        <v>1184</v>
      </c>
      <c r="T815" s="12"/>
      <c r="U815" s="12">
        <v>3.29</v>
      </c>
      <c r="V815" s="12"/>
      <c r="W815" s="12"/>
      <c r="X815" s="12"/>
      <c r="Y815" s="12"/>
      <c r="Z815" s="12"/>
      <c r="AA815" s="12"/>
    </row>
    <row r="816" spans="1:27" ht="111" customHeight="1" x14ac:dyDescent="0.2">
      <c r="A816" s="23" t="s">
        <v>2502</v>
      </c>
      <c r="B816" s="14" t="s">
        <v>2548</v>
      </c>
      <c r="C816" s="14" t="s">
        <v>59</v>
      </c>
      <c r="D816" s="14" t="s">
        <v>794</v>
      </c>
      <c r="E816" s="14" t="s">
        <v>88</v>
      </c>
      <c r="F816" s="14" t="s">
        <v>72</v>
      </c>
      <c r="G816" s="12"/>
      <c r="H816" s="17" t="s">
        <v>326</v>
      </c>
      <c r="I816" s="17" t="s">
        <v>74</v>
      </c>
      <c r="J816" s="14" t="s">
        <v>2556</v>
      </c>
      <c r="K816" s="24">
        <v>30</v>
      </c>
      <c r="L816" s="12"/>
      <c r="M816" s="12"/>
      <c r="N816" s="24">
        <v>3.8</v>
      </c>
      <c r="O816" s="30" t="str">
        <f>HYPERLINK("http://www.uco.edu/em/your-central-investment/scholarships/UCOFreshmanScholarshipFlier2015.pdf","http://www.uco.edu/em/your-central-investment/scholarships/UCOFreshmanScholarshipFlier2015.pdf")</f>
        <v>http://www.uco.edu/em/your-central-investment/scholarships/UCOFreshmanScholarshipFlier2015.pdf</v>
      </c>
      <c r="P816" s="33" t="s">
        <v>2552</v>
      </c>
      <c r="Q816" s="25">
        <v>0.7</v>
      </c>
      <c r="R816" s="14" t="s">
        <v>385</v>
      </c>
      <c r="S816" s="14" t="s">
        <v>1184</v>
      </c>
      <c r="T816" s="12"/>
      <c r="U816" s="12">
        <v>3.29</v>
      </c>
      <c r="V816" s="12"/>
      <c r="W816" s="12"/>
      <c r="X816" s="12"/>
      <c r="Y816" s="12"/>
      <c r="Z816" s="12"/>
      <c r="AA816" s="12"/>
    </row>
    <row r="817" spans="1:27" ht="111" customHeight="1" x14ac:dyDescent="0.2">
      <c r="A817" s="11" t="s">
        <v>2502</v>
      </c>
      <c r="B817" s="12" t="s">
        <v>2557</v>
      </c>
      <c r="C817" s="26" t="s">
        <v>59</v>
      </c>
      <c r="D817" s="12" t="s">
        <v>194</v>
      </c>
      <c r="E817" s="12" t="s">
        <v>88</v>
      </c>
      <c r="F817" s="12" t="s">
        <v>680</v>
      </c>
      <c r="G817" s="12"/>
      <c r="H817" s="17" t="s">
        <v>93</v>
      </c>
      <c r="I817" s="17" t="s">
        <v>63</v>
      </c>
      <c r="J817" s="14" t="s">
        <v>2558</v>
      </c>
      <c r="K817" s="12"/>
      <c r="L817" s="12"/>
      <c r="M817" s="12"/>
      <c r="N817" s="12"/>
      <c r="O817" s="30" t="str">
        <f>HYPERLINK("https://ou.edu/content/dam/recruitment/documents/NMpackage_2017_res_editable.pdf","https://ou.edu/content/dam/recruitment/documents/NMpackage_2017_res_editable.pdf")</f>
        <v>https://ou.edu/content/dam/recruitment/documents/NMpackage_2017_res_editable.pdf</v>
      </c>
      <c r="P817" s="33">
        <v>30036</v>
      </c>
      <c r="Q817" s="25">
        <v>0.81299999999999994</v>
      </c>
      <c r="R817" s="14" t="s">
        <v>224</v>
      </c>
      <c r="S817" s="14" t="s">
        <v>2518</v>
      </c>
      <c r="T817" s="12"/>
      <c r="U817" s="12">
        <v>3.68</v>
      </c>
      <c r="V817" s="12"/>
      <c r="W817" s="12"/>
      <c r="X817" s="12"/>
      <c r="Y817" s="12"/>
      <c r="Z817" s="12"/>
      <c r="AA817" s="12"/>
    </row>
    <row r="818" spans="1:27" ht="111" customHeight="1" x14ac:dyDescent="0.2">
      <c r="A818" s="11" t="s">
        <v>2502</v>
      </c>
      <c r="B818" s="12" t="s">
        <v>2557</v>
      </c>
      <c r="C818" s="26" t="s">
        <v>59</v>
      </c>
      <c r="D818" s="12" t="s">
        <v>334</v>
      </c>
      <c r="E818" s="12" t="s">
        <v>789</v>
      </c>
      <c r="F818" s="12" t="s">
        <v>680</v>
      </c>
      <c r="G818" s="12"/>
      <c r="H818" s="17" t="s">
        <v>93</v>
      </c>
      <c r="I818" s="17" t="s">
        <v>63</v>
      </c>
      <c r="J818" s="14" t="s">
        <v>2558</v>
      </c>
      <c r="K818" s="12"/>
      <c r="L818" s="12"/>
      <c r="M818" s="12"/>
      <c r="N818" s="12"/>
      <c r="O818" s="30" t="str">
        <f>HYPERLINK("https://ou.edu/content/dam/recruitment/documents/Scholarship%20Description%202016%202017%20Nonresident.pdf","https://ou.edu/content/dam/recruitment/documents/Scholarship%20Description%202016%202017%20Nonresident.pdf")</f>
        <v>https://ou.edu/content/dam/recruitment/documents/Scholarship%20Description%202016%202017%20Nonresident.pdf</v>
      </c>
      <c r="P818" s="33">
        <v>30036</v>
      </c>
      <c r="Q818" s="25">
        <v>0.81299999999999994</v>
      </c>
      <c r="R818" s="14" t="s">
        <v>224</v>
      </c>
      <c r="S818" s="14" t="s">
        <v>2518</v>
      </c>
      <c r="T818" s="12"/>
      <c r="U818" s="12">
        <v>3.68</v>
      </c>
      <c r="V818" s="12"/>
      <c r="W818" s="12"/>
      <c r="X818" s="12"/>
      <c r="Y818" s="12"/>
      <c r="Z818" s="12"/>
      <c r="AA818" s="12"/>
    </row>
    <row r="819" spans="1:27" ht="204" customHeight="1" x14ac:dyDescent="0.2">
      <c r="A819" s="11" t="s">
        <v>2502</v>
      </c>
      <c r="B819" s="12" t="s">
        <v>2559</v>
      </c>
      <c r="C819" s="26" t="s">
        <v>59</v>
      </c>
      <c r="D819" s="26"/>
      <c r="E819" s="12" t="s">
        <v>111</v>
      </c>
      <c r="F819" s="17" t="s">
        <v>72</v>
      </c>
      <c r="G819" s="12"/>
      <c r="H819" s="17" t="s">
        <v>2560</v>
      </c>
      <c r="I819" s="17">
        <v>3</v>
      </c>
      <c r="J819" s="81" t="s">
        <v>2561</v>
      </c>
      <c r="K819" s="12">
        <v>30</v>
      </c>
      <c r="L819" s="12"/>
      <c r="M819" s="12"/>
      <c r="N819" s="17">
        <v>3.8</v>
      </c>
      <c r="O819" s="30" t="str">
        <f>HYPERLINK("http://usao.edu/financial-aid/student-scholarships-2014-2015","http://usao.edu/financial-aid/student-scholarships-2014-2015")</f>
        <v>http://usao.edu/financial-aid/student-scholarships-2014-2015</v>
      </c>
      <c r="P819" s="26" t="s">
        <v>2562</v>
      </c>
      <c r="Q819" s="31">
        <v>0.66</v>
      </c>
      <c r="R819" s="26" t="s">
        <v>385</v>
      </c>
      <c r="S819" s="26" t="s">
        <v>2563</v>
      </c>
      <c r="T819" s="12"/>
      <c r="U819" s="12">
        <v>3.43</v>
      </c>
      <c r="V819" s="12"/>
      <c r="W819" s="12"/>
      <c r="X819" s="12"/>
      <c r="Y819" s="12"/>
      <c r="Z819" s="12"/>
      <c r="AA819" s="12"/>
    </row>
    <row r="820" spans="1:27" ht="260.25" customHeight="1" x14ac:dyDescent="0.2">
      <c r="A820" s="11" t="s">
        <v>2502</v>
      </c>
      <c r="B820" s="12" t="s">
        <v>2559</v>
      </c>
      <c r="C820" s="26" t="s">
        <v>59</v>
      </c>
      <c r="D820" s="26" t="s">
        <v>194</v>
      </c>
      <c r="E820" s="12" t="s">
        <v>111</v>
      </c>
      <c r="F820" s="11" t="s">
        <v>72</v>
      </c>
      <c r="G820" s="26"/>
      <c r="H820" s="29" t="s">
        <v>62</v>
      </c>
      <c r="I820" s="29" t="s">
        <v>74</v>
      </c>
      <c r="J820" s="27" t="s">
        <v>2564</v>
      </c>
      <c r="K820" s="28">
        <v>30</v>
      </c>
      <c r="L820" s="12"/>
      <c r="M820" s="12"/>
      <c r="N820" s="26">
        <v>3.5</v>
      </c>
      <c r="O820" s="30" t="str">
        <f>HYPERLINK("https://usao.edu/financial-aid/student-scholarships-2016-2017","https://usao.edu/financial-aid/student-scholarships-2016-2017")</f>
        <v>https://usao.edu/financial-aid/student-scholarships-2016-2017</v>
      </c>
      <c r="P820" s="26" t="s">
        <v>2562</v>
      </c>
      <c r="Q820" s="31">
        <v>0.66</v>
      </c>
      <c r="R820" s="26" t="s">
        <v>385</v>
      </c>
      <c r="S820" s="26" t="s">
        <v>2563</v>
      </c>
      <c r="T820" s="12"/>
      <c r="U820" s="12">
        <v>3.43</v>
      </c>
      <c r="V820" s="12"/>
      <c r="W820" s="12"/>
      <c r="X820" s="12"/>
      <c r="Y820" s="12"/>
      <c r="Z820" s="12"/>
      <c r="AA820" s="12"/>
    </row>
    <row r="821" spans="1:27" ht="174" customHeight="1" x14ac:dyDescent="0.2">
      <c r="A821" s="23" t="s">
        <v>2502</v>
      </c>
      <c r="B821" s="14" t="s">
        <v>2565</v>
      </c>
      <c r="C821" s="14" t="s">
        <v>101</v>
      </c>
      <c r="D821" s="12"/>
      <c r="E821" s="14" t="s">
        <v>111</v>
      </c>
      <c r="F821" s="14" t="s">
        <v>92</v>
      </c>
      <c r="G821" s="12"/>
      <c r="H821" s="17" t="s">
        <v>1253</v>
      </c>
      <c r="I821" s="17" t="s">
        <v>74</v>
      </c>
      <c r="J821" s="14" t="s">
        <v>2566</v>
      </c>
      <c r="K821" s="24">
        <v>33</v>
      </c>
      <c r="L821" s="24">
        <v>1540</v>
      </c>
      <c r="M821" s="14" t="s">
        <v>197</v>
      </c>
      <c r="N821" s="12"/>
      <c r="O821" s="30" t="str">
        <f>HYPERLINK("http://admission.utulsa.edu/academic-opportunities/presidential-scholars/","http://admission.utulsa.edu/academic-opportunities/presidential-scholars/")</f>
        <v>http://admission.utulsa.edu/academic-opportunities/presidential-scholars/</v>
      </c>
      <c r="P821" s="33">
        <v>41024</v>
      </c>
      <c r="Q821" s="25">
        <v>0.44</v>
      </c>
      <c r="R821" s="14" t="s">
        <v>2567</v>
      </c>
      <c r="S821" s="14" t="s">
        <v>2568</v>
      </c>
      <c r="T821" s="12"/>
      <c r="U821" s="12">
        <v>3.9</v>
      </c>
      <c r="V821" s="12"/>
      <c r="W821" s="12"/>
      <c r="X821" s="12"/>
      <c r="Y821" s="12"/>
      <c r="Z821" s="12"/>
      <c r="AA821" s="12"/>
    </row>
    <row r="822" spans="1:27" ht="217" x14ac:dyDescent="0.2">
      <c r="A822" s="109" t="s">
        <v>2569</v>
      </c>
      <c r="B822" s="110" t="s">
        <v>2570</v>
      </c>
      <c r="C822" s="110" t="s">
        <v>101</v>
      </c>
      <c r="D822" s="112"/>
      <c r="E822" s="110" t="s">
        <v>60</v>
      </c>
      <c r="F822" s="110" t="s">
        <v>72</v>
      </c>
      <c r="G822" s="112"/>
      <c r="H822" s="117" t="s">
        <v>2571</v>
      </c>
      <c r="I822" s="117" t="s">
        <v>1225</v>
      </c>
      <c r="J822" s="209" t="s">
        <v>2572</v>
      </c>
      <c r="K822" s="112"/>
      <c r="L822" s="112"/>
      <c r="M822" s="112"/>
      <c r="N822" s="112"/>
      <c r="O822" s="113" t="str">
        <f>HYPERLINK("http://www.lclark.edu/offices/financial_aid/merit_scholarships/","http://www.lclark.edu/offices/financial_aid/merit_scholarships/")</f>
        <v>http://www.lclark.edu/offices/financial_aid/merit_scholarships/</v>
      </c>
      <c r="P822" s="124">
        <v>46894</v>
      </c>
      <c r="Q822" s="114">
        <v>0.63</v>
      </c>
      <c r="R822" s="126" t="s">
        <v>616</v>
      </c>
      <c r="S822" s="126" t="s">
        <v>2573</v>
      </c>
      <c r="T822" s="112"/>
      <c r="U822" s="112" t="s">
        <v>2574</v>
      </c>
      <c r="V822" s="112"/>
      <c r="W822" s="112"/>
      <c r="X822" s="112"/>
      <c r="Y822" s="112"/>
      <c r="Z822" s="112"/>
      <c r="AA822" s="112"/>
    </row>
    <row r="823" spans="1:27" ht="304" x14ac:dyDescent="0.2">
      <c r="A823" s="23" t="s">
        <v>2569</v>
      </c>
      <c r="B823" s="14" t="s">
        <v>2575</v>
      </c>
      <c r="C823" s="14" t="s">
        <v>101</v>
      </c>
      <c r="D823" s="12"/>
      <c r="E823" s="14" t="s">
        <v>2128</v>
      </c>
      <c r="F823" s="14" t="s">
        <v>92</v>
      </c>
      <c r="G823" s="12"/>
      <c r="H823" s="17" t="s">
        <v>93</v>
      </c>
      <c r="I823" s="17" t="s">
        <v>63</v>
      </c>
      <c r="J823" s="14" t="s">
        <v>2576</v>
      </c>
      <c r="K823" s="12"/>
      <c r="L823" s="12"/>
      <c r="M823" s="12"/>
      <c r="N823" s="12"/>
      <c r="O823" s="30" t="str">
        <f>HYPERLINK("http://www.linfield.edu/catalog/financial-aid.html","http://www.linfield.edu/catalog/financial-aid.html")</f>
        <v>http://www.linfield.edu/catalog/financial-aid.html</v>
      </c>
      <c r="P823" s="33">
        <v>40105</v>
      </c>
      <c r="Q823" s="25">
        <v>0.84</v>
      </c>
      <c r="R823" s="34" t="s">
        <v>126</v>
      </c>
      <c r="S823" s="34" t="s">
        <v>2577</v>
      </c>
      <c r="T823" s="12"/>
      <c r="U823" s="12" t="s">
        <v>2578</v>
      </c>
      <c r="V823" s="12"/>
      <c r="W823" s="12"/>
      <c r="X823" s="12"/>
      <c r="Y823" s="12"/>
      <c r="Z823" s="12"/>
      <c r="AA823" s="12"/>
    </row>
    <row r="824" spans="1:27" ht="205.5" customHeight="1" x14ac:dyDescent="0.2">
      <c r="A824" s="20" t="s">
        <v>2569</v>
      </c>
      <c r="B824" s="20" t="s">
        <v>2579</v>
      </c>
      <c r="C824" s="20" t="s">
        <v>59</v>
      </c>
      <c r="D824" s="20"/>
      <c r="E824" s="20" t="s">
        <v>177</v>
      </c>
      <c r="F824" s="20" t="s">
        <v>72</v>
      </c>
      <c r="G824" s="12"/>
      <c r="H824" s="17" t="s">
        <v>62</v>
      </c>
      <c r="I824" s="17" t="s">
        <v>74</v>
      </c>
      <c r="J824" s="131" t="s">
        <v>2580</v>
      </c>
      <c r="K824" s="20"/>
      <c r="L824" s="188"/>
      <c r="M824" s="188"/>
      <c r="N824" s="20"/>
      <c r="O824" s="133" t="s">
        <v>2581</v>
      </c>
      <c r="P824" s="20" t="s">
        <v>2582</v>
      </c>
      <c r="Q824" s="21">
        <v>0.86</v>
      </c>
      <c r="R824" s="20" t="s">
        <v>130</v>
      </c>
      <c r="S824" s="135" t="s">
        <v>2583</v>
      </c>
      <c r="T824" s="12"/>
      <c r="U824" s="12"/>
      <c r="V824" s="12"/>
      <c r="W824" s="12"/>
      <c r="X824" s="12"/>
      <c r="Y824" s="12"/>
      <c r="Z824" s="12"/>
      <c r="AA824" s="12"/>
    </row>
    <row r="825" spans="1:27" ht="205.5" customHeight="1" x14ac:dyDescent="0.2">
      <c r="A825" s="23" t="s">
        <v>2569</v>
      </c>
      <c r="B825" s="14" t="s">
        <v>2584</v>
      </c>
      <c r="C825" s="14" t="s">
        <v>59</v>
      </c>
      <c r="D825" s="14" t="s">
        <v>98</v>
      </c>
      <c r="E825" s="14" t="s">
        <v>990</v>
      </c>
      <c r="F825" s="14" t="s">
        <v>72</v>
      </c>
      <c r="G825" s="12"/>
      <c r="H825" s="17" t="s">
        <v>250</v>
      </c>
      <c r="I825" s="17">
        <v>5</v>
      </c>
      <c r="J825" s="14" t="s">
        <v>2585</v>
      </c>
      <c r="K825" s="24">
        <v>28</v>
      </c>
      <c r="L825" s="18">
        <v>1300</v>
      </c>
      <c r="M825" s="16" t="s">
        <v>76</v>
      </c>
      <c r="N825" s="24">
        <v>3.85</v>
      </c>
      <c r="O825" s="30" t="str">
        <f>HYPERLINK("https://financialaid.uoregon.edu/stamps_scholarship","https://financialaid.uoregon.edu/stamps_scholarship")</f>
        <v>https://financialaid.uoregon.edu/stamps_scholarship</v>
      </c>
      <c r="P825" s="14" t="s">
        <v>2586</v>
      </c>
      <c r="Q825" s="25">
        <v>0.74</v>
      </c>
      <c r="R825" s="14" t="s">
        <v>142</v>
      </c>
      <c r="S825" s="14" t="s">
        <v>2587</v>
      </c>
      <c r="T825" s="12"/>
      <c r="U825" s="12">
        <v>3.61</v>
      </c>
      <c r="V825" s="12"/>
      <c r="W825" s="12"/>
      <c r="X825" s="12"/>
      <c r="Y825" s="12"/>
      <c r="Z825" s="12"/>
      <c r="AA825" s="12"/>
    </row>
    <row r="826" spans="1:27" ht="224" x14ac:dyDescent="0.2">
      <c r="A826" s="23" t="s">
        <v>2569</v>
      </c>
      <c r="B826" s="14" t="s">
        <v>2588</v>
      </c>
      <c r="C826" s="14" t="s">
        <v>101</v>
      </c>
      <c r="D826" s="12"/>
      <c r="E826" s="14" t="s">
        <v>88</v>
      </c>
      <c r="F826" s="14" t="s">
        <v>145</v>
      </c>
      <c r="G826" s="12"/>
      <c r="H826" s="17" t="s">
        <v>157</v>
      </c>
      <c r="I826" s="17" t="s">
        <v>74</v>
      </c>
      <c r="J826" s="14" t="s">
        <v>2589</v>
      </c>
      <c r="K826" s="12"/>
      <c r="L826" s="12"/>
      <c r="M826" s="12"/>
      <c r="N826" s="12"/>
      <c r="O826" s="30" t="str">
        <f>HYPERLINK("https://www1.up.edu/admissions/apply/scholarships.html","https://www1.up.edu/admissions/apply/scholarships.html")</f>
        <v>https://www1.up.edu/admissions/apply/scholarships.html</v>
      </c>
      <c r="P826" s="33">
        <v>42014</v>
      </c>
      <c r="Q826" s="25">
        <v>0.62</v>
      </c>
      <c r="R826" s="14" t="s">
        <v>148</v>
      </c>
      <c r="S826" s="14" t="s">
        <v>2590</v>
      </c>
      <c r="T826" s="12"/>
      <c r="U826" s="12">
        <v>3.65</v>
      </c>
      <c r="V826" s="12"/>
      <c r="W826" s="12"/>
      <c r="X826" s="12"/>
      <c r="Y826" s="12"/>
      <c r="Z826" s="12"/>
      <c r="AA826" s="12"/>
    </row>
    <row r="827" spans="1:27" ht="337" x14ac:dyDescent="0.2">
      <c r="A827" s="23" t="s">
        <v>2591</v>
      </c>
      <c r="B827" s="14" t="s">
        <v>2592</v>
      </c>
      <c r="C827" s="14" t="s">
        <v>101</v>
      </c>
      <c r="D827" s="12"/>
      <c r="E827" s="14" t="s">
        <v>177</v>
      </c>
      <c r="F827" s="14" t="s">
        <v>72</v>
      </c>
      <c r="G827" s="14" t="s">
        <v>186</v>
      </c>
      <c r="H827" s="16" t="s">
        <v>2593</v>
      </c>
      <c r="I827" s="16" t="s">
        <v>74</v>
      </c>
      <c r="J827" s="56" t="s">
        <v>2594</v>
      </c>
      <c r="K827" s="12"/>
      <c r="L827" s="12"/>
      <c r="M827" s="12"/>
      <c r="N827" s="12"/>
      <c r="O827" s="30" t="str">
        <f>HYPERLINK("https://www.arcadia.edu/admissions/financial-aid-scholarships/undergraduates/scholarships-grants#5910","https://www.arcadia.edu/admissions/financial-aid-scholarships/undergraduates/scholarships-grants#5910")</f>
        <v>https://www.arcadia.edu/admissions/financial-aid-scholarships/undergraduates/scholarships-grants#5910</v>
      </c>
      <c r="P827" s="33">
        <v>40920</v>
      </c>
      <c r="Q827" s="93">
        <v>0.59</v>
      </c>
      <c r="R827" s="23" t="s">
        <v>142</v>
      </c>
      <c r="S827" s="14" t="s">
        <v>2595</v>
      </c>
      <c r="T827" s="12"/>
      <c r="U827" s="12">
        <v>3.63</v>
      </c>
      <c r="V827" s="12"/>
      <c r="W827" s="12"/>
      <c r="X827" s="12"/>
      <c r="Y827" s="12"/>
      <c r="Z827" s="12"/>
      <c r="AA827" s="12"/>
    </row>
    <row r="828" spans="1:27" ht="111" customHeight="1" x14ac:dyDescent="0.2">
      <c r="A828" s="23" t="s">
        <v>2591</v>
      </c>
      <c r="B828" s="14" t="s">
        <v>2596</v>
      </c>
      <c r="C828" s="14" t="s">
        <v>101</v>
      </c>
      <c r="D828" s="12"/>
      <c r="E828" s="14" t="s">
        <v>60</v>
      </c>
      <c r="F828" s="14" t="s">
        <v>72</v>
      </c>
      <c r="G828" s="12"/>
      <c r="H828" s="17" t="s">
        <v>1723</v>
      </c>
      <c r="I828" s="17">
        <v>1</v>
      </c>
      <c r="J828" s="16" t="s">
        <v>2597</v>
      </c>
      <c r="K828" s="24"/>
      <c r="L828" s="24"/>
      <c r="M828" s="14"/>
      <c r="N828" s="24"/>
      <c r="O828" s="30" t="str">
        <f>HYPERLINK("http://www.cedarcrest.edu/stufinserv/traditionalscholarships.shtm","http://www.cedarcrest.edu/stufinserv/traditionalscholarships.shtm")</f>
        <v>http://www.cedarcrest.edu/stufinserv/traditionalscholarships.shtm</v>
      </c>
      <c r="P828" s="33">
        <v>36825</v>
      </c>
      <c r="Q828" s="25">
        <v>0.67</v>
      </c>
      <c r="R828" s="14" t="s">
        <v>67</v>
      </c>
      <c r="S828" s="14" t="s">
        <v>2598</v>
      </c>
      <c r="T828" s="12"/>
      <c r="U828" s="12">
        <v>3.17</v>
      </c>
      <c r="V828" s="12"/>
      <c r="W828" s="12"/>
      <c r="X828" s="12"/>
      <c r="Y828" s="12"/>
      <c r="Z828" s="12"/>
      <c r="AA828" s="12"/>
    </row>
    <row r="829" spans="1:27" ht="158.25" customHeight="1" x14ac:dyDescent="0.2">
      <c r="A829" s="23" t="s">
        <v>2591</v>
      </c>
      <c r="B829" s="14" t="s">
        <v>2599</v>
      </c>
      <c r="C829" s="14" t="s">
        <v>101</v>
      </c>
      <c r="D829" s="12"/>
      <c r="E829" s="16" t="s">
        <v>60</v>
      </c>
      <c r="F829" s="14" t="s">
        <v>72</v>
      </c>
      <c r="G829" s="12"/>
      <c r="H829" s="17" t="s">
        <v>2600</v>
      </c>
      <c r="I829" s="17" t="s">
        <v>74</v>
      </c>
      <c r="J829" s="16" t="s">
        <v>2601</v>
      </c>
      <c r="K829" s="12"/>
      <c r="L829" s="12"/>
      <c r="M829" s="12"/>
      <c r="N829" s="12"/>
      <c r="O829" s="30" t="str">
        <f t="shared" ref="O829:O830" si="120">HYPERLINK("http://www.chatham.edu/admission/aid/undergraduate/scholarships.cfm","http://www.chatham.edu/admission/aid/undergraduate/scholarships.cfm")</f>
        <v>http://www.chatham.edu/admission/aid/undergraduate/scholarships.cfm</v>
      </c>
      <c r="P829" s="33">
        <v>35475</v>
      </c>
      <c r="Q829" s="93">
        <v>0.55000000000000004</v>
      </c>
      <c r="R829" s="23" t="s">
        <v>565</v>
      </c>
      <c r="S829" s="14" t="s">
        <v>2602</v>
      </c>
      <c r="T829" s="12"/>
      <c r="U829" s="12">
        <v>3.57</v>
      </c>
      <c r="V829" s="12"/>
      <c r="W829" s="12"/>
      <c r="X829" s="12"/>
      <c r="Y829" s="12"/>
      <c r="Z829" s="12"/>
      <c r="AA829" s="12"/>
    </row>
    <row r="830" spans="1:27" ht="158.25" customHeight="1" x14ac:dyDescent="0.2">
      <c r="A830" s="23" t="s">
        <v>2591</v>
      </c>
      <c r="B830" s="14" t="s">
        <v>2599</v>
      </c>
      <c r="C830" s="14" t="s">
        <v>101</v>
      </c>
      <c r="D830" s="12"/>
      <c r="E830" s="16" t="s">
        <v>60</v>
      </c>
      <c r="F830" s="14" t="s">
        <v>72</v>
      </c>
      <c r="G830" s="12"/>
      <c r="H830" s="17" t="s">
        <v>2600</v>
      </c>
      <c r="I830" s="17" t="s">
        <v>74</v>
      </c>
      <c r="J830" s="16" t="s">
        <v>2603</v>
      </c>
      <c r="K830" s="12"/>
      <c r="L830" s="12"/>
      <c r="M830" s="12"/>
      <c r="N830" s="12"/>
      <c r="O830" s="30" t="str">
        <f t="shared" si="120"/>
        <v>http://www.chatham.edu/admission/aid/undergraduate/scholarships.cfm</v>
      </c>
      <c r="P830" s="33">
        <v>35475</v>
      </c>
      <c r="Q830" s="93">
        <v>0.55000000000000004</v>
      </c>
      <c r="R830" s="23" t="s">
        <v>565</v>
      </c>
      <c r="S830" s="14" t="s">
        <v>2602</v>
      </c>
      <c r="T830" s="12"/>
      <c r="U830" s="12">
        <v>3.57</v>
      </c>
      <c r="V830" s="12"/>
      <c r="W830" s="12"/>
      <c r="X830" s="12"/>
      <c r="Y830" s="12"/>
      <c r="Z830" s="12"/>
      <c r="AA830" s="12"/>
    </row>
    <row r="831" spans="1:27" ht="237" customHeight="1" x14ac:dyDescent="0.2">
      <c r="A831" s="23" t="s">
        <v>2591</v>
      </c>
      <c r="B831" s="14" t="s">
        <v>2604</v>
      </c>
      <c r="C831" s="14" t="s">
        <v>101</v>
      </c>
      <c r="D831" s="12"/>
      <c r="E831" s="14" t="s">
        <v>177</v>
      </c>
      <c r="F831" s="14" t="s">
        <v>72</v>
      </c>
      <c r="G831" s="12"/>
      <c r="H831" s="17" t="s">
        <v>1923</v>
      </c>
      <c r="I831" s="17">
        <v>6</v>
      </c>
      <c r="J831" s="16" t="s">
        <v>2605</v>
      </c>
      <c r="K831" s="12"/>
      <c r="L831" s="12"/>
      <c r="M831" s="12"/>
      <c r="N831" s="12"/>
      <c r="O831" s="30" t="str">
        <f>HYPERLINK("http://www.desales.edu/home/admissions-financial-aid/costs-financial-aid/undergraduate/funding-your-education/scholarships/lists/undergraduate-scholarships-information/leadership-scholarship","http://www.desales.edu/home/admissions-financial-aid/costs-financial-aid/undergraduate/funding-your-education/scholarships/lists/undergraduate-scholarships-information/leadership-scholarship")</f>
        <v>http://www.desales.edu/home/admissions-financial-aid/costs-financial-aid/undergraduate/funding-your-education/scholarships/lists/undergraduate-scholarships-information/leadership-scholarship</v>
      </c>
      <c r="P831" s="33">
        <v>34850</v>
      </c>
      <c r="Q831" s="93">
        <v>0.78</v>
      </c>
      <c r="R831" s="23" t="s">
        <v>364</v>
      </c>
      <c r="S831" s="14" t="s">
        <v>2606</v>
      </c>
      <c r="T831" s="12"/>
      <c r="U831" s="12">
        <v>3.26</v>
      </c>
      <c r="V831" s="12"/>
      <c r="W831" s="12"/>
      <c r="X831" s="12"/>
      <c r="Y831" s="12"/>
      <c r="Z831" s="12"/>
      <c r="AA831" s="12"/>
    </row>
    <row r="832" spans="1:27" ht="165.75" customHeight="1" x14ac:dyDescent="0.2">
      <c r="A832" s="23" t="s">
        <v>2591</v>
      </c>
      <c r="B832" s="14" t="s">
        <v>2604</v>
      </c>
      <c r="C832" s="14" t="s">
        <v>101</v>
      </c>
      <c r="D832" s="12"/>
      <c r="E832" s="16" t="s">
        <v>2607</v>
      </c>
      <c r="F832" s="14" t="s">
        <v>72</v>
      </c>
      <c r="G832" s="14" t="s">
        <v>186</v>
      </c>
      <c r="H832" s="16" t="s">
        <v>326</v>
      </c>
      <c r="I832" s="16" t="s">
        <v>74</v>
      </c>
      <c r="J832" s="14" t="s">
        <v>2608</v>
      </c>
      <c r="K832" s="12"/>
      <c r="L832" s="12"/>
      <c r="M832" s="12"/>
      <c r="N832" s="12"/>
      <c r="O832" s="30" t="str">
        <f>HYPERLINK("http://www.desales.edu/home/admissions-financial-aid/costs-financial-aid/undergraduate/funding-your-education/scholarships/lists/undergraduate-scholarships-information/merit-scholarships","http://www.desales.edu/home/admissions-financial-aid/costs-financial-aid/undergraduate/funding-your-education/scholarships/lists/undergraduate-scholarships-information/merit-scholarships")</f>
        <v>http://www.desales.edu/home/admissions-financial-aid/costs-financial-aid/undergraduate/funding-your-education/scholarships/lists/undergraduate-scholarships-information/merit-scholarships</v>
      </c>
      <c r="P832" s="33">
        <v>34850</v>
      </c>
      <c r="Q832" s="93">
        <v>0.78</v>
      </c>
      <c r="R832" s="23" t="s">
        <v>364</v>
      </c>
      <c r="S832" s="14" t="s">
        <v>2606</v>
      </c>
      <c r="T832" s="12"/>
      <c r="U832" s="12">
        <v>3.26</v>
      </c>
      <c r="V832" s="12"/>
      <c r="W832" s="12"/>
      <c r="X832" s="12"/>
      <c r="Y832" s="12"/>
      <c r="Z832" s="12"/>
      <c r="AA832" s="12"/>
    </row>
    <row r="833" spans="1:27" ht="142.5" customHeight="1" x14ac:dyDescent="0.2">
      <c r="A833" s="23" t="s">
        <v>2591</v>
      </c>
      <c r="B833" s="14" t="s">
        <v>2609</v>
      </c>
      <c r="C833" s="14" t="s">
        <v>101</v>
      </c>
      <c r="D833" s="12"/>
      <c r="E833" s="14" t="s">
        <v>60</v>
      </c>
      <c r="F833" s="14" t="s">
        <v>72</v>
      </c>
      <c r="G833" s="12"/>
      <c r="H833" s="17" t="s">
        <v>2610</v>
      </c>
      <c r="I833" s="17">
        <v>1</v>
      </c>
      <c r="J833" s="14" t="s">
        <v>2611</v>
      </c>
      <c r="K833" s="12"/>
      <c r="L833" s="12"/>
      <c r="M833" s="12"/>
      <c r="N833" s="12"/>
      <c r="O833" s="30" t="str">
        <f t="shared" ref="O833:O834" si="121">HYPERLINK("http://drexel.edu/drexelcentral/finaid/grants/undergraduate-scholarships/","http://drexel.edu/drexelcentral/finaid/grants/undergraduate-scholarships/")</f>
        <v>http://drexel.edu/drexelcentral/finaid/grants/undergraduate-scholarships/</v>
      </c>
      <c r="P833" s="33">
        <v>51065</v>
      </c>
      <c r="Q833" s="58">
        <v>0.76</v>
      </c>
      <c r="R833" s="14" t="s">
        <v>687</v>
      </c>
      <c r="S833" s="14" t="s">
        <v>2612</v>
      </c>
      <c r="T833" s="12"/>
      <c r="U833" s="12">
        <v>3.47</v>
      </c>
      <c r="V833" s="12"/>
      <c r="W833" s="12"/>
      <c r="X833" s="12"/>
      <c r="Y833" s="12"/>
      <c r="Z833" s="12"/>
      <c r="AA833" s="12"/>
    </row>
    <row r="834" spans="1:27" ht="142.5" customHeight="1" x14ac:dyDescent="0.2">
      <c r="A834" s="23" t="s">
        <v>2591</v>
      </c>
      <c r="B834" s="14" t="s">
        <v>2609</v>
      </c>
      <c r="C834" s="14" t="s">
        <v>101</v>
      </c>
      <c r="D834" s="17" t="s">
        <v>2613</v>
      </c>
      <c r="E834" s="14" t="s">
        <v>60</v>
      </c>
      <c r="F834" s="14" t="s">
        <v>72</v>
      </c>
      <c r="G834" s="14" t="s">
        <v>186</v>
      </c>
      <c r="H834" s="16" t="s">
        <v>454</v>
      </c>
      <c r="I834" s="16" t="s">
        <v>74</v>
      </c>
      <c r="J834" s="14" t="s">
        <v>2614</v>
      </c>
      <c r="K834" s="12"/>
      <c r="L834" s="12"/>
      <c r="M834" s="12"/>
      <c r="N834" s="12"/>
      <c r="O834" s="30" t="str">
        <f t="shared" si="121"/>
        <v>http://drexel.edu/drexelcentral/finaid/grants/undergraduate-scholarships/</v>
      </c>
      <c r="P834" s="33">
        <v>51065</v>
      </c>
      <c r="Q834" s="58">
        <v>0.76</v>
      </c>
      <c r="R834" s="14" t="s">
        <v>687</v>
      </c>
      <c r="S834" s="14" t="s">
        <v>2612</v>
      </c>
      <c r="T834" s="12"/>
      <c r="U834" s="12">
        <v>3.47</v>
      </c>
      <c r="V834" s="12"/>
      <c r="W834" s="12"/>
      <c r="X834" s="12"/>
      <c r="Y834" s="12"/>
      <c r="Z834" s="12"/>
      <c r="AA834" s="12"/>
    </row>
    <row r="835" spans="1:27" ht="158.25" customHeight="1" x14ac:dyDescent="0.2">
      <c r="A835" s="23" t="s">
        <v>2591</v>
      </c>
      <c r="B835" s="14" t="s">
        <v>2615</v>
      </c>
      <c r="C835" s="14" t="s">
        <v>101</v>
      </c>
      <c r="D835" s="12"/>
      <c r="E835" s="14" t="s">
        <v>243</v>
      </c>
      <c r="F835" s="14" t="s">
        <v>461</v>
      </c>
      <c r="G835" s="12"/>
      <c r="H835" s="17" t="s">
        <v>2486</v>
      </c>
      <c r="I835" s="17" t="s">
        <v>74</v>
      </c>
      <c r="J835" s="14" t="s">
        <v>2616</v>
      </c>
      <c r="K835" s="12"/>
      <c r="L835" s="12"/>
      <c r="M835" s="12"/>
      <c r="N835" s="12"/>
      <c r="O835" s="30" t="str">
        <f>HYPERLINK("http://www.eastern.edu/admissions/undergraduate/scholarships-grants-and-other-aid","http://www.eastern.edu/admissions/undergraduate/scholarships-grants-and-other-aid")</f>
        <v>http://www.eastern.edu/admissions/undergraduate/scholarships-grants-and-other-aid</v>
      </c>
      <c r="P835" s="33">
        <v>31020</v>
      </c>
      <c r="Q835" s="93">
        <v>0.68</v>
      </c>
      <c r="R835" s="23" t="s">
        <v>126</v>
      </c>
      <c r="S835" s="14" t="s">
        <v>2617</v>
      </c>
      <c r="T835" s="12"/>
      <c r="U835" s="12">
        <v>3.42</v>
      </c>
      <c r="V835" s="12"/>
      <c r="W835" s="12"/>
      <c r="X835" s="12"/>
      <c r="Y835" s="12"/>
      <c r="Z835" s="12"/>
      <c r="AA835" s="12"/>
    </row>
    <row r="836" spans="1:27" ht="268.5" customHeight="1" x14ac:dyDescent="0.2">
      <c r="A836" s="23" t="s">
        <v>2591</v>
      </c>
      <c r="B836" s="14" t="s">
        <v>2618</v>
      </c>
      <c r="C836" s="14" t="s">
        <v>101</v>
      </c>
      <c r="D836" s="12"/>
      <c r="E836" s="14" t="s">
        <v>60</v>
      </c>
      <c r="F836" s="14" t="s">
        <v>72</v>
      </c>
      <c r="G836" s="12"/>
      <c r="H836" s="17" t="s">
        <v>553</v>
      </c>
      <c r="I836" s="17" t="s">
        <v>74</v>
      </c>
      <c r="J836" s="14" t="s">
        <v>2619</v>
      </c>
      <c r="K836" s="12"/>
      <c r="L836" s="12"/>
      <c r="M836" s="12"/>
      <c r="N836" s="12"/>
      <c r="O836" s="30" t="str">
        <f>HYPERLINK("http://www.etown.edu/admissions/scholarships.aspx","http://www.etown.edu/admissions/scholarships.aspx")</f>
        <v>http://www.etown.edu/admissions/scholarships.aspx</v>
      </c>
      <c r="P836" s="33">
        <v>43490</v>
      </c>
      <c r="Q836" s="25">
        <v>0.71</v>
      </c>
      <c r="R836" s="14" t="s">
        <v>266</v>
      </c>
      <c r="S836" s="14" t="s">
        <v>2620</v>
      </c>
      <c r="T836" s="12"/>
      <c r="U836" s="12" t="s">
        <v>81</v>
      </c>
      <c r="V836" s="12"/>
      <c r="W836" s="12"/>
      <c r="X836" s="12"/>
      <c r="Y836" s="12"/>
      <c r="Z836" s="12"/>
      <c r="AA836" s="12"/>
    </row>
    <row r="837" spans="1:27" ht="252.75" customHeight="1" x14ac:dyDescent="0.2">
      <c r="A837" s="23" t="s">
        <v>2591</v>
      </c>
      <c r="B837" s="14" t="s">
        <v>2621</v>
      </c>
      <c r="C837" s="14" t="s">
        <v>101</v>
      </c>
      <c r="D837" s="12"/>
      <c r="E837" s="14" t="s">
        <v>177</v>
      </c>
      <c r="F837" s="14" t="s">
        <v>72</v>
      </c>
      <c r="G837" s="12"/>
      <c r="H837" s="17" t="s">
        <v>1123</v>
      </c>
      <c r="I837" s="17" t="s">
        <v>1071</v>
      </c>
      <c r="J837" s="14" t="s">
        <v>2622</v>
      </c>
      <c r="K837" s="12"/>
      <c r="L837" s="12"/>
      <c r="M837" s="12"/>
      <c r="N837" s="12"/>
      <c r="O837" s="30" t="str">
        <f>HYPERLINK("http://www.gannon.edu/Financial-Aid/Types-of-Financial-Aid/Gannon-Scholarships-and-Awards/","http://www.gannon.edu/Financial-Aid/Types-of-Financial-Aid/Gannon-Scholarships-and-Awards/")</f>
        <v>http://www.gannon.edu/Financial-Aid/Types-of-Financial-Aid/Gannon-Scholarships-and-Awards/</v>
      </c>
      <c r="P837" s="33">
        <v>30042</v>
      </c>
      <c r="Q837" s="93">
        <v>0.76</v>
      </c>
      <c r="R837" s="23" t="s">
        <v>124</v>
      </c>
      <c r="S837" s="14" t="s">
        <v>2623</v>
      </c>
      <c r="T837" s="12"/>
      <c r="U837" s="12">
        <v>3.53</v>
      </c>
      <c r="V837" s="12"/>
      <c r="W837" s="12"/>
      <c r="X837" s="12"/>
      <c r="Y837" s="12"/>
      <c r="Z837" s="12"/>
      <c r="AA837" s="12"/>
    </row>
    <row r="838" spans="1:27" ht="240" x14ac:dyDescent="0.2">
      <c r="A838" s="23" t="s">
        <v>2591</v>
      </c>
      <c r="B838" s="14" t="s">
        <v>2624</v>
      </c>
      <c r="C838" s="14" t="s">
        <v>101</v>
      </c>
      <c r="D838" s="12"/>
      <c r="E838" s="14" t="s">
        <v>177</v>
      </c>
      <c r="F838" s="14" t="s">
        <v>72</v>
      </c>
      <c r="G838" s="12"/>
      <c r="H838" s="17" t="s">
        <v>62</v>
      </c>
      <c r="I838" s="17" t="s">
        <v>74</v>
      </c>
      <c r="J838" s="14" t="s">
        <v>2625</v>
      </c>
      <c r="K838" s="12"/>
      <c r="L838" s="18">
        <v>1360</v>
      </c>
      <c r="M838" s="16" t="s">
        <v>76</v>
      </c>
      <c r="N838" s="18">
        <v>3.3</v>
      </c>
      <c r="O838" s="30" t="str">
        <f>HYPERLINK("https://www.gmercyu.edu/admissions-aid/financial-aid-tuition/types-aid/scholarships#Other scholarships","https://www.gmercyu.edu/admissions-aid/financial-aid-tuition/types-aid/scholarships#Other scholarships")</f>
        <v>https://www.gmercyu.edu/admissions-aid/financial-aid-tuition/types-aid/scholarships#Other scholarships</v>
      </c>
      <c r="P838" s="33">
        <v>34380</v>
      </c>
      <c r="Q838" s="97">
        <v>0.92</v>
      </c>
      <c r="R838" s="94" t="s">
        <v>113</v>
      </c>
      <c r="S838" s="26" t="s">
        <v>2626</v>
      </c>
      <c r="T838" s="12"/>
      <c r="U838" s="12">
        <v>3.22</v>
      </c>
      <c r="V838" s="12"/>
      <c r="W838" s="12"/>
      <c r="X838" s="12"/>
      <c r="Y838" s="12"/>
      <c r="Z838" s="12"/>
      <c r="AA838" s="12"/>
    </row>
    <row r="839" spans="1:27" ht="192" x14ac:dyDescent="0.2">
      <c r="A839" s="23" t="s">
        <v>2591</v>
      </c>
      <c r="B839" s="14" t="s">
        <v>2627</v>
      </c>
      <c r="C839" s="14" t="s">
        <v>101</v>
      </c>
      <c r="D839" s="17" t="s">
        <v>2628</v>
      </c>
      <c r="E839" s="14" t="s">
        <v>60</v>
      </c>
      <c r="F839" s="14" t="s">
        <v>72</v>
      </c>
      <c r="G839" s="12"/>
      <c r="H839" s="17" t="s">
        <v>2629</v>
      </c>
      <c r="I839" s="17" t="s">
        <v>74</v>
      </c>
      <c r="J839" s="14" t="s">
        <v>2630</v>
      </c>
      <c r="K839" s="12"/>
      <c r="L839" s="12"/>
      <c r="M839" s="12"/>
      <c r="N839" s="24">
        <v>2.7</v>
      </c>
      <c r="O839" s="30" t="str">
        <f t="shared" ref="O839:O848" si="122">HYPERLINK("http://harrisburgu.edu/hu-scholarships-grants/","http://harrisburgu.edu/hu-scholarships-grants/")</f>
        <v>http://harrisburgu.edu/hu-scholarships-grants/</v>
      </c>
      <c r="P839" s="33">
        <v>23900</v>
      </c>
      <c r="Q839" s="213">
        <v>0.48099999999999998</v>
      </c>
      <c r="R839" s="52" t="s">
        <v>148</v>
      </c>
      <c r="S839" s="34" t="s">
        <v>1184</v>
      </c>
      <c r="T839" s="12"/>
      <c r="U839" s="12">
        <v>2.79</v>
      </c>
      <c r="V839" s="12"/>
      <c r="W839" s="12"/>
      <c r="X839" s="12"/>
      <c r="Y839" s="12"/>
      <c r="Z839" s="12"/>
      <c r="AA839" s="12"/>
    </row>
    <row r="840" spans="1:27" ht="237" customHeight="1" x14ac:dyDescent="0.2">
      <c r="A840" s="23" t="s">
        <v>2591</v>
      </c>
      <c r="B840" s="14" t="s">
        <v>2627</v>
      </c>
      <c r="C840" s="14" t="s">
        <v>101</v>
      </c>
      <c r="D840" s="17" t="s">
        <v>2631</v>
      </c>
      <c r="E840" s="14" t="s">
        <v>60</v>
      </c>
      <c r="F840" s="14" t="s">
        <v>72</v>
      </c>
      <c r="G840" s="12"/>
      <c r="H840" s="17" t="s">
        <v>2629</v>
      </c>
      <c r="I840" s="17" t="s">
        <v>74</v>
      </c>
      <c r="J840" s="14" t="s">
        <v>2632</v>
      </c>
      <c r="K840" s="12"/>
      <c r="L840" s="12"/>
      <c r="M840" s="12"/>
      <c r="N840" s="24">
        <v>2.7</v>
      </c>
      <c r="O840" s="30" t="str">
        <f t="shared" si="122"/>
        <v>http://harrisburgu.edu/hu-scholarships-grants/</v>
      </c>
      <c r="P840" s="33">
        <v>23900</v>
      </c>
      <c r="Q840" s="213">
        <v>0.48099999999999998</v>
      </c>
      <c r="R840" s="52" t="s">
        <v>148</v>
      </c>
      <c r="S840" s="34" t="s">
        <v>1184</v>
      </c>
      <c r="T840" s="12"/>
      <c r="U840" s="12">
        <v>2.79</v>
      </c>
      <c r="V840" s="12"/>
      <c r="W840" s="12"/>
      <c r="X840" s="12"/>
      <c r="Y840" s="12"/>
      <c r="Z840" s="12"/>
      <c r="AA840" s="12"/>
    </row>
    <row r="841" spans="1:27" ht="237" customHeight="1" x14ac:dyDescent="0.2">
      <c r="A841" s="23" t="s">
        <v>2591</v>
      </c>
      <c r="B841" s="14" t="s">
        <v>2627</v>
      </c>
      <c r="C841" s="14" t="s">
        <v>101</v>
      </c>
      <c r="D841" s="17" t="s">
        <v>2633</v>
      </c>
      <c r="E841" s="14" t="s">
        <v>60</v>
      </c>
      <c r="F841" s="14" t="s">
        <v>72</v>
      </c>
      <c r="G841" s="12"/>
      <c r="H841" s="17" t="s">
        <v>2629</v>
      </c>
      <c r="I841" s="17" t="s">
        <v>74</v>
      </c>
      <c r="J841" s="14" t="s">
        <v>2634</v>
      </c>
      <c r="K841" s="12"/>
      <c r="L841" s="12"/>
      <c r="M841" s="12"/>
      <c r="N841" s="24">
        <v>3</v>
      </c>
      <c r="O841" s="30" t="str">
        <f t="shared" si="122"/>
        <v>http://harrisburgu.edu/hu-scholarships-grants/</v>
      </c>
      <c r="P841" s="33">
        <v>23900</v>
      </c>
      <c r="Q841" s="213">
        <v>0.48099999999999998</v>
      </c>
      <c r="R841" s="52" t="s">
        <v>148</v>
      </c>
      <c r="S841" s="34" t="s">
        <v>1184</v>
      </c>
      <c r="T841" s="12"/>
      <c r="U841" s="12">
        <v>2.79</v>
      </c>
      <c r="V841" s="12"/>
      <c r="W841" s="12"/>
      <c r="X841" s="12"/>
      <c r="Y841" s="12"/>
      <c r="Z841" s="12"/>
      <c r="AA841" s="12"/>
    </row>
    <row r="842" spans="1:27" ht="237" customHeight="1" x14ac:dyDescent="0.2">
      <c r="A842" s="23" t="s">
        <v>2591</v>
      </c>
      <c r="B842" s="14" t="s">
        <v>2627</v>
      </c>
      <c r="C842" s="14" t="s">
        <v>101</v>
      </c>
      <c r="D842" s="17" t="s">
        <v>2635</v>
      </c>
      <c r="E842" s="14" t="s">
        <v>60</v>
      </c>
      <c r="F842" s="14" t="s">
        <v>72</v>
      </c>
      <c r="G842" s="12"/>
      <c r="H842" s="17" t="s">
        <v>2636</v>
      </c>
      <c r="I842" s="17" t="s">
        <v>74</v>
      </c>
      <c r="J842" s="14" t="s">
        <v>2637</v>
      </c>
      <c r="K842" s="12"/>
      <c r="L842" s="12"/>
      <c r="M842" s="12"/>
      <c r="N842" s="12"/>
      <c r="O842" s="30" t="str">
        <f t="shared" si="122"/>
        <v>http://harrisburgu.edu/hu-scholarships-grants/</v>
      </c>
      <c r="P842" s="33">
        <v>23900</v>
      </c>
      <c r="Q842" s="213">
        <v>0.48099999999999998</v>
      </c>
      <c r="R842" s="52" t="s">
        <v>148</v>
      </c>
      <c r="S842" s="34" t="s">
        <v>1184</v>
      </c>
      <c r="T842" s="12"/>
      <c r="U842" s="12">
        <v>2.79</v>
      </c>
      <c r="V842" s="12"/>
      <c r="W842" s="12"/>
      <c r="X842" s="12"/>
      <c r="Y842" s="12"/>
      <c r="Z842" s="12"/>
      <c r="AA842" s="12"/>
    </row>
    <row r="843" spans="1:27" ht="252.75" customHeight="1" x14ac:dyDescent="0.2">
      <c r="A843" s="23" t="s">
        <v>2591</v>
      </c>
      <c r="B843" s="14" t="s">
        <v>2627</v>
      </c>
      <c r="C843" s="14" t="s">
        <v>101</v>
      </c>
      <c r="D843" s="17" t="s">
        <v>2638</v>
      </c>
      <c r="E843" s="14" t="s">
        <v>60</v>
      </c>
      <c r="F843" s="14" t="s">
        <v>72</v>
      </c>
      <c r="G843" s="12"/>
      <c r="H843" s="17" t="s">
        <v>239</v>
      </c>
      <c r="I843" s="17">
        <v>8</v>
      </c>
      <c r="J843" s="14" t="s">
        <v>2639</v>
      </c>
      <c r="K843" s="12"/>
      <c r="L843" s="12"/>
      <c r="M843" s="12"/>
      <c r="N843" s="12"/>
      <c r="O843" s="30" t="str">
        <f t="shared" si="122"/>
        <v>http://harrisburgu.edu/hu-scholarships-grants/</v>
      </c>
      <c r="P843" s="33">
        <v>23900</v>
      </c>
      <c r="Q843" s="213">
        <v>0.48099999999999998</v>
      </c>
      <c r="R843" s="52" t="s">
        <v>148</v>
      </c>
      <c r="S843" s="34" t="s">
        <v>1184</v>
      </c>
      <c r="T843" s="12"/>
      <c r="U843" s="12">
        <v>2.79</v>
      </c>
      <c r="V843" s="12"/>
      <c r="W843" s="12"/>
      <c r="X843" s="12"/>
      <c r="Y843" s="12"/>
      <c r="Z843" s="12"/>
      <c r="AA843" s="12"/>
    </row>
    <row r="844" spans="1:27" ht="205.5" customHeight="1" x14ac:dyDescent="0.2">
      <c r="A844" s="23" t="s">
        <v>2591</v>
      </c>
      <c r="B844" s="14" t="s">
        <v>2627</v>
      </c>
      <c r="C844" s="14" t="s">
        <v>101</v>
      </c>
      <c r="D844" s="17" t="s">
        <v>2640</v>
      </c>
      <c r="E844" s="14" t="s">
        <v>60</v>
      </c>
      <c r="F844" s="14" t="s">
        <v>72</v>
      </c>
      <c r="G844" s="12"/>
      <c r="H844" s="17" t="s">
        <v>2629</v>
      </c>
      <c r="I844" s="17" t="s">
        <v>74</v>
      </c>
      <c r="J844" s="14" t="s">
        <v>2641</v>
      </c>
      <c r="K844" s="12"/>
      <c r="L844" s="12"/>
      <c r="M844" s="12"/>
      <c r="N844" s="24">
        <v>3</v>
      </c>
      <c r="O844" s="30" t="str">
        <f t="shared" si="122"/>
        <v>http://harrisburgu.edu/hu-scholarships-grants/</v>
      </c>
      <c r="P844" s="33">
        <v>23900</v>
      </c>
      <c r="Q844" s="213">
        <v>0.48099999999999998</v>
      </c>
      <c r="R844" s="52" t="s">
        <v>148</v>
      </c>
      <c r="S844" s="34" t="s">
        <v>1184</v>
      </c>
      <c r="T844" s="12"/>
      <c r="U844" s="12">
        <v>2.79</v>
      </c>
      <c r="V844" s="12"/>
      <c r="W844" s="12"/>
      <c r="X844" s="12"/>
      <c r="Y844" s="12"/>
      <c r="Z844" s="12"/>
      <c r="AA844" s="12"/>
    </row>
    <row r="845" spans="1:27" ht="252.75" customHeight="1" x14ac:dyDescent="0.2">
      <c r="A845" s="23" t="s">
        <v>2591</v>
      </c>
      <c r="B845" s="14" t="s">
        <v>2627</v>
      </c>
      <c r="C845" s="14" t="s">
        <v>101</v>
      </c>
      <c r="D845" s="17" t="s">
        <v>2642</v>
      </c>
      <c r="E845" s="14" t="s">
        <v>60</v>
      </c>
      <c r="F845" s="14" t="s">
        <v>72</v>
      </c>
      <c r="G845" s="12"/>
      <c r="H845" s="17" t="s">
        <v>2629</v>
      </c>
      <c r="I845" s="17">
        <v>20</v>
      </c>
      <c r="J845" s="14" t="s">
        <v>2643</v>
      </c>
      <c r="K845" s="12"/>
      <c r="L845" s="12"/>
      <c r="M845" s="12"/>
      <c r="N845" s="24">
        <v>2.7</v>
      </c>
      <c r="O845" s="30" t="str">
        <f t="shared" si="122"/>
        <v>http://harrisburgu.edu/hu-scholarships-grants/</v>
      </c>
      <c r="P845" s="33">
        <v>23900</v>
      </c>
      <c r="Q845" s="213">
        <v>0.48099999999999998</v>
      </c>
      <c r="R845" s="52" t="s">
        <v>148</v>
      </c>
      <c r="S845" s="34" t="s">
        <v>1184</v>
      </c>
      <c r="T845" s="12"/>
      <c r="U845" s="12">
        <v>2.79</v>
      </c>
      <c r="V845" s="12"/>
      <c r="W845" s="12"/>
      <c r="X845" s="12"/>
      <c r="Y845" s="12"/>
      <c r="Z845" s="12"/>
      <c r="AA845" s="12"/>
    </row>
    <row r="846" spans="1:27" ht="237" customHeight="1" x14ac:dyDescent="0.2">
      <c r="A846" s="23" t="s">
        <v>2591</v>
      </c>
      <c r="B846" s="14" t="s">
        <v>2627</v>
      </c>
      <c r="C846" s="14" t="s">
        <v>101</v>
      </c>
      <c r="D846" s="17" t="s">
        <v>2644</v>
      </c>
      <c r="E846" s="14" t="s">
        <v>60</v>
      </c>
      <c r="F846" s="14" t="s">
        <v>72</v>
      </c>
      <c r="G846" s="12"/>
      <c r="H846" s="17" t="s">
        <v>2629</v>
      </c>
      <c r="I846" s="17" t="s">
        <v>74</v>
      </c>
      <c r="J846" s="14" t="s">
        <v>2645</v>
      </c>
      <c r="K846" s="12"/>
      <c r="L846" s="12"/>
      <c r="M846" s="12"/>
      <c r="N846" s="24">
        <v>2.7</v>
      </c>
      <c r="O846" s="30" t="str">
        <f t="shared" si="122"/>
        <v>http://harrisburgu.edu/hu-scholarships-grants/</v>
      </c>
      <c r="P846" s="33">
        <v>23900</v>
      </c>
      <c r="Q846" s="213">
        <v>0.48099999999999998</v>
      </c>
      <c r="R846" s="52" t="s">
        <v>148</v>
      </c>
      <c r="S846" s="34" t="s">
        <v>1184</v>
      </c>
      <c r="T846" s="12"/>
      <c r="U846" s="12">
        <v>2.79</v>
      </c>
      <c r="V846" s="12"/>
      <c r="W846" s="12"/>
      <c r="X846" s="12"/>
      <c r="Y846" s="12"/>
      <c r="Z846" s="12"/>
      <c r="AA846" s="12"/>
    </row>
    <row r="847" spans="1:27" ht="237" customHeight="1" x14ac:dyDescent="0.2">
      <c r="A847" s="23" t="s">
        <v>2591</v>
      </c>
      <c r="B847" s="14" t="s">
        <v>2627</v>
      </c>
      <c r="C847" s="14" t="s">
        <v>101</v>
      </c>
      <c r="D847" s="17" t="s">
        <v>2646</v>
      </c>
      <c r="E847" s="14" t="s">
        <v>60</v>
      </c>
      <c r="F847" s="14" t="s">
        <v>72</v>
      </c>
      <c r="G847" s="12"/>
      <c r="H847" s="17" t="s">
        <v>2629</v>
      </c>
      <c r="I847" s="17" t="s">
        <v>74</v>
      </c>
      <c r="J847" s="14" t="s">
        <v>2647</v>
      </c>
      <c r="K847" s="12"/>
      <c r="L847" s="12"/>
      <c r="M847" s="12"/>
      <c r="N847" s="24">
        <v>2.7</v>
      </c>
      <c r="O847" s="30" t="str">
        <f t="shared" si="122"/>
        <v>http://harrisburgu.edu/hu-scholarships-grants/</v>
      </c>
      <c r="P847" s="33">
        <v>23900</v>
      </c>
      <c r="Q847" s="213">
        <v>0.48099999999999998</v>
      </c>
      <c r="R847" s="52" t="s">
        <v>148</v>
      </c>
      <c r="S847" s="34" t="s">
        <v>1184</v>
      </c>
      <c r="T847" s="12"/>
      <c r="U847" s="12">
        <v>2.79</v>
      </c>
      <c r="V847" s="12"/>
      <c r="W847" s="12"/>
      <c r="X847" s="12"/>
      <c r="Y847" s="12"/>
      <c r="Z847" s="12"/>
      <c r="AA847" s="12"/>
    </row>
    <row r="848" spans="1:27" ht="205.5" customHeight="1" x14ac:dyDescent="0.2">
      <c r="A848" s="23" t="s">
        <v>2591</v>
      </c>
      <c r="B848" s="14" t="s">
        <v>2627</v>
      </c>
      <c r="C848" s="14" t="s">
        <v>101</v>
      </c>
      <c r="D848" s="17" t="s">
        <v>2648</v>
      </c>
      <c r="E848" s="14" t="s">
        <v>60</v>
      </c>
      <c r="F848" s="14" t="s">
        <v>72</v>
      </c>
      <c r="G848" s="12"/>
      <c r="H848" s="17" t="s">
        <v>2629</v>
      </c>
      <c r="I848" s="17" t="s">
        <v>74</v>
      </c>
      <c r="J848" s="14" t="s">
        <v>2649</v>
      </c>
      <c r="K848" s="12"/>
      <c r="L848" s="12"/>
      <c r="M848" s="12"/>
      <c r="N848" s="24">
        <v>3</v>
      </c>
      <c r="O848" s="30" t="str">
        <f t="shared" si="122"/>
        <v>http://harrisburgu.edu/hu-scholarships-grants/</v>
      </c>
      <c r="P848" s="33">
        <v>23900</v>
      </c>
      <c r="Q848" s="213">
        <v>0.48099999999999998</v>
      </c>
      <c r="R848" s="52" t="s">
        <v>148</v>
      </c>
      <c r="S848" s="34" t="s">
        <v>1184</v>
      </c>
      <c r="T848" s="12"/>
      <c r="U848" s="12">
        <v>2.79</v>
      </c>
      <c r="V848" s="12"/>
      <c r="W848" s="12"/>
      <c r="X848" s="12"/>
      <c r="Y848" s="12"/>
      <c r="Z848" s="12"/>
      <c r="AA848" s="12"/>
    </row>
    <row r="849" spans="1:27" ht="142.5" customHeight="1" x14ac:dyDescent="0.2">
      <c r="A849" s="23" t="s">
        <v>2591</v>
      </c>
      <c r="B849" s="14" t="s">
        <v>2650</v>
      </c>
      <c r="C849" s="14" t="s">
        <v>101</v>
      </c>
      <c r="D849" s="12"/>
      <c r="E849" s="14" t="s">
        <v>60</v>
      </c>
      <c r="F849" s="14" t="s">
        <v>72</v>
      </c>
      <c r="G849" s="12"/>
      <c r="H849" s="17" t="s">
        <v>2651</v>
      </c>
      <c r="I849" s="17" t="s">
        <v>74</v>
      </c>
      <c r="J849" s="14" t="s">
        <v>2652</v>
      </c>
      <c r="K849" s="12"/>
      <c r="L849" s="12"/>
      <c r="M849" s="12"/>
      <c r="N849" s="12"/>
      <c r="O849" s="30" t="str">
        <f>HYPERLINK("http://www.immaculata.edu/FinAid/SandG/Academic","http://www.immaculata.edu/FinAid/SandG/Academic")</f>
        <v>http://www.immaculata.edu/FinAid/SandG/Academic</v>
      </c>
      <c r="P849" s="33">
        <v>35210</v>
      </c>
      <c r="Q849" s="25">
        <v>0.79</v>
      </c>
      <c r="R849" s="14" t="s">
        <v>800</v>
      </c>
      <c r="S849" s="14" t="s">
        <v>2653</v>
      </c>
      <c r="T849" s="12"/>
      <c r="U849" s="12">
        <v>3.26</v>
      </c>
      <c r="V849" s="12"/>
      <c r="W849" s="12"/>
      <c r="X849" s="12"/>
      <c r="Y849" s="12"/>
      <c r="Z849" s="12"/>
      <c r="AA849" s="12"/>
    </row>
    <row r="850" spans="1:27" ht="252.75" customHeight="1" x14ac:dyDescent="0.2">
      <c r="A850" s="23" t="s">
        <v>2591</v>
      </c>
      <c r="B850" s="14" t="s">
        <v>2654</v>
      </c>
      <c r="C850" s="14" t="s">
        <v>101</v>
      </c>
      <c r="D850" s="12"/>
      <c r="E850" s="14" t="s">
        <v>60</v>
      </c>
      <c r="F850" s="14" t="s">
        <v>72</v>
      </c>
      <c r="G850" s="12"/>
      <c r="H850" s="17" t="s">
        <v>239</v>
      </c>
      <c r="I850" s="17" t="s">
        <v>74</v>
      </c>
      <c r="J850" s="16" t="s">
        <v>2655</v>
      </c>
      <c r="K850" s="24"/>
      <c r="L850" s="24"/>
      <c r="M850" s="14"/>
      <c r="N850" s="24"/>
      <c r="O850" s="30" t="str">
        <f>HYPERLINK("https://www.keystone.edu/admissions/tuition-aid/scholarships/","https://www.keystone.edu/admissions/tuition-aid/scholarships/")</f>
        <v>https://www.keystone.edu/admissions/tuition-aid/scholarships/</v>
      </c>
      <c r="P850" s="33">
        <v>25548</v>
      </c>
      <c r="Q850" s="25">
        <v>0.92</v>
      </c>
      <c r="R850" s="14" t="s">
        <v>155</v>
      </c>
      <c r="S850" s="14" t="s">
        <v>2656</v>
      </c>
      <c r="T850" s="12"/>
      <c r="U850" s="12">
        <v>2.98</v>
      </c>
      <c r="V850" s="12"/>
      <c r="W850" s="12"/>
      <c r="X850" s="12"/>
      <c r="Y850" s="12"/>
      <c r="Z850" s="12"/>
      <c r="AA850" s="12"/>
    </row>
    <row r="851" spans="1:27" ht="237" customHeight="1" x14ac:dyDescent="0.2">
      <c r="A851" s="20" t="s">
        <v>2591</v>
      </c>
      <c r="B851" s="20" t="s">
        <v>2657</v>
      </c>
      <c r="C851" s="20" t="s">
        <v>59</v>
      </c>
      <c r="D851" s="20" t="s">
        <v>74</v>
      </c>
      <c r="E851" s="20" t="s">
        <v>60</v>
      </c>
      <c r="F851" s="20" t="s">
        <v>72</v>
      </c>
      <c r="G851" s="12"/>
      <c r="H851" s="17" t="s">
        <v>2658</v>
      </c>
      <c r="I851" s="17"/>
      <c r="J851" s="131" t="s">
        <v>2659</v>
      </c>
      <c r="K851" s="20"/>
      <c r="L851" s="142">
        <v>1000</v>
      </c>
      <c r="M851" s="20"/>
      <c r="N851" s="20"/>
      <c r="O851" s="133" t="s">
        <v>2660</v>
      </c>
      <c r="P851" s="169" t="s">
        <v>2661</v>
      </c>
      <c r="Q851" s="144">
        <v>0.88</v>
      </c>
      <c r="R851" s="131" t="s">
        <v>148</v>
      </c>
      <c r="S851" s="22" t="s">
        <v>2662</v>
      </c>
      <c r="T851" s="12"/>
      <c r="U851" s="12"/>
      <c r="V851" s="12"/>
      <c r="W851" s="12"/>
      <c r="X851" s="12"/>
      <c r="Y851" s="12"/>
      <c r="Z851" s="12"/>
      <c r="AA851" s="12"/>
    </row>
    <row r="852" spans="1:27" ht="237" customHeight="1" x14ac:dyDescent="0.2">
      <c r="A852" s="23" t="s">
        <v>2591</v>
      </c>
      <c r="B852" s="14" t="s">
        <v>2663</v>
      </c>
      <c r="C852" s="14" t="s">
        <v>101</v>
      </c>
      <c r="D852" s="12"/>
      <c r="E852" s="14" t="s">
        <v>88</v>
      </c>
      <c r="F852" s="14" t="s">
        <v>145</v>
      </c>
      <c r="G852" s="12"/>
      <c r="H852" s="17" t="s">
        <v>157</v>
      </c>
      <c r="I852" s="17" t="s">
        <v>74</v>
      </c>
      <c r="J852" s="14" t="s">
        <v>2664</v>
      </c>
      <c r="K852" s="12"/>
      <c r="L852" s="12"/>
      <c r="M852" s="12"/>
      <c r="N852" s="12"/>
      <c r="O852" s="30" t="str">
        <f t="shared" ref="O852:O853" si="123">HYPERLINK("http://www.kings.edu/admissions/financial_aid/scholarships_and_fa_programs/scholarships","http://www.kings.edu/admissions/financial_aid/scholarships_and_fa_programs/scholarships")</f>
        <v>http://www.kings.edu/admissions/financial_aid/scholarships_and_fa_programs/scholarships</v>
      </c>
      <c r="P852" s="33">
        <v>34720</v>
      </c>
      <c r="Q852" s="93">
        <v>0.72</v>
      </c>
      <c r="R852" s="23" t="s">
        <v>120</v>
      </c>
      <c r="S852" s="14" t="s">
        <v>2665</v>
      </c>
      <c r="T852" s="12"/>
      <c r="U852" s="12">
        <v>3.4</v>
      </c>
      <c r="V852" s="12"/>
      <c r="W852" s="12"/>
      <c r="X852" s="12"/>
      <c r="Y852" s="12"/>
      <c r="Z852" s="12"/>
      <c r="AA852" s="12"/>
    </row>
    <row r="853" spans="1:27" ht="252.75" customHeight="1" x14ac:dyDescent="0.2">
      <c r="A853" s="23" t="s">
        <v>2591</v>
      </c>
      <c r="B853" s="14" t="s">
        <v>2663</v>
      </c>
      <c r="C853" s="14" t="s">
        <v>101</v>
      </c>
      <c r="D853" s="12"/>
      <c r="E853" s="14" t="s">
        <v>177</v>
      </c>
      <c r="F853" s="14" t="s">
        <v>72</v>
      </c>
      <c r="G853" s="12"/>
      <c r="H853" s="17" t="s">
        <v>2666</v>
      </c>
      <c r="I853" s="17" t="s">
        <v>74</v>
      </c>
      <c r="J853" s="16" t="s">
        <v>2667</v>
      </c>
      <c r="K853" s="24">
        <v>28</v>
      </c>
      <c r="L853" s="18">
        <v>1310</v>
      </c>
      <c r="M853" s="16" t="s">
        <v>76</v>
      </c>
      <c r="N853" s="24"/>
      <c r="O853" s="30" t="str">
        <f t="shared" si="123"/>
        <v>http://www.kings.edu/admissions/financial_aid/scholarships_and_fa_programs/scholarships</v>
      </c>
      <c r="P853" s="33">
        <v>34720</v>
      </c>
      <c r="Q853" s="93">
        <v>0.72</v>
      </c>
      <c r="R853" s="23" t="s">
        <v>120</v>
      </c>
      <c r="S853" s="14" t="s">
        <v>2665</v>
      </c>
      <c r="T853" s="12"/>
      <c r="U853" s="12">
        <v>3.4</v>
      </c>
      <c r="V853" s="12"/>
      <c r="W853" s="12"/>
      <c r="X853" s="12"/>
      <c r="Y853" s="12"/>
      <c r="Z853" s="12"/>
      <c r="AA853" s="12"/>
    </row>
    <row r="854" spans="1:27" ht="229" x14ac:dyDescent="0.2">
      <c r="A854" s="23" t="s">
        <v>2591</v>
      </c>
      <c r="B854" s="14" t="s">
        <v>2668</v>
      </c>
      <c r="C854" s="14" t="s">
        <v>101</v>
      </c>
      <c r="D854" s="12"/>
      <c r="E854" s="14" t="s">
        <v>177</v>
      </c>
      <c r="F854" s="14" t="s">
        <v>72</v>
      </c>
      <c r="G854" s="12"/>
      <c r="H854" s="17" t="s">
        <v>2593</v>
      </c>
      <c r="I854" s="17" t="s">
        <v>74</v>
      </c>
      <c r="J854" s="122" t="s">
        <v>2669</v>
      </c>
      <c r="K854" s="24">
        <v>29</v>
      </c>
      <c r="L854" s="18">
        <v>1360</v>
      </c>
      <c r="M854" s="16" t="s">
        <v>76</v>
      </c>
      <c r="N854" s="12"/>
      <c r="O854" s="30" t="str">
        <f>HYPERLINK("http://www.lasalle.edu/financialaid/scholarships/christian-brothers-scholarship/","http://www.lasalle.edu/financialaid/scholarships/christian-brothers-scholarship/")</f>
        <v>http://www.lasalle.edu/financialaid/scholarships/christian-brothers-scholarship/</v>
      </c>
      <c r="P854" s="33">
        <v>41100</v>
      </c>
      <c r="Q854" s="93">
        <v>0.75</v>
      </c>
      <c r="R854" s="23" t="s">
        <v>550</v>
      </c>
      <c r="S854" s="14" t="s">
        <v>2670</v>
      </c>
      <c r="T854" s="12"/>
      <c r="U854" s="12">
        <v>3.35</v>
      </c>
      <c r="V854" s="12"/>
      <c r="W854" s="12"/>
      <c r="X854" s="12"/>
      <c r="Y854" s="12"/>
      <c r="Z854" s="12"/>
      <c r="AA854" s="12"/>
    </row>
    <row r="855" spans="1:27" ht="147.75" customHeight="1" x14ac:dyDescent="0.2">
      <c r="A855" s="11" t="s">
        <v>2591</v>
      </c>
      <c r="B855" s="12" t="s">
        <v>2671</v>
      </c>
      <c r="C855" s="26" t="s">
        <v>101</v>
      </c>
      <c r="D855" s="26"/>
      <c r="E855" s="12" t="s">
        <v>2541</v>
      </c>
      <c r="F855" s="11" t="s">
        <v>72</v>
      </c>
      <c r="G855" s="12"/>
      <c r="H855" s="17" t="s">
        <v>2672</v>
      </c>
      <c r="I855" s="17">
        <v>20</v>
      </c>
      <c r="J855" s="81" t="s">
        <v>2673</v>
      </c>
      <c r="K855" s="12"/>
      <c r="L855" s="12"/>
      <c r="M855" s="12"/>
      <c r="N855" s="12"/>
      <c r="O855" s="30" t="str">
        <f>HYPERLINK("https://admissions.lafayette.edu/financial-aid/types-of-aid/lafayette-scholarships/","https://admissions.lafayette.edu/financial-aid/types-of-aid/lafayette-scholarships/")</f>
        <v>https://admissions.lafayette.edu/financial-aid/types-of-aid/lafayette-scholarships/</v>
      </c>
      <c r="P855" s="38">
        <v>48885</v>
      </c>
      <c r="Q855" s="31">
        <v>0.28199999999999997</v>
      </c>
      <c r="R855" s="26" t="s">
        <v>616</v>
      </c>
      <c r="S855" s="26" t="s">
        <v>2674</v>
      </c>
      <c r="T855" s="12"/>
      <c r="U855" s="12">
        <v>3.5</v>
      </c>
      <c r="V855" s="12"/>
      <c r="W855" s="12"/>
      <c r="X855" s="12"/>
      <c r="Y855" s="12"/>
      <c r="Z855" s="12"/>
      <c r="AA855" s="12"/>
    </row>
    <row r="856" spans="1:27" ht="111" customHeight="1" x14ac:dyDescent="0.2">
      <c r="A856" s="23" t="s">
        <v>2591</v>
      </c>
      <c r="B856" s="14" t="s">
        <v>2675</v>
      </c>
      <c r="C856" s="14" t="s">
        <v>101</v>
      </c>
      <c r="D856" s="12"/>
      <c r="E856" s="14" t="s">
        <v>60</v>
      </c>
      <c r="F856" s="14" t="s">
        <v>72</v>
      </c>
      <c r="G856" s="12"/>
      <c r="H856" s="17" t="s">
        <v>239</v>
      </c>
      <c r="I856" s="17" t="s">
        <v>74</v>
      </c>
      <c r="J856" s="14" t="s">
        <v>2676</v>
      </c>
      <c r="K856" s="12"/>
      <c r="L856" s="12"/>
      <c r="M856" s="12"/>
      <c r="N856" s="12"/>
      <c r="O856" s="30" t="str">
        <f>HYPERLINK("http://www.lvc.edu/financial-aid/allwein-scholarship.aspx","http://www.lvc.edu/financial-aid/allwein-scholarship.aspx")</f>
        <v>http://www.lvc.edu/financial-aid/allwein-scholarship.aspx</v>
      </c>
      <c r="P856" s="33">
        <v>40550</v>
      </c>
      <c r="Q856" s="25">
        <v>0.72</v>
      </c>
      <c r="R856" s="14" t="s">
        <v>130</v>
      </c>
      <c r="S856" s="14" t="s">
        <v>2677</v>
      </c>
      <c r="T856" s="12"/>
      <c r="U856" s="12" t="s">
        <v>81</v>
      </c>
      <c r="V856" s="12"/>
      <c r="W856" s="12"/>
      <c r="X856" s="12"/>
      <c r="Y856" s="12"/>
      <c r="Z856" s="12"/>
      <c r="AA856" s="12"/>
    </row>
    <row r="857" spans="1:27" ht="147.75" customHeight="1" x14ac:dyDescent="0.2">
      <c r="A857" s="11" t="s">
        <v>2591</v>
      </c>
      <c r="B857" s="12" t="s">
        <v>2678</v>
      </c>
      <c r="C857" s="26" t="s">
        <v>101</v>
      </c>
      <c r="D857" s="12"/>
      <c r="E857" s="12" t="s">
        <v>243</v>
      </c>
      <c r="F857" s="11" t="s">
        <v>72</v>
      </c>
      <c r="G857" s="12"/>
      <c r="H857" s="17" t="s">
        <v>239</v>
      </c>
      <c r="I857" s="17" t="s">
        <v>74</v>
      </c>
      <c r="J857" s="14" t="s">
        <v>2679</v>
      </c>
      <c r="K857" s="12"/>
      <c r="L857" s="12"/>
      <c r="M857" s="12"/>
      <c r="N857" s="12"/>
      <c r="O857" s="19" t="s">
        <v>2680</v>
      </c>
      <c r="P857" s="38">
        <v>48320</v>
      </c>
      <c r="Q857" s="31">
        <v>0.3</v>
      </c>
      <c r="R857" s="26" t="s">
        <v>1357</v>
      </c>
      <c r="S857" s="26" t="s">
        <v>2681</v>
      </c>
      <c r="T857" s="12"/>
      <c r="U857" s="12" t="s">
        <v>81</v>
      </c>
      <c r="V857" s="12"/>
      <c r="W857" s="12"/>
      <c r="X857" s="12"/>
      <c r="Y857" s="12"/>
      <c r="Z857" s="12"/>
      <c r="AA857" s="12"/>
    </row>
    <row r="858" spans="1:27" ht="189.75" customHeight="1" x14ac:dyDescent="0.2">
      <c r="A858" s="23" t="s">
        <v>2591</v>
      </c>
      <c r="B858" s="14" t="s">
        <v>2682</v>
      </c>
      <c r="C858" s="14" t="s">
        <v>101</v>
      </c>
      <c r="D858" s="12"/>
      <c r="E858" s="14" t="s">
        <v>60</v>
      </c>
      <c r="F858" s="14" t="s">
        <v>72</v>
      </c>
      <c r="G858" s="12"/>
      <c r="H858" s="17" t="s">
        <v>2683</v>
      </c>
      <c r="I858" s="17" t="s">
        <v>74</v>
      </c>
      <c r="J858" s="14" t="s">
        <v>2684</v>
      </c>
      <c r="K858" s="24"/>
      <c r="L858" s="24"/>
      <c r="M858" s="14"/>
      <c r="N858" s="24"/>
      <c r="O858" s="30" t="str">
        <f t="shared" ref="O858:O859" si="124">HYPERLINK("http://www.messiah.edu/info/21388/merit-based_assistance","http://www.messiah.edu/info/21388/merit-based_assistance")</f>
        <v>http://www.messiah.edu/info/21388/merit-based_assistance</v>
      </c>
      <c r="P858" s="33">
        <v>33180</v>
      </c>
      <c r="Q858" s="58">
        <v>0.79</v>
      </c>
      <c r="R858" s="14" t="s">
        <v>364</v>
      </c>
      <c r="S858" s="14" t="s">
        <v>2685</v>
      </c>
      <c r="T858" s="12"/>
      <c r="U858" s="12">
        <v>3.71</v>
      </c>
      <c r="V858" s="12"/>
      <c r="W858" s="12"/>
      <c r="X858" s="12"/>
      <c r="Y858" s="12"/>
      <c r="Z858" s="12"/>
      <c r="AA858" s="12"/>
    </row>
    <row r="859" spans="1:27" ht="111" customHeight="1" x14ac:dyDescent="0.2">
      <c r="A859" s="23" t="s">
        <v>2591</v>
      </c>
      <c r="B859" s="14" t="s">
        <v>2682</v>
      </c>
      <c r="C859" s="14" t="s">
        <v>101</v>
      </c>
      <c r="D859" s="12"/>
      <c r="E859" s="14" t="s">
        <v>60</v>
      </c>
      <c r="F859" s="14" t="s">
        <v>72</v>
      </c>
      <c r="G859" s="12"/>
      <c r="H859" s="17" t="s">
        <v>950</v>
      </c>
      <c r="I859" s="17">
        <v>5</v>
      </c>
      <c r="J859" s="14" t="s">
        <v>2686</v>
      </c>
      <c r="K859" s="18">
        <v>29</v>
      </c>
      <c r="L859" s="18">
        <v>1360</v>
      </c>
      <c r="M859" s="16" t="s">
        <v>76</v>
      </c>
      <c r="N859" s="17">
        <v>3.9</v>
      </c>
      <c r="O859" s="30" t="str">
        <f t="shared" si="124"/>
        <v>http://www.messiah.edu/info/21388/merit-based_assistance</v>
      </c>
      <c r="P859" s="33">
        <v>33180</v>
      </c>
      <c r="Q859" s="58">
        <v>0.79</v>
      </c>
      <c r="R859" s="14" t="s">
        <v>364</v>
      </c>
      <c r="S859" s="14" t="s">
        <v>2685</v>
      </c>
      <c r="T859" s="12"/>
      <c r="U859" s="12">
        <v>3.71</v>
      </c>
      <c r="V859" s="12"/>
      <c r="W859" s="12"/>
      <c r="X859" s="12"/>
      <c r="Y859" s="12"/>
      <c r="Z859" s="12"/>
      <c r="AA859" s="12"/>
    </row>
    <row r="860" spans="1:27" ht="158.25" customHeight="1" x14ac:dyDescent="0.2">
      <c r="A860" s="23" t="s">
        <v>2591</v>
      </c>
      <c r="B860" s="14" t="s">
        <v>2687</v>
      </c>
      <c r="C860" s="14" t="s">
        <v>59</v>
      </c>
      <c r="D860" s="14"/>
      <c r="E860" s="14" t="s">
        <v>789</v>
      </c>
      <c r="F860" s="14" t="s">
        <v>145</v>
      </c>
      <c r="G860" s="12"/>
      <c r="H860" s="17" t="s">
        <v>157</v>
      </c>
      <c r="I860" s="17" t="s">
        <v>74</v>
      </c>
      <c r="J860" s="14" t="s">
        <v>2688</v>
      </c>
      <c r="K860" s="12"/>
      <c r="L860" s="12"/>
      <c r="M860" s="12"/>
      <c r="N860" s="12"/>
      <c r="O860" s="30" t="str">
        <f>HYPERLINK("https://www.afrotc.com/scholarships","https://www.afrotc.com/scholarships")</f>
        <v>https://www.afrotc.com/scholarships</v>
      </c>
      <c r="P860" s="14" t="s">
        <v>2689</v>
      </c>
      <c r="Q860" s="25">
        <v>0.51</v>
      </c>
      <c r="R860" s="14" t="s">
        <v>638</v>
      </c>
      <c r="S860" s="14" t="s">
        <v>2690</v>
      </c>
      <c r="T860" s="12"/>
      <c r="U860" s="12">
        <v>3.6</v>
      </c>
      <c r="V860" s="12"/>
      <c r="W860" s="12"/>
      <c r="X860" s="12"/>
      <c r="Y860" s="12"/>
      <c r="Z860" s="12"/>
      <c r="AA860" s="12"/>
    </row>
    <row r="861" spans="1:27" ht="205.5" customHeight="1" x14ac:dyDescent="0.2">
      <c r="A861" s="23" t="s">
        <v>2591</v>
      </c>
      <c r="B861" s="14" t="s">
        <v>2687</v>
      </c>
      <c r="C861" s="14" t="s">
        <v>59</v>
      </c>
      <c r="D861" s="14"/>
      <c r="E861" s="14" t="s">
        <v>583</v>
      </c>
      <c r="F861" s="14" t="s">
        <v>145</v>
      </c>
      <c r="G861" s="12"/>
      <c r="H861" s="17" t="s">
        <v>157</v>
      </c>
      <c r="I861" s="17" t="s">
        <v>74</v>
      </c>
      <c r="J861" s="14" t="s">
        <v>2691</v>
      </c>
      <c r="K861" s="12"/>
      <c r="L861" s="12"/>
      <c r="M861" s="12"/>
      <c r="N861" s="12"/>
      <c r="O861" s="30" t="str">
        <f>HYPERLINK("http://nrotc.psu.edu/?s=scholarship","http://nrotc.psu.edu/?s=scholarship")</f>
        <v>http://nrotc.psu.edu/?s=scholarship</v>
      </c>
      <c r="P861" s="14" t="s">
        <v>2689</v>
      </c>
      <c r="Q861" s="25">
        <v>0.51</v>
      </c>
      <c r="R861" s="14" t="s">
        <v>638</v>
      </c>
      <c r="S861" s="14" t="s">
        <v>2690</v>
      </c>
      <c r="T861" s="12"/>
      <c r="U861" s="12">
        <v>3.6</v>
      </c>
      <c r="V861" s="12"/>
      <c r="W861" s="12"/>
      <c r="X861" s="12"/>
      <c r="Y861" s="12"/>
      <c r="Z861" s="12"/>
      <c r="AA861" s="12"/>
    </row>
    <row r="862" spans="1:27" ht="95.25" customHeight="1" x14ac:dyDescent="0.2">
      <c r="A862" s="109" t="s">
        <v>2591</v>
      </c>
      <c r="B862" s="110" t="s">
        <v>2692</v>
      </c>
      <c r="C862" s="110" t="s">
        <v>101</v>
      </c>
      <c r="D862" s="112"/>
      <c r="E862" s="110" t="s">
        <v>177</v>
      </c>
      <c r="F862" s="110" t="s">
        <v>72</v>
      </c>
      <c r="G862" s="110" t="s">
        <v>186</v>
      </c>
      <c r="H862" s="128" t="s">
        <v>239</v>
      </c>
      <c r="I862" s="128" t="s">
        <v>74</v>
      </c>
      <c r="J862" s="110" t="s">
        <v>2693</v>
      </c>
      <c r="K862" s="112"/>
      <c r="L862" s="112"/>
      <c r="M862" s="112"/>
      <c r="N862" s="112"/>
      <c r="O862" s="113" t="str">
        <f>HYPERLINK("http://rmu.edu/FinancialAid/TypesofFinancialAid/InstitutionalScholarships","http://rmu.edu/FinancialAid/TypesofFinancialAid/InstitutionalScholarships")</f>
        <v>http://rmu.edu/FinancialAid/TypesofFinancialAid/InstitutionalScholarships</v>
      </c>
      <c r="P862" s="124">
        <v>28250</v>
      </c>
      <c r="Q862" s="174">
        <v>0.78</v>
      </c>
      <c r="R862" s="109" t="s">
        <v>126</v>
      </c>
      <c r="S862" s="110" t="s">
        <v>2694</v>
      </c>
      <c r="T862" s="112"/>
      <c r="U862" s="112">
        <v>3.48</v>
      </c>
      <c r="V862" s="112"/>
      <c r="W862" s="112"/>
      <c r="X862" s="112"/>
      <c r="Y862" s="112"/>
      <c r="Z862" s="112"/>
      <c r="AA862" s="112"/>
    </row>
    <row r="863" spans="1:27" ht="174" customHeight="1" x14ac:dyDescent="0.2">
      <c r="A863" s="23" t="s">
        <v>2591</v>
      </c>
      <c r="B863" s="14" t="s">
        <v>2695</v>
      </c>
      <c r="C863" s="14" t="s">
        <v>101</v>
      </c>
      <c r="D863" s="12"/>
      <c r="E863" s="14" t="s">
        <v>177</v>
      </c>
      <c r="F863" s="14" t="s">
        <v>72</v>
      </c>
      <c r="G863" s="12"/>
      <c r="H863" s="17" t="s">
        <v>2696</v>
      </c>
      <c r="I863" s="17">
        <v>2</v>
      </c>
      <c r="J863" s="14" t="s">
        <v>2697</v>
      </c>
      <c r="K863" s="12"/>
      <c r="L863" s="12"/>
      <c r="M863" s="12"/>
      <c r="N863" s="12"/>
      <c r="O863" s="30" t="str">
        <f>HYPERLINK("http://www.rosemont.edu/admissions/tuition-and-aid/financial-aid/undergraduate/scholarships.php","http://www.rosemont.edu/admissions/tuition-and-aid/financial-aid/undergraduate/scholarships.php")</f>
        <v>http://www.rosemont.edu/admissions/tuition-and-aid/financial-aid/undergraduate/scholarships.php</v>
      </c>
      <c r="P863" s="33">
        <v>19480</v>
      </c>
      <c r="Q863" s="93">
        <v>0.71</v>
      </c>
      <c r="R863" s="23" t="s">
        <v>1450</v>
      </c>
      <c r="S863" s="14" t="s">
        <v>2698</v>
      </c>
      <c r="T863" s="12"/>
      <c r="U863" s="12">
        <v>3.4</v>
      </c>
      <c r="V863" s="12"/>
      <c r="W863" s="12"/>
      <c r="X863" s="12"/>
      <c r="Y863" s="12"/>
      <c r="Z863" s="12"/>
      <c r="AA863" s="12"/>
    </row>
    <row r="864" spans="1:27" ht="221.25" customHeight="1" x14ac:dyDescent="0.2">
      <c r="A864" s="109" t="s">
        <v>2591</v>
      </c>
      <c r="B864" s="110" t="s">
        <v>2699</v>
      </c>
      <c r="C864" s="110" t="s">
        <v>101</v>
      </c>
      <c r="D864" s="112"/>
      <c r="E864" s="110" t="s">
        <v>2700</v>
      </c>
      <c r="F864" s="110" t="s">
        <v>72</v>
      </c>
      <c r="G864" s="112"/>
      <c r="H864" s="117" t="s">
        <v>2701</v>
      </c>
      <c r="I864" s="117" t="s">
        <v>74</v>
      </c>
      <c r="J864" s="110" t="s">
        <v>2702</v>
      </c>
      <c r="K864" s="119">
        <v>21</v>
      </c>
      <c r="L864" s="120">
        <v>1080</v>
      </c>
      <c r="M864" s="128" t="s">
        <v>76</v>
      </c>
      <c r="N864" s="119">
        <v>3.5</v>
      </c>
      <c r="O864" s="121" t="s">
        <v>2703</v>
      </c>
      <c r="P864" s="124">
        <v>33814</v>
      </c>
      <c r="Q864" s="114">
        <v>0.7</v>
      </c>
      <c r="R864" s="126" t="s">
        <v>126</v>
      </c>
      <c r="S864" s="126" t="s">
        <v>2704</v>
      </c>
      <c r="T864" s="112"/>
      <c r="U864" s="112">
        <v>3.46</v>
      </c>
      <c r="V864" s="112"/>
      <c r="W864" s="112"/>
      <c r="X864" s="112"/>
      <c r="Y864" s="112"/>
      <c r="Z864" s="112"/>
      <c r="AA864" s="112"/>
    </row>
    <row r="865" spans="1:27" ht="336" x14ac:dyDescent="0.2">
      <c r="A865" s="23" t="s">
        <v>2591</v>
      </c>
      <c r="B865" s="14" t="s">
        <v>2705</v>
      </c>
      <c r="C865" s="14" t="s">
        <v>101</v>
      </c>
      <c r="D865" s="12"/>
      <c r="E865" s="14" t="s">
        <v>60</v>
      </c>
      <c r="F865" s="14" t="s">
        <v>72</v>
      </c>
      <c r="G865" s="12"/>
      <c r="H865" s="17" t="s">
        <v>239</v>
      </c>
      <c r="I865" s="17" t="s">
        <v>74</v>
      </c>
      <c r="J865" s="14" t="s">
        <v>2706</v>
      </c>
      <c r="K865" s="12"/>
      <c r="L865" s="12"/>
      <c r="M865" s="12"/>
      <c r="N865" s="12"/>
      <c r="O865" s="30" t="str">
        <f>HYPERLINK("https://www.setonhill.edu/admissions/tuition-financial-aid/undergraduate-programs/financial-aid/scholarships/","https://www.setonhill.edu/admissions/tuition-financial-aid/undergraduate-programs/financial-aid/scholarships/")</f>
        <v>https://www.setonhill.edu/admissions/tuition-financial-aid/undergraduate-programs/financial-aid/scholarships/</v>
      </c>
      <c r="P865" s="33">
        <v>33520</v>
      </c>
      <c r="Q865" s="25">
        <v>0.76</v>
      </c>
      <c r="R865" s="14" t="s">
        <v>973</v>
      </c>
      <c r="S865" s="14" t="s">
        <v>2707</v>
      </c>
      <c r="T865" s="12"/>
      <c r="U865" s="12">
        <v>3.62</v>
      </c>
      <c r="V865" s="12"/>
      <c r="W865" s="12"/>
      <c r="X865" s="12"/>
      <c r="Y865" s="12"/>
      <c r="Z865" s="12"/>
      <c r="AA865" s="12"/>
    </row>
    <row r="866" spans="1:27" ht="111" customHeight="1" x14ac:dyDescent="0.2">
      <c r="A866" s="23" t="s">
        <v>2591</v>
      </c>
      <c r="B866" s="14" t="s">
        <v>2705</v>
      </c>
      <c r="C866" s="14" t="s">
        <v>101</v>
      </c>
      <c r="D866" s="26"/>
      <c r="E866" s="12" t="s">
        <v>243</v>
      </c>
      <c r="F866" s="12" t="s">
        <v>461</v>
      </c>
      <c r="G866" s="12"/>
      <c r="H866" s="17" t="s">
        <v>2497</v>
      </c>
      <c r="I866" s="17" t="s">
        <v>74</v>
      </c>
      <c r="J866" s="14" t="s">
        <v>2708</v>
      </c>
      <c r="K866" s="12"/>
      <c r="L866" s="12"/>
      <c r="M866" s="12"/>
      <c r="N866" s="12"/>
      <c r="O866" s="30" t="str">
        <f>HYPERLINK("https://www.setonhill.edu/admissions/tuition-financial-aid/undergraduate-programs/financial-aid/scholarships/art-program-scholarships/","https://www.setonhill.edu/admissions/tuition-financial-aid/undergraduate-programs/financial-aid/scholarships/art-program-scholarships/")</f>
        <v>https://www.setonhill.edu/admissions/tuition-financial-aid/undergraduate-programs/financial-aid/scholarships/art-program-scholarships/</v>
      </c>
      <c r="P866" s="33">
        <v>33520</v>
      </c>
      <c r="Q866" s="25">
        <v>0.76</v>
      </c>
      <c r="R866" s="14" t="s">
        <v>973</v>
      </c>
      <c r="S866" s="14" t="s">
        <v>2707</v>
      </c>
      <c r="T866" s="12"/>
      <c r="U866" s="12">
        <v>3.62</v>
      </c>
      <c r="V866" s="12"/>
      <c r="W866" s="12"/>
      <c r="X866" s="12"/>
      <c r="Y866" s="12"/>
      <c r="Z866" s="12"/>
      <c r="AA866" s="12"/>
    </row>
    <row r="867" spans="1:27" ht="111" customHeight="1" x14ac:dyDescent="0.2">
      <c r="A867" s="23" t="s">
        <v>2591</v>
      </c>
      <c r="B867" s="14" t="s">
        <v>2705</v>
      </c>
      <c r="C867" s="14" t="s">
        <v>101</v>
      </c>
      <c r="D867" s="26"/>
      <c r="E867" s="12" t="s">
        <v>243</v>
      </c>
      <c r="F867" s="12" t="s">
        <v>461</v>
      </c>
      <c r="G867" s="12"/>
      <c r="H867" s="17" t="s">
        <v>2486</v>
      </c>
      <c r="I867" s="17" t="s">
        <v>74</v>
      </c>
      <c r="J867" s="14" t="s">
        <v>2709</v>
      </c>
      <c r="K867" s="12"/>
      <c r="L867" s="12"/>
      <c r="M867" s="12"/>
      <c r="N867" s="12"/>
      <c r="O867" s="30" t="str">
        <f>HYPERLINK("https://www.setonhill.edu/admissions/tuition-financial-aid/undergraduate-programs/financial-aid/scholarships/music-program-scholarships/","https://www.setonhill.edu/admissions/tuition-financial-aid/undergraduate-programs/financial-aid/scholarships/music-program-scholarships/")</f>
        <v>https://www.setonhill.edu/admissions/tuition-financial-aid/undergraduate-programs/financial-aid/scholarships/music-program-scholarships/</v>
      </c>
      <c r="P867" s="33">
        <v>33520</v>
      </c>
      <c r="Q867" s="25">
        <v>0.76</v>
      </c>
      <c r="R867" s="14" t="s">
        <v>973</v>
      </c>
      <c r="S867" s="14" t="s">
        <v>2707</v>
      </c>
      <c r="T867" s="12"/>
      <c r="U867" s="12">
        <v>3.62</v>
      </c>
      <c r="V867" s="12"/>
      <c r="W867" s="12"/>
      <c r="X867" s="12"/>
      <c r="Y867" s="12"/>
      <c r="Z867" s="12"/>
      <c r="AA867" s="12"/>
    </row>
    <row r="868" spans="1:27" ht="111" customHeight="1" x14ac:dyDescent="0.2">
      <c r="A868" s="23" t="s">
        <v>2591</v>
      </c>
      <c r="B868" s="14" t="s">
        <v>2705</v>
      </c>
      <c r="C868" s="14" t="s">
        <v>101</v>
      </c>
      <c r="D868" s="26"/>
      <c r="E868" s="12" t="s">
        <v>243</v>
      </c>
      <c r="F868" s="12" t="s">
        <v>461</v>
      </c>
      <c r="G868" s="12"/>
      <c r="H868" s="17" t="s">
        <v>2710</v>
      </c>
      <c r="I868" s="17" t="s">
        <v>74</v>
      </c>
      <c r="J868" s="14" t="s">
        <v>2711</v>
      </c>
      <c r="K868" s="12"/>
      <c r="L868" s="12"/>
      <c r="M868" s="12"/>
      <c r="N868" s="12"/>
      <c r="O868" s="30" t="str">
        <f>HYPERLINK("https://www.setonhill.edu/admissions/tuition-financial-aid/undergraduate-programs/financial-aid/scholarships/theatre-program-scholarships/","https://www.setonhill.edu/admissions/tuition-financial-aid/undergraduate-programs/financial-aid/scholarships/theatre-program-scholarships/")</f>
        <v>https://www.setonhill.edu/admissions/tuition-financial-aid/undergraduate-programs/financial-aid/scholarships/theatre-program-scholarships/</v>
      </c>
      <c r="P868" s="33">
        <v>33520</v>
      </c>
      <c r="Q868" s="25">
        <v>0.76</v>
      </c>
      <c r="R868" s="14" t="s">
        <v>973</v>
      </c>
      <c r="S868" s="14" t="s">
        <v>2707</v>
      </c>
      <c r="T868" s="12"/>
      <c r="U868" s="12">
        <v>3.62</v>
      </c>
      <c r="V868" s="12"/>
      <c r="W868" s="12"/>
      <c r="X868" s="12"/>
      <c r="Y868" s="12"/>
      <c r="Z868" s="12"/>
      <c r="AA868" s="12"/>
    </row>
    <row r="869" spans="1:27" ht="78" customHeight="1" x14ac:dyDescent="0.2">
      <c r="A869" s="11" t="s">
        <v>2591</v>
      </c>
      <c r="B869" s="12" t="s">
        <v>2712</v>
      </c>
      <c r="C869" s="26" t="s">
        <v>59</v>
      </c>
      <c r="D869" s="26" t="s">
        <v>98</v>
      </c>
      <c r="E869" s="12" t="s">
        <v>60</v>
      </c>
      <c r="F869" s="12" t="s">
        <v>313</v>
      </c>
      <c r="G869" s="12"/>
      <c r="H869" s="17" t="s">
        <v>1978</v>
      </c>
      <c r="I869" s="17" t="s">
        <v>63</v>
      </c>
      <c r="J869" s="14" t="s">
        <v>2713</v>
      </c>
      <c r="K869" s="12"/>
      <c r="L869" s="12"/>
      <c r="M869" s="12"/>
      <c r="N869" s="12"/>
      <c r="O869" s="30" t="str">
        <f>HYPERLINK("http://www.ship.edu/WorkArea/linkit.aspx?LinkIdentifier=id&amp;ItemID=200187","http://www.ship.edu/WorkArea/linkit.aspx?LinkIdentifier=id&amp;ItemID=200187")</f>
        <v>http://www.ship.edu/WorkArea/linkit.aspx?LinkIdentifier=id&amp;ItemID=200187</v>
      </c>
      <c r="P869" s="26" t="s">
        <v>2714</v>
      </c>
      <c r="Q869" s="31">
        <v>0.89</v>
      </c>
      <c r="R869" s="26" t="s">
        <v>550</v>
      </c>
      <c r="S869" s="26" t="s">
        <v>2715</v>
      </c>
      <c r="T869" s="12"/>
      <c r="U869" s="12">
        <v>3.2</v>
      </c>
      <c r="V869" s="12"/>
      <c r="W869" s="12"/>
      <c r="X869" s="12"/>
      <c r="Y869" s="12"/>
      <c r="Z869" s="12"/>
      <c r="AA869" s="12"/>
    </row>
    <row r="870" spans="1:27" ht="193" x14ac:dyDescent="0.2">
      <c r="A870" s="23" t="s">
        <v>2591</v>
      </c>
      <c r="B870" s="14" t="s">
        <v>2716</v>
      </c>
      <c r="C870" s="14" t="s">
        <v>59</v>
      </c>
      <c r="D870" s="14" t="s">
        <v>2185</v>
      </c>
      <c r="E870" s="14" t="s">
        <v>238</v>
      </c>
      <c r="F870" s="14" t="s">
        <v>72</v>
      </c>
      <c r="G870" s="12"/>
      <c r="H870" s="17" t="s">
        <v>454</v>
      </c>
      <c r="I870" s="17" t="s">
        <v>63</v>
      </c>
      <c r="J870" s="56" t="s">
        <v>2717</v>
      </c>
      <c r="K870" s="12"/>
      <c r="L870" s="12"/>
      <c r="M870" s="12"/>
      <c r="N870" s="12"/>
      <c r="O870" s="30" t="str">
        <f>HYPERLINK("http://www.sru.edu/admissions/financial-aid/types-of-aid/scholarships/first-year-scholarships","http://www.sru.edu/admissions/financial-aid/types-of-aid/scholarships/first-year-scholarships")</f>
        <v>http://www.sru.edu/admissions/financial-aid/types-of-aid/scholarships/first-year-scholarships</v>
      </c>
      <c r="P870" s="14" t="s">
        <v>2718</v>
      </c>
      <c r="Q870" s="97">
        <v>0.68</v>
      </c>
      <c r="R870" s="23" t="s">
        <v>385</v>
      </c>
      <c r="S870" s="14" t="s">
        <v>2719</v>
      </c>
      <c r="T870" s="12"/>
      <c r="U870" s="12">
        <v>3.41</v>
      </c>
      <c r="V870" s="12"/>
      <c r="W870" s="12"/>
      <c r="X870" s="12"/>
      <c r="Y870" s="12"/>
      <c r="Z870" s="12"/>
      <c r="AA870" s="12"/>
    </row>
    <row r="871" spans="1:27" ht="158.25" customHeight="1" x14ac:dyDescent="0.2">
      <c r="A871" s="23" t="s">
        <v>2591</v>
      </c>
      <c r="B871" s="14" t="s">
        <v>2720</v>
      </c>
      <c r="C871" s="14" t="s">
        <v>101</v>
      </c>
      <c r="D871" s="12"/>
      <c r="E871" s="14" t="s">
        <v>60</v>
      </c>
      <c r="F871" s="14" t="s">
        <v>72</v>
      </c>
      <c r="G871" s="12"/>
      <c r="H871" s="17" t="s">
        <v>2721</v>
      </c>
      <c r="I871" s="17" t="s">
        <v>74</v>
      </c>
      <c r="J871" s="16" t="s">
        <v>2722</v>
      </c>
      <c r="K871" s="12"/>
      <c r="L871" s="12"/>
      <c r="M871" s="12"/>
      <c r="N871" s="12"/>
      <c r="O871" s="30" t="str">
        <f t="shared" ref="O871:O873" si="125">HYPERLINK("http://www.sju.edu/information/scholarships","http://www.sju.edu/information/scholarships")</f>
        <v>http://www.sju.edu/information/scholarships</v>
      </c>
      <c r="P871" s="33">
        <v>43020</v>
      </c>
      <c r="Q871" s="93">
        <v>0.82</v>
      </c>
      <c r="R871" s="94" t="s">
        <v>266</v>
      </c>
      <c r="S871" s="26" t="s">
        <v>2723</v>
      </c>
      <c r="T871" s="12"/>
      <c r="U871" s="12">
        <v>3.52</v>
      </c>
      <c r="V871" s="12"/>
      <c r="W871" s="12"/>
      <c r="X871" s="12"/>
      <c r="Y871" s="12"/>
      <c r="Z871" s="12"/>
      <c r="AA871" s="12"/>
    </row>
    <row r="872" spans="1:27" ht="256" x14ac:dyDescent="0.2">
      <c r="A872" s="23" t="s">
        <v>2591</v>
      </c>
      <c r="B872" s="14" t="s">
        <v>2720</v>
      </c>
      <c r="C872" s="14" t="s">
        <v>101</v>
      </c>
      <c r="D872" s="12"/>
      <c r="E872" s="14" t="s">
        <v>177</v>
      </c>
      <c r="F872" s="14" t="s">
        <v>72</v>
      </c>
      <c r="G872" s="12"/>
      <c r="H872" s="17" t="s">
        <v>2724</v>
      </c>
      <c r="I872" s="17" t="s">
        <v>74</v>
      </c>
      <c r="J872" s="14" t="s">
        <v>2725</v>
      </c>
      <c r="K872" s="12"/>
      <c r="L872" s="12"/>
      <c r="M872" s="12"/>
      <c r="N872" s="12"/>
      <c r="O872" s="30" t="str">
        <f t="shared" si="125"/>
        <v>http://www.sju.edu/information/scholarships</v>
      </c>
      <c r="P872" s="33">
        <v>43020</v>
      </c>
      <c r="Q872" s="93">
        <v>0.82</v>
      </c>
      <c r="R872" s="94" t="s">
        <v>266</v>
      </c>
      <c r="S872" s="26" t="s">
        <v>2723</v>
      </c>
      <c r="T872" s="12"/>
      <c r="U872" s="12">
        <v>3.52</v>
      </c>
      <c r="V872" s="12"/>
      <c r="W872" s="12"/>
      <c r="X872" s="12"/>
      <c r="Y872" s="12"/>
      <c r="Z872" s="12"/>
      <c r="AA872" s="12"/>
    </row>
    <row r="873" spans="1:27" ht="252.75" customHeight="1" x14ac:dyDescent="0.2">
      <c r="A873" s="23" t="s">
        <v>2591</v>
      </c>
      <c r="B873" s="14" t="s">
        <v>2720</v>
      </c>
      <c r="C873" s="14" t="s">
        <v>101</v>
      </c>
      <c r="D873" s="12"/>
      <c r="E873" s="14" t="s">
        <v>60</v>
      </c>
      <c r="F873" s="14" t="s">
        <v>72</v>
      </c>
      <c r="G873" s="14" t="s">
        <v>186</v>
      </c>
      <c r="H873" s="16" t="s">
        <v>2726</v>
      </c>
      <c r="I873" s="16" t="s">
        <v>74</v>
      </c>
      <c r="J873" s="14" t="s">
        <v>2727</v>
      </c>
      <c r="K873" s="24">
        <v>29</v>
      </c>
      <c r="L873" s="18">
        <v>1360</v>
      </c>
      <c r="M873" s="16" t="s">
        <v>76</v>
      </c>
      <c r="N873" s="24">
        <v>3.5</v>
      </c>
      <c r="O873" s="30" t="str">
        <f t="shared" si="125"/>
        <v>http://www.sju.edu/information/scholarships</v>
      </c>
      <c r="P873" s="33">
        <v>43020</v>
      </c>
      <c r="Q873" s="93">
        <v>0.82</v>
      </c>
      <c r="R873" s="94" t="s">
        <v>266</v>
      </c>
      <c r="S873" s="26" t="s">
        <v>2723</v>
      </c>
      <c r="T873" s="12"/>
      <c r="U873" s="12">
        <v>3.52</v>
      </c>
      <c r="V873" s="12"/>
      <c r="W873" s="12"/>
      <c r="X873" s="12"/>
      <c r="Y873" s="12"/>
      <c r="Z873" s="12"/>
      <c r="AA873" s="12"/>
    </row>
    <row r="874" spans="1:27" ht="154.5" customHeight="1" x14ac:dyDescent="0.2">
      <c r="A874" s="12" t="s">
        <v>2591</v>
      </c>
      <c r="B874" s="12" t="s">
        <v>2728</v>
      </c>
      <c r="C874" s="12" t="s">
        <v>101</v>
      </c>
      <c r="D874" s="12"/>
      <c r="E874" s="12" t="s">
        <v>2729</v>
      </c>
      <c r="F874" s="12" t="s">
        <v>72</v>
      </c>
      <c r="G874" s="12" t="s">
        <v>2730</v>
      </c>
      <c r="H874" s="17" t="s">
        <v>2731</v>
      </c>
      <c r="I874" s="17" t="s">
        <v>74</v>
      </c>
      <c r="J874" s="12" t="s">
        <v>2732</v>
      </c>
      <c r="K874" s="12"/>
      <c r="L874" s="12"/>
      <c r="M874" s="12"/>
      <c r="N874" s="12"/>
      <c r="O874" s="30" t="str">
        <f>HYPERLINK("http://www.swarthmore.edu/financial-aid/scholarships-and-grants","http://www.swarthmore.edu/financial-aid/scholarships-and-grants")</f>
        <v>http://www.swarthmore.edu/financial-aid/scholarships-and-grants</v>
      </c>
      <c r="P874" s="95">
        <v>49104</v>
      </c>
      <c r="Q874" s="91">
        <v>0.12</v>
      </c>
      <c r="R874" s="12" t="s">
        <v>2733</v>
      </c>
      <c r="S874" s="12" t="s">
        <v>2734</v>
      </c>
      <c r="T874" s="12"/>
      <c r="U874" s="12" t="s">
        <v>81</v>
      </c>
      <c r="V874" s="12"/>
      <c r="W874" s="12"/>
      <c r="X874" s="12"/>
      <c r="Y874" s="12"/>
      <c r="Z874" s="12"/>
      <c r="AA874" s="12"/>
    </row>
    <row r="875" spans="1:27" ht="112" x14ac:dyDescent="0.2">
      <c r="A875" s="23" t="s">
        <v>2735</v>
      </c>
      <c r="B875" s="14" t="s">
        <v>2736</v>
      </c>
      <c r="C875" s="14" t="s">
        <v>59</v>
      </c>
      <c r="D875" s="12"/>
      <c r="E875" s="14" t="s">
        <v>243</v>
      </c>
      <c r="F875" s="14" t="s">
        <v>72</v>
      </c>
      <c r="G875" s="12"/>
      <c r="H875" s="17" t="s">
        <v>62</v>
      </c>
      <c r="I875" s="17" t="s">
        <v>74</v>
      </c>
      <c r="J875" s="14" t="s">
        <v>2737</v>
      </c>
      <c r="K875" s="12"/>
      <c r="L875" s="24"/>
      <c r="M875" s="14"/>
      <c r="N875" s="24"/>
      <c r="O875" s="63" t="s">
        <v>2738</v>
      </c>
      <c r="P875" s="14" t="s">
        <v>2739</v>
      </c>
      <c r="Q875" s="25">
        <v>0.56000000000000005</v>
      </c>
      <c r="R875" s="14" t="s">
        <v>105</v>
      </c>
      <c r="S875" s="14" t="s">
        <v>2740</v>
      </c>
      <c r="T875" s="12"/>
      <c r="U875" s="12">
        <v>3.51</v>
      </c>
      <c r="V875" s="12"/>
      <c r="W875" s="12"/>
      <c r="X875" s="12"/>
      <c r="Y875" s="12"/>
      <c r="Z875" s="12"/>
      <c r="AA875" s="12"/>
    </row>
    <row r="876" spans="1:27" ht="111" customHeight="1" x14ac:dyDescent="0.2">
      <c r="A876" s="23" t="s">
        <v>2591</v>
      </c>
      <c r="B876" s="14" t="s">
        <v>2736</v>
      </c>
      <c r="C876" s="14" t="s">
        <v>59</v>
      </c>
      <c r="D876" s="12"/>
      <c r="E876" s="14" t="s">
        <v>191</v>
      </c>
      <c r="F876" s="14" t="s">
        <v>145</v>
      </c>
      <c r="G876" s="12"/>
      <c r="H876" s="17" t="s">
        <v>157</v>
      </c>
      <c r="I876" s="17" t="s">
        <v>74</v>
      </c>
      <c r="J876" s="16" t="s">
        <v>2741</v>
      </c>
      <c r="K876" s="12"/>
      <c r="L876" s="18"/>
      <c r="M876" s="14"/>
      <c r="N876" s="24">
        <v>2.5</v>
      </c>
      <c r="O876" s="30" t="str">
        <f>HYPERLINK("http://sfs.temple.edu/financial-aid-types/scholarships/new-incoming-students","http://sfs.temple.edu/financial-aid-types/scholarships/new-incoming-students")</f>
        <v>http://sfs.temple.edu/financial-aid-types/scholarships/new-incoming-students</v>
      </c>
      <c r="P876" s="14" t="s">
        <v>2739</v>
      </c>
      <c r="Q876" s="25">
        <v>0.56000000000000005</v>
      </c>
      <c r="R876" s="14" t="s">
        <v>105</v>
      </c>
      <c r="S876" s="14" t="s">
        <v>2742</v>
      </c>
      <c r="T876" s="12"/>
      <c r="U876" s="12">
        <v>3.51</v>
      </c>
      <c r="V876" s="12"/>
      <c r="W876" s="12"/>
      <c r="X876" s="12"/>
      <c r="Y876" s="12"/>
      <c r="Z876" s="12"/>
      <c r="AA876" s="12"/>
    </row>
    <row r="877" spans="1:27" ht="205" x14ac:dyDescent="0.2">
      <c r="A877" s="23" t="s">
        <v>2591</v>
      </c>
      <c r="B877" s="14" t="s">
        <v>2743</v>
      </c>
      <c r="C877" s="14" t="s">
        <v>59</v>
      </c>
      <c r="D877" s="12"/>
      <c r="E877" s="14" t="s">
        <v>583</v>
      </c>
      <c r="F877" s="14" t="s">
        <v>72</v>
      </c>
      <c r="G877" s="12"/>
      <c r="H877" s="17" t="s">
        <v>2744</v>
      </c>
      <c r="I877" s="17" t="s">
        <v>74</v>
      </c>
      <c r="J877" s="56" t="s">
        <v>2745</v>
      </c>
      <c r="K877" s="12"/>
      <c r="L877" s="12"/>
      <c r="M877" s="12"/>
      <c r="N877" s="12"/>
      <c r="O877" s="30" t="str">
        <f>HYPERLINK("https://oafa.pitt.edu/financialaid/academic-scholarships/diversity-scholarships/","https://oafa.pitt.edu/financialaid/academic-scholarships/diversity-scholarships/")</f>
        <v>https://oafa.pitt.edu/financialaid/academic-scholarships/diversity-scholarships/</v>
      </c>
      <c r="P877" s="14" t="s">
        <v>2746</v>
      </c>
      <c r="Q877" s="25">
        <v>0.54</v>
      </c>
      <c r="R877" s="14" t="s">
        <v>379</v>
      </c>
      <c r="S877" s="14" t="s">
        <v>2747</v>
      </c>
      <c r="T877" s="12"/>
      <c r="U877" s="12">
        <v>4</v>
      </c>
      <c r="V877" s="12"/>
      <c r="W877" s="12"/>
      <c r="X877" s="12"/>
      <c r="Y877" s="12"/>
      <c r="Z877" s="12"/>
      <c r="AA877" s="12"/>
    </row>
    <row r="878" spans="1:27" ht="221.25" customHeight="1" x14ac:dyDescent="0.2">
      <c r="A878" s="23" t="s">
        <v>2591</v>
      </c>
      <c r="B878" s="14" t="s">
        <v>2743</v>
      </c>
      <c r="C878" s="14" t="s">
        <v>59</v>
      </c>
      <c r="D878" s="14" t="s">
        <v>98</v>
      </c>
      <c r="E878" s="14" t="s">
        <v>583</v>
      </c>
      <c r="F878" s="14" t="s">
        <v>72</v>
      </c>
      <c r="G878" s="12"/>
      <c r="H878" s="17" t="s">
        <v>454</v>
      </c>
      <c r="I878" s="17">
        <v>5</v>
      </c>
      <c r="J878" s="14" t="s">
        <v>2748</v>
      </c>
      <c r="K878" s="24"/>
      <c r="L878" s="24"/>
      <c r="M878" s="14"/>
      <c r="N878" s="24"/>
      <c r="O878" s="30" t="str">
        <f>HYPERLINK("https://oafa.pitt.edu/financialaid/academic-scholarships/stamps-leadership-scholarship/","https://oafa.pitt.edu/financialaid/academic-scholarships/stamps-leadership-scholarship/")</f>
        <v>https://oafa.pitt.edu/financialaid/academic-scholarships/stamps-leadership-scholarship/</v>
      </c>
      <c r="P878" s="14" t="s">
        <v>2746</v>
      </c>
      <c r="Q878" s="25">
        <v>0.54</v>
      </c>
      <c r="R878" s="14" t="s">
        <v>379</v>
      </c>
      <c r="S878" s="14" t="s">
        <v>2747</v>
      </c>
      <c r="T878" s="12"/>
      <c r="U878" s="12">
        <v>4</v>
      </c>
      <c r="V878" s="12"/>
      <c r="W878" s="12"/>
      <c r="X878" s="12"/>
      <c r="Y878" s="12"/>
      <c r="Z878" s="12"/>
      <c r="AA878" s="12"/>
    </row>
    <row r="879" spans="1:27" ht="272" x14ac:dyDescent="0.2">
      <c r="A879" s="23" t="s">
        <v>2591</v>
      </c>
      <c r="B879" s="14" t="s">
        <v>2743</v>
      </c>
      <c r="C879" s="14" t="s">
        <v>59</v>
      </c>
      <c r="D879" s="14" t="s">
        <v>98</v>
      </c>
      <c r="E879" s="14" t="s">
        <v>60</v>
      </c>
      <c r="F879" s="14" t="s">
        <v>72</v>
      </c>
      <c r="G879" s="12"/>
      <c r="H879" s="17" t="s">
        <v>2749</v>
      </c>
      <c r="I879" s="17">
        <v>10</v>
      </c>
      <c r="J879" s="14" t="s">
        <v>2750</v>
      </c>
      <c r="K879" s="24"/>
      <c r="L879" s="24"/>
      <c r="M879" s="14"/>
      <c r="N879" s="24"/>
      <c r="O879" s="63" t="s">
        <v>2751</v>
      </c>
      <c r="P879" s="14" t="s">
        <v>2746</v>
      </c>
      <c r="Q879" s="25">
        <v>0.54</v>
      </c>
      <c r="R879" s="14" t="s">
        <v>379</v>
      </c>
      <c r="S879" s="14" t="s">
        <v>2747</v>
      </c>
      <c r="T879" s="12"/>
      <c r="U879" s="12">
        <v>4</v>
      </c>
      <c r="V879" s="12"/>
      <c r="W879" s="12"/>
      <c r="X879" s="12"/>
      <c r="Y879" s="12"/>
      <c r="Z879" s="12"/>
      <c r="AA879" s="12"/>
    </row>
    <row r="880" spans="1:27" ht="111" customHeight="1" x14ac:dyDescent="0.2">
      <c r="A880" s="23" t="s">
        <v>2591</v>
      </c>
      <c r="B880" s="14" t="s">
        <v>2743</v>
      </c>
      <c r="C880" s="14" t="s">
        <v>59</v>
      </c>
      <c r="D880" s="17" t="s">
        <v>1968</v>
      </c>
      <c r="E880" s="14" t="s">
        <v>583</v>
      </c>
      <c r="F880" s="14" t="s">
        <v>72</v>
      </c>
      <c r="G880" s="12"/>
      <c r="H880" s="17" t="s">
        <v>1738</v>
      </c>
      <c r="I880" s="17" t="s">
        <v>74</v>
      </c>
      <c r="J880" s="16" t="s">
        <v>2752</v>
      </c>
      <c r="K880" s="18"/>
      <c r="L880" s="18"/>
      <c r="M880" s="16"/>
      <c r="N880" s="24"/>
      <c r="O880" s="30" t="str">
        <f>HYPERLINK("https://oafa.pitt.edu/financialaid/academic-scholarships/chancellors-scholarship/","https://oafa.pitt.edu/financialaid/academic-scholarships/chancellors-scholarship/")</f>
        <v>https://oafa.pitt.edu/financialaid/academic-scholarships/chancellors-scholarship/</v>
      </c>
      <c r="P880" s="14" t="s">
        <v>2746</v>
      </c>
      <c r="Q880" s="25">
        <v>0.54</v>
      </c>
      <c r="R880" s="14" t="s">
        <v>379</v>
      </c>
      <c r="S880" s="14" t="s">
        <v>2747</v>
      </c>
      <c r="T880" s="12"/>
      <c r="U880" s="12">
        <v>4</v>
      </c>
      <c r="V880" s="12"/>
      <c r="W880" s="12"/>
      <c r="X880" s="12"/>
      <c r="Y880" s="12"/>
      <c r="Z880" s="12"/>
      <c r="AA880" s="12"/>
    </row>
    <row r="881" spans="1:27" ht="205.5" customHeight="1" x14ac:dyDescent="0.2">
      <c r="A881" s="23" t="s">
        <v>2591</v>
      </c>
      <c r="B881" s="14" t="s">
        <v>2753</v>
      </c>
      <c r="C881" s="14" t="s">
        <v>101</v>
      </c>
      <c r="D881" s="12"/>
      <c r="E881" s="14" t="s">
        <v>60</v>
      </c>
      <c r="F881" s="14" t="s">
        <v>61</v>
      </c>
      <c r="G881" s="12"/>
      <c r="H881" s="17" t="s">
        <v>239</v>
      </c>
      <c r="I881" s="17" t="s">
        <v>74</v>
      </c>
      <c r="J881" s="14" t="s">
        <v>2754</v>
      </c>
      <c r="K881" s="12"/>
      <c r="L881" s="24"/>
      <c r="M881" s="14"/>
      <c r="N881" s="24"/>
      <c r="O881" s="30" t="str">
        <f>HYPERLINK("http://admissions.scranton.edu/financial-aid/scholarships-grants.shtml#.VlKRZ3YrLIU","http://admissions.scranton.edu/financial-aid/scholarships-grants.shtml#.VlKRZ3YrLIU")</f>
        <v>http://admissions.scranton.edu/financial-aid/scholarships-grants.shtml#.VlKRZ3YrLIU</v>
      </c>
      <c r="P881" s="33">
        <v>42162</v>
      </c>
      <c r="Q881" s="93">
        <v>0.72</v>
      </c>
      <c r="R881" s="23" t="s">
        <v>224</v>
      </c>
      <c r="S881" s="14" t="s">
        <v>2755</v>
      </c>
      <c r="T881" s="12"/>
      <c r="U881" s="12">
        <v>3.4</v>
      </c>
      <c r="V881" s="12"/>
      <c r="W881" s="12"/>
      <c r="X881" s="12"/>
      <c r="Y881" s="12"/>
      <c r="Z881" s="12"/>
      <c r="AA881" s="12"/>
    </row>
    <row r="882" spans="1:27" ht="189.75" customHeight="1" x14ac:dyDescent="0.2">
      <c r="A882" s="23" t="s">
        <v>2591</v>
      </c>
      <c r="B882" s="14" t="s">
        <v>2756</v>
      </c>
      <c r="C882" s="14" t="s">
        <v>101</v>
      </c>
      <c r="D882" s="12"/>
      <c r="E882" s="14" t="s">
        <v>60</v>
      </c>
      <c r="F882" s="14" t="s">
        <v>72</v>
      </c>
      <c r="G882" s="12"/>
      <c r="H882" s="17" t="s">
        <v>2757</v>
      </c>
      <c r="I882" s="17">
        <v>2</v>
      </c>
      <c r="J882" s="14" t="s">
        <v>2758</v>
      </c>
      <c r="K882" s="24">
        <v>29</v>
      </c>
      <c r="L882" s="24">
        <v>1300</v>
      </c>
      <c r="M882" s="16" t="s">
        <v>76</v>
      </c>
      <c r="N882" s="24">
        <v>3.7</v>
      </c>
      <c r="O882" s="30" t="str">
        <f>HYPERLINK("http://www.valleyforge.edu/docs/default-source/financial-aid/academic-tuition-scholarship.pdf?sfvrsn=12","http://www.valleyforge.edu/docs/default-source/financial-aid/academic-tuition-scholarship.pdf?sfvrsn=12")</f>
        <v>http://www.valleyforge.edu/docs/default-source/financial-aid/academic-tuition-scholarship.pdf?sfvrsn=12</v>
      </c>
      <c r="P882" s="33">
        <v>20694</v>
      </c>
      <c r="Q882" s="25">
        <v>0.95</v>
      </c>
      <c r="R882" s="14" t="s">
        <v>2759</v>
      </c>
      <c r="S882" s="14" t="s">
        <v>2760</v>
      </c>
      <c r="T882" s="12"/>
      <c r="U882" s="12">
        <v>2.98</v>
      </c>
      <c r="V882" s="12"/>
      <c r="W882" s="12"/>
      <c r="X882" s="12"/>
      <c r="Y882" s="12"/>
      <c r="Z882" s="12"/>
      <c r="AA882" s="12"/>
    </row>
    <row r="883" spans="1:27" ht="126.75" customHeight="1" x14ac:dyDescent="0.2">
      <c r="A883" s="23" t="s">
        <v>2591</v>
      </c>
      <c r="B883" s="14" t="s">
        <v>2756</v>
      </c>
      <c r="C883" s="14" t="s">
        <v>101</v>
      </c>
      <c r="D883" s="12"/>
      <c r="E883" s="14" t="s">
        <v>60</v>
      </c>
      <c r="F883" s="14" t="s">
        <v>461</v>
      </c>
      <c r="G883" s="12"/>
      <c r="H883" s="17" t="s">
        <v>2486</v>
      </c>
      <c r="I883" s="17">
        <v>3</v>
      </c>
      <c r="J883" s="14" t="s">
        <v>2761</v>
      </c>
      <c r="K883" s="12"/>
      <c r="L883" s="12"/>
      <c r="M883" s="12"/>
      <c r="N883" s="12"/>
      <c r="O883" s="30" t="str">
        <f>HYPERLINK("http://www.valleyforge.edu/docs/default-source/pdfs/virtuoso-scholarship.pdf?sfvrsn=4","http://www.valleyforge.edu/docs/default-source/pdfs/virtuoso-scholarship.pdf?sfvrsn=4")</f>
        <v>http://www.valleyforge.edu/docs/default-source/pdfs/virtuoso-scholarship.pdf?sfvrsn=4</v>
      </c>
      <c r="P883" s="33">
        <v>20694</v>
      </c>
      <c r="Q883" s="25">
        <v>0.95</v>
      </c>
      <c r="R883" s="14" t="s">
        <v>2759</v>
      </c>
      <c r="S883" s="14" t="s">
        <v>2760</v>
      </c>
      <c r="T883" s="12"/>
      <c r="U883" s="12">
        <v>2.98</v>
      </c>
      <c r="V883" s="12"/>
      <c r="W883" s="12"/>
      <c r="X883" s="12"/>
      <c r="Y883" s="12"/>
      <c r="Z883" s="12"/>
      <c r="AA883" s="12"/>
    </row>
    <row r="884" spans="1:27" ht="189.75" customHeight="1" x14ac:dyDescent="0.2">
      <c r="A884" s="23" t="s">
        <v>2591</v>
      </c>
      <c r="B884" s="14" t="s">
        <v>2762</v>
      </c>
      <c r="C884" s="14" t="s">
        <v>101</v>
      </c>
      <c r="D884" s="12"/>
      <c r="E884" s="14" t="s">
        <v>60</v>
      </c>
      <c r="F884" s="14" t="s">
        <v>72</v>
      </c>
      <c r="G884" s="12"/>
      <c r="H884" s="17" t="s">
        <v>2763</v>
      </c>
      <c r="I884" s="17">
        <v>1</v>
      </c>
      <c r="J884" s="14" t="s">
        <v>2764</v>
      </c>
      <c r="K884" s="12"/>
      <c r="L884" s="12"/>
      <c r="M884" s="12"/>
      <c r="N884" s="12"/>
      <c r="O884" s="30" t="str">
        <f>HYPERLINK("https://www1.villanova.edu/content/dam/villanova/admission/1617Applications/Denise%20McNair%20Scholarship%20Application.pdf","https://www1.villanova.edu/content/dam/villanova/admission/1617Applications/Denise%20McNair%20Scholarship%20Application.pdf")</f>
        <v>https://www1.villanova.edu/content/dam/villanova/admission/1617Applications/Denise%20McNair%20Scholarship%20Application.pdf</v>
      </c>
      <c r="P884" s="33">
        <v>49430</v>
      </c>
      <c r="Q884" s="93">
        <v>0.48</v>
      </c>
      <c r="R884" s="23" t="s">
        <v>1357</v>
      </c>
      <c r="S884" s="14" t="s">
        <v>2765</v>
      </c>
      <c r="T884" s="12"/>
      <c r="U884" s="12">
        <v>3.99</v>
      </c>
      <c r="V884" s="12"/>
      <c r="W884" s="12"/>
      <c r="X884" s="12"/>
      <c r="Y884" s="12"/>
      <c r="Z884" s="12"/>
      <c r="AA884" s="12"/>
    </row>
    <row r="885" spans="1:27" ht="158.25" customHeight="1" x14ac:dyDescent="0.2">
      <c r="A885" s="23" t="s">
        <v>2591</v>
      </c>
      <c r="B885" s="14" t="s">
        <v>2762</v>
      </c>
      <c r="C885" s="14" t="s">
        <v>101</v>
      </c>
      <c r="D885" s="12"/>
      <c r="E885" s="14" t="s">
        <v>111</v>
      </c>
      <c r="F885" s="14" t="s">
        <v>72</v>
      </c>
      <c r="G885" s="12"/>
      <c r="H885" s="17" t="s">
        <v>2766</v>
      </c>
      <c r="I885" s="17">
        <v>1</v>
      </c>
      <c r="J885" s="14" t="s">
        <v>2767</v>
      </c>
      <c r="K885" s="12"/>
      <c r="L885" s="12"/>
      <c r="M885" s="12"/>
      <c r="N885" s="12"/>
      <c r="O885" s="30" t="str">
        <f>HYPERLINK("http://www1.villanova.edu/villanova/enroll/finaid/scholarships_grants/scholarships.html#Randazzo","http://www1.villanova.edu/villanova/enroll/finaid/scholarships_grants/scholarships.html#Randazzo")</f>
        <v>http://www1.villanova.edu/villanova/enroll/finaid/scholarships_grants/scholarships.html#Randazzo</v>
      </c>
      <c r="P885" s="33">
        <v>49430</v>
      </c>
      <c r="Q885" s="93">
        <v>0.48</v>
      </c>
      <c r="R885" s="23" t="s">
        <v>1357</v>
      </c>
      <c r="S885" s="14" t="s">
        <v>2765</v>
      </c>
      <c r="T885" s="12"/>
      <c r="U885" s="12">
        <v>3.99</v>
      </c>
      <c r="V885" s="12"/>
      <c r="W885" s="12"/>
      <c r="X885" s="12"/>
      <c r="Y885" s="12"/>
      <c r="Z885" s="12"/>
      <c r="AA885" s="12"/>
    </row>
    <row r="886" spans="1:27" ht="111" customHeight="1" x14ac:dyDescent="0.2">
      <c r="A886" s="23" t="s">
        <v>2591</v>
      </c>
      <c r="B886" s="14" t="s">
        <v>2762</v>
      </c>
      <c r="C886" s="14" t="s">
        <v>101</v>
      </c>
      <c r="D886" s="12"/>
      <c r="E886" s="14" t="s">
        <v>82</v>
      </c>
      <c r="F886" s="14" t="s">
        <v>72</v>
      </c>
      <c r="G886" s="12"/>
      <c r="H886" s="17" t="s">
        <v>239</v>
      </c>
      <c r="I886" s="17" t="s">
        <v>74</v>
      </c>
      <c r="J886" s="14" t="s">
        <v>2768</v>
      </c>
      <c r="K886" s="12"/>
      <c r="L886" s="12"/>
      <c r="M886" s="12"/>
      <c r="N886" s="12"/>
      <c r="O886" s="30" t="str">
        <f>HYPERLINK("http://www1.villanova.edu/villanova/enroll/finaid/scholarships_grants/scholarships.html#Presidential","http://www1.villanova.edu/villanova/enroll/finaid/scholarships_grants/scholarships.html#Presidential")</f>
        <v>http://www1.villanova.edu/villanova/enroll/finaid/scholarships_grants/scholarships.html#Presidential</v>
      </c>
      <c r="P886" s="33">
        <v>49430</v>
      </c>
      <c r="Q886" s="93">
        <v>0.48</v>
      </c>
      <c r="R886" s="23" t="s">
        <v>1357</v>
      </c>
      <c r="S886" s="14" t="s">
        <v>2765</v>
      </c>
      <c r="T886" s="12"/>
      <c r="U886" s="12">
        <v>3.99</v>
      </c>
      <c r="V886" s="12"/>
      <c r="W886" s="12"/>
      <c r="X886" s="12"/>
      <c r="Y886" s="12"/>
      <c r="Z886" s="12"/>
      <c r="AA886" s="12"/>
    </row>
    <row r="887" spans="1:27" ht="224" x14ac:dyDescent="0.2">
      <c r="A887" s="23" t="s">
        <v>2591</v>
      </c>
      <c r="B887" s="14" t="s">
        <v>2762</v>
      </c>
      <c r="C887" s="14" t="s">
        <v>101</v>
      </c>
      <c r="D887" s="12"/>
      <c r="E887" s="14" t="s">
        <v>243</v>
      </c>
      <c r="F887" s="14" t="s">
        <v>145</v>
      </c>
      <c r="G887" s="12"/>
      <c r="H887" s="17" t="s">
        <v>157</v>
      </c>
      <c r="I887" s="17" t="s">
        <v>74</v>
      </c>
      <c r="J887" s="14" t="s">
        <v>2769</v>
      </c>
      <c r="K887" s="12"/>
      <c r="L887" s="12"/>
      <c r="M887" s="12"/>
      <c r="N887" s="12"/>
      <c r="O887" s="30" t="str">
        <f>HYPERLINK("http://www1.villanova.edu/villanova/enroll/finaid/scholarships_grants/scholarships.html#Navy","http://www1.villanova.edu/villanova/enroll/finaid/scholarships_grants/scholarships.html#Navy")</f>
        <v>http://www1.villanova.edu/villanova/enroll/finaid/scholarships_grants/scholarships.html#Navy</v>
      </c>
      <c r="P887" s="33">
        <v>49430</v>
      </c>
      <c r="Q887" s="93">
        <v>0.48</v>
      </c>
      <c r="R887" s="23" t="s">
        <v>1357</v>
      </c>
      <c r="S887" s="14" t="s">
        <v>2765</v>
      </c>
      <c r="T887" s="12"/>
      <c r="U887" s="12">
        <v>3.99</v>
      </c>
      <c r="V887" s="12"/>
      <c r="W887" s="12"/>
      <c r="X887" s="12"/>
      <c r="Y887" s="12"/>
      <c r="Z887" s="12"/>
      <c r="AA887" s="12"/>
    </row>
    <row r="888" spans="1:27" ht="189.75" customHeight="1" x14ac:dyDescent="0.2">
      <c r="A888" s="23" t="s">
        <v>2591</v>
      </c>
      <c r="B888" s="14" t="s">
        <v>2762</v>
      </c>
      <c r="C888" s="14" t="s">
        <v>101</v>
      </c>
      <c r="D888" s="17" t="s">
        <v>2770</v>
      </c>
      <c r="E888" s="14" t="s">
        <v>60</v>
      </c>
      <c r="F888" s="14" t="s">
        <v>72</v>
      </c>
      <c r="G888" s="12"/>
      <c r="H888" s="17" t="s">
        <v>2771</v>
      </c>
      <c r="I888" s="17" t="s">
        <v>74</v>
      </c>
      <c r="J888" s="14" t="s">
        <v>2772</v>
      </c>
      <c r="K888" s="12"/>
      <c r="L888" s="12"/>
      <c r="M888" s="12"/>
      <c r="N888" s="12"/>
      <c r="O888" s="30" t="str">
        <f>HYPERLINK("http://www1.villanova.edu/villanova/enroll/finaid/scholarships_grants/scholarships.html#StMartin","http://www1.villanova.edu/villanova/enroll/finaid/scholarships_grants/scholarships.html#StMartin")</f>
        <v>http://www1.villanova.edu/villanova/enroll/finaid/scholarships_grants/scholarships.html#StMartin</v>
      </c>
      <c r="P888" s="33">
        <v>49430</v>
      </c>
      <c r="Q888" s="93">
        <v>0.48</v>
      </c>
      <c r="R888" s="23" t="s">
        <v>1357</v>
      </c>
      <c r="S888" s="14" t="s">
        <v>2765</v>
      </c>
      <c r="T888" s="12"/>
      <c r="U888" s="12">
        <v>3.99</v>
      </c>
      <c r="V888" s="12"/>
      <c r="W888" s="12"/>
      <c r="X888" s="12"/>
      <c r="Y888" s="12"/>
      <c r="Z888" s="12"/>
      <c r="AA888" s="12"/>
    </row>
    <row r="889" spans="1:27" ht="205" x14ac:dyDescent="0.2">
      <c r="A889" s="23" t="s">
        <v>2591</v>
      </c>
      <c r="B889" s="14" t="s">
        <v>2773</v>
      </c>
      <c r="C889" s="14" t="s">
        <v>101</v>
      </c>
      <c r="D889" s="17" t="s">
        <v>2774</v>
      </c>
      <c r="E889" s="14" t="s">
        <v>111</v>
      </c>
      <c r="F889" s="14" t="s">
        <v>72</v>
      </c>
      <c r="G889" s="12"/>
      <c r="H889" s="17" t="s">
        <v>2775</v>
      </c>
      <c r="I889" s="17" t="s">
        <v>74</v>
      </c>
      <c r="J889" s="56" t="s">
        <v>2776</v>
      </c>
      <c r="K889" s="12"/>
      <c r="L889" s="12"/>
      <c r="M889" s="12"/>
      <c r="N889" s="24">
        <v>3</v>
      </c>
      <c r="O889" s="30" t="str">
        <f>HYPERLINK("http://www.waynesburg.edu/undergraduate/admissions/competitive-merit-scholarships","http://www.waynesburg.edu/undergraduate/admissions/competitive-merit-scholarships")</f>
        <v>http://www.waynesburg.edu/undergraduate/admissions/competitive-merit-scholarships</v>
      </c>
      <c r="P889" s="33">
        <v>22800</v>
      </c>
      <c r="Q889" s="93">
        <v>0.86</v>
      </c>
      <c r="R889" s="23" t="s">
        <v>126</v>
      </c>
      <c r="S889" s="14" t="s">
        <v>2777</v>
      </c>
      <c r="T889" s="12"/>
      <c r="U889" s="12">
        <v>3.6</v>
      </c>
      <c r="V889" s="12"/>
      <c r="W889" s="12"/>
      <c r="X889" s="12"/>
      <c r="Y889" s="12"/>
      <c r="Z889" s="12"/>
      <c r="AA889" s="12"/>
    </row>
    <row r="890" spans="1:27" ht="158.25" customHeight="1" x14ac:dyDescent="0.2">
      <c r="A890" s="23" t="s">
        <v>2591</v>
      </c>
      <c r="B890" s="14" t="s">
        <v>1787</v>
      </c>
      <c r="C890" s="14" t="s">
        <v>101</v>
      </c>
      <c r="D890" s="12"/>
      <c r="E890" s="14" t="s">
        <v>60</v>
      </c>
      <c r="F890" s="14" t="s">
        <v>72</v>
      </c>
      <c r="G890" s="12"/>
      <c r="H890" s="17" t="s">
        <v>2778</v>
      </c>
      <c r="I890" s="17" t="s">
        <v>74</v>
      </c>
      <c r="J890" s="14" t="s">
        <v>2779</v>
      </c>
      <c r="K890" s="12"/>
      <c r="L890" s="12"/>
      <c r="M890" s="12"/>
      <c r="N890" s="12"/>
      <c r="O890" s="30" t="str">
        <f t="shared" ref="O890:O891" si="126">HYPERLINK("http://www.westminster.edu/admissions/financial-aid/scholarships.cfm","http://www.westminster.edu/admissions/financial-aid/scholarships.cfm")</f>
        <v>http://www.westminster.edu/admissions/financial-aid/scholarships.cfm</v>
      </c>
      <c r="P890" s="33">
        <v>35210</v>
      </c>
      <c r="Q890" s="25">
        <v>0.94</v>
      </c>
      <c r="R890" s="34" t="s">
        <v>126</v>
      </c>
      <c r="S890" s="34" t="s">
        <v>2780</v>
      </c>
      <c r="T890" s="12"/>
      <c r="U890" s="12">
        <v>3.61</v>
      </c>
      <c r="V890" s="12"/>
      <c r="W890" s="12"/>
      <c r="X890" s="12"/>
      <c r="Y890" s="12"/>
      <c r="Z890" s="12"/>
      <c r="AA890" s="12"/>
    </row>
    <row r="891" spans="1:27" ht="126.75" customHeight="1" x14ac:dyDescent="0.2">
      <c r="A891" s="23" t="s">
        <v>2591</v>
      </c>
      <c r="B891" s="14" t="s">
        <v>1787</v>
      </c>
      <c r="C891" s="14" t="s">
        <v>101</v>
      </c>
      <c r="D891" s="12"/>
      <c r="E891" s="14" t="s">
        <v>60</v>
      </c>
      <c r="F891" s="14" t="s">
        <v>72</v>
      </c>
      <c r="G891" s="12"/>
      <c r="H891" s="17" t="s">
        <v>2781</v>
      </c>
      <c r="I891" s="17" t="s">
        <v>74</v>
      </c>
      <c r="J891" s="16" t="s">
        <v>2782</v>
      </c>
      <c r="K891" s="24">
        <v>27</v>
      </c>
      <c r="L891" s="18">
        <v>1270</v>
      </c>
      <c r="M891" s="16" t="s">
        <v>76</v>
      </c>
      <c r="N891" s="24">
        <v>3.7</v>
      </c>
      <c r="O891" s="30" t="str">
        <f t="shared" si="126"/>
        <v>http://www.westminster.edu/admissions/financial-aid/scholarships.cfm</v>
      </c>
      <c r="P891" s="33">
        <v>35210</v>
      </c>
      <c r="Q891" s="25">
        <v>0.94</v>
      </c>
      <c r="R891" s="34" t="s">
        <v>126</v>
      </c>
      <c r="S891" s="34" t="s">
        <v>2780</v>
      </c>
      <c r="T891" s="12"/>
      <c r="U891" s="12">
        <v>3.61</v>
      </c>
      <c r="V891" s="12"/>
      <c r="W891" s="12"/>
      <c r="X891" s="12"/>
      <c r="Y891" s="12"/>
      <c r="Z891" s="12"/>
      <c r="AA891" s="12"/>
    </row>
    <row r="892" spans="1:27" ht="111" customHeight="1" x14ac:dyDescent="0.2">
      <c r="A892" s="23" t="s">
        <v>2591</v>
      </c>
      <c r="B892" s="14" t="s">
        <v>2783</v>
      </c>
      <c r="C892" s="14" t="s">
        <v>101</v>
      </c>
      <c r="D892" s="12"/>
      <c r="E892" s="14" t="s">
        <v>111</v>
      </c>
      <c r="F892" s="14" t="s">
        <v>145</v>
      </c>
      <c r="G892" s="12"/>
      <c r="H892" s="17" t="s">
        <v>157</v>
      </c>
      <c r="I892" s="17" t="s">
        <v>74</v>
      </c>
      <c r="J892" s="14" t="s">
        <v>2784</v>
      </c>
      <c r="K892" s="24">
        <v>19</v>
      </c>
      <c r="L892" s="18">
        <v>1000</v>
      </c>
      <c r="M892" s="16" t="s">
        <v>76</v>
      </c>
      <c r="N892" s="24">
        <v>2.5</v>
      </c>
      <c r="O892" s="30" t="str">
        <f>HYPERLINK("http://www.widener.edu/academics/undergraduate/rotc/scholarships.aspx","http://www.widener.edu/academics/undergraduate/rotc/scholarships.aspx")</f>
        <v>http://www.widener.edu/academics/undergraduate/rotc/scholarships.aspx</v>
      </c>
      <c r="P892" s="33">
        <v>42870</v>
      </c>
      <c r="Q892" s="58">
        <v>0.68</v>
      </c>
      <c r="R892" s="14" t="s">
        <v>767</v>
      </c>
      <c r="S892" s="14" t="s">
        <v>2785</v>
      </c>
      <c r="T892" s="12"/>
      <c r="U892" s="12">
        <v>3.45</v>
      </c>
      <c r="V892" s="12"/>
      <c r="W892" s="12"/>
      <c r="X892" s="12"/>
      <c r="Y892" s="12"/>
      <c r="Z892" s="12"/>
      <c r="AA892" s="12"/>
    </row>
    <row r="893" spans="1:27" ht="111" customHeight="1" x14ac:dyDescent="0.2">
      <c r="A893" s="23" t="s">
        <v>2591</v>
      </c>
      <c r="B893" s="14" t="s">
        <v>2783</v>
      </c>
      <c r="C893" s="14" t="s">
        <v>101</v>
      </c>
      <c r="D893" s="12"/>
      <c r="E893" s="14" t="s">
        <v>60</v>
      </c>
      <c r="F893" s="14" t="s">
        <v>72</v>
      </c>
      <c r="G893" s="12"/>
      <c r="H893" s="17" t="s">
        <v>326</v>
      </c>
      <c r="I893" s="17" t="s">
        <v>74</v>
      </c>
      <c r="J893" s="14" t="s">
        <v>2786</v>
      </c>
      <c r="K893" s="24">
        <v>30</v>
      </c>
      <c r="L893" s="24">
        <v>1410</v>
      </c>
      <c r="M893" s="16" t="s">
        <v>76</v>
      </c>
      <c r="N893" s="24">
        <v>3.85</v>
      </c>
      <c r="O893" s="19" t="s">
        <v>2787</v>
      </c>
      <c r="P893" s="33">
        <v>42870</v>
      </c>
      <c r="Q893" s="58">
        <v>0.68</v>
      </c>
      <c r="R893" s="14" t="s">
        <v>767</v>
      </c>
      <c r="S893" s="14" t="s">
        <v>2785</v>
      </c>
      <c r="T893" s="12"/>
      <c r="U893" s="12">
        <v>3.45</v>
      </c>
      <c r="V893" s="12"/>
      <c r="W893" s="12"/>
      <c r="X893" s="12"/>
      <c r="Y893" s="12"/>
      <c r="Z893" s="12"/>
      <c r="AA893" s="12"/>
    </row>
    <row r="894" spans="1:27" ht="142.5" customHeight="1" x14ac:dyDescent="0.2">
      <c r="A894" s="23" t="s">
        <v>2591</v>
      </c>
      <c r="B894" s="14" t="s">
        <v>2788</v>
      </c>
      <c r="C894" s="14" t="s">
        <v>101</v>
      </c>
      <c r="D894" s="17" t="s">
        <v>2789</v>
      </c>
      <c r="E894" s="14" t="s">
        <v>60</v>
      </c>
      <c r="F894" s="14" t="s">
        <v>72</v>
      </c>
      <c r="G894" s="14" t="s">
        <v>186</v>
      </c>
      <c r="H894" s="16" t="s">
        <v>2790</v>
      </c>
      <c r="I894" s="16" t="s">
        <v>74</v>
      </c>
      <c r="J894" s="14" t="s">
        <v>2791</v>
      </c>
      <c r="K894" s="12"/>
      <c r="L894" s="12"/>
      <c r="M894" s="12"/>
      <c r="N894" s="12"/>
      <c r="O894" s="30" t="str">
        <f>HYPERLINK("http://www.wilson.edu/scholarships","http://www.wilson.edu/scholarships")</f>
        <v>http://www.wilson.edu/scholarships</v>
      </c>
      <c r="P894" s="33">
        <v>24430</v>
      </c>
      <c r="Q894" s="25">
        <v>0.53</v>
      </c>
      <c r="R894" s="14" t="s">
        <v>385</v>
      </c>
      <c r="S894" s="14" t="s">
        <v>2792</v>
      </c>
      <c r="T894" s="12"/>
      <c r="U894" s="12">
        <v>3.45</v>
      </c>
      <c r="V894" s="12"/>
      <c r="W894" s="12"/>
      <c r="X894" s="12"/>
      <c r="Y894" s="12"/>
      <c r="Z894" s="12"/>
      <c r="AA894" s="12"/>
    </row>
    <row r="895" spans="1:27" ht="157" x14ac:dyDescent="0.2">
      <c r="A895" s="23" t="s">
        <v>2591</v>
      </c>
      <c r="B895" s="14" t="s">
        <v>2793</v>
      </c>
      <c r="C895" s="14" t="s">
        <v>101</v>
      </c>
      <c r="D895" s="12"/>
      <c r="E895" s="14" t="s">
        <v>177</v>
      </c>
      <c r="F895" s="14" t="s">
        <v>72</v>
      </c>
      <c r="G895" s="12"/>
      <c r="H895" s="17" t="s">
        <v>250</v>
      </c>
      <c r="I895" s="17">
        <v>7</v>
      </c>
      <c r="J895" s="122" t="s">
        <v>2794</v>
      </c>
      <c r="K895" s="24">
        <v>28</v>
      </c>
      <c r="L895" s="24">
        <v>1250</v>
      </c>
      <c r="M895" s="14" t="s">
        <v>197</v>
      </c>
      <c r="N895" s="24">
        <v>3</v>
      </c>
      <c r="O895" s="30" t="str">
        <f>HYPERLINK("http://www.ycp.edu/admissions/cost-and-financial-aid/scholarships-and-grants/","http://www.ycp.edu/admissions/cost-and-financial-aid/scholarships-and-grants/")</f>
        <v>http://www.ycp.edu/admissions/cost-and-financial-aid/scholarships-and-grants/</v>
      </c>
      <c r="P895" s="33">
        <v>18780</v>
      </c>
      <c r="Q895" s="93">
        <v>0.43</v>
      </c>
      <c r="R895" s="94" t="s">
        <v>124</v>
      </c>
      <c r="S895" s="26" t="s">
        <v>2795</v>
      </c>
      <c r="T895" s="12"/>
      <c r="U895" s="12">
        <v>3.52</v>
      </c>
      <c r="V895" s="12"/>
      <c r="W895" s="12"/>
      <c r="X895" s="12"/>
      <c r="Y895" s="12"/>
      <c r="Z895" s="12"/>
      <c r="AA895" s="12"/>
    </row>
    <row r="896" spans="1:27" ht="181" x14ac:dyDescent="0.2">
      <c r="A896" s="23" t="s">
        <v>2796</v>
      </c>
      <c r="B896" s="14" t="s">
        <v>2797</v>
      </c>
      <c r="C896" s="14" t="s">
        <v>101</v>
      </c>
      <c r="D896" s="12"/>
      <c r="E896" s="16" t="s">
        <v>2798</v>
      </c>
      <c r="F896" s="14" t="s">
        <v>72</v>
      </c>
      <c r="G896" s="12"/>
      <c r="H896" s="17" t="s">
        <v>2799</v>
      </c>
      <c r="I896" s="17" t="s">
        <v>2800</v>
      </c>
      <c r="J896" s="122" t="s">
        <v>2801</v>
      </c>
      <c r="K896" s="12"/>
      <c r="L896" s="12"/>
      <c r="M896" s="12"/>
      <c r="N896" s="12"/>
      <c r="O896" s="19" t="s">
        <v>2802</v>
      </c>
      <c r="P896" s="33">
        <v>46970</v>
      </c>
      <c r="Q896" s="97">
        <v>0.55000000000000004</v>
      </c>
      <c r="R896" s="94" t="s">
        <v>266</v>
      </c>
      <c r="S896" s="26" t="s">
        <v>2803</v>
      </c>
      <c r="T896" s="12"/>
      <c r="U896" s="12">
        <v>3.41</v>
      </c>
      <c r="V896" s="12"/>
      <c r="W896" s="12"/>
      <c r="X896" s="12"/>
      <c r="Y896" s="12"/>
      <c r="Z896" s="12"/>
      <c r="AA896" s="12"/>
    </row>
    <row r="897" spans="1:27" ht="142.5" customHeight="1" x14ac:dyDescent="0.2">
      <c r="A897" s="23" t="s">
        <v>2796</v>
      </c>
      <c r="B897" s="14" t="s">
        <v>2797</v>
      </c>
      <c r="C897" s="14" t="s">
        <v>101</v>
      </c>
      <c r="D897" s="12"/>
      <c r="E897" s="14" t="s">
        <v>191</v>
      </c>
      <c r="F897" s="14" t="s">
        <v>72</v>
      </c>
      <c r="G897" s="12"/>
      <c r="H897" s="17" t="s">
        <v>2804</v>
      </c>
      <c r="I897" s="17" t="s">
        <v>74</v>
      </c>
      <c r="J897" s="14" t="s">
        <v>2805</v>
      </c>
      <c r="K897" s="12"/>
      <c r="L897" s="12"/>
      <c r="M897" s="12"/>
      <c r="N897" s="12"/>
      <c r="O897" s="30" t="str">
        <f>HYPERLINK("http://www.providence.edu/financial-aid/costs-aid/Pages/institutional-merit-based.aspx","http://www.providence.edu/financial-aid/costs-aid/Pages/institutional-merit-based.aspx")</f>
        <v>http://www.providence.edu/financial-aid/costs-aid/Pages/institutional-merit-based.aspx</v>
      </c>
      <c r="P897" s="33">
        <v>46970</v>
      </c>
      <c r="Q897" s="97">
        <v>0.55000000000000004</v>
      </c>
      <c r="R897" s="94" t="s">
        <v>266</v>
      </c>
      <c r="S897" s="26" t="s">
        <v>2803</v>
      </c>
      <c r="T897" s="12"/>
      <c r="U897" s="12">
        <v>3.41</v>
      </c>
      <c r="V897" s="12"/>
      <c r="W897" s="12"/>
      <c r="X897" s="12"/>
      <c r="Y897" s="12"/>
      <c r="Z897" s="12"/>
      <c r="AA897" s="12"/>
    </row>
    <row r="898" spans="1:27" ht="192" x14ac:dyDescent="0.2">
      <c r="A898" s="23" t="s">
        <v>2796</v>
      </c>
      <c r="B898" s="14" t="s">
        <v>2806</v>
      </c>
      <c r="C898" s="14" t="s">
        <v>101</v>
      </c>
      <c r="D898" s="17" t="s">
        <v>2807</v>
      </c>
      <c r="E898" s="14" t="s">
        <v>177</v>
      </c>
      <c r="F898" s="14" t="s">
        <v>72</v>
      </c>
      <c r="G898" s="12"/>
      <c r="H898" s="17" t="s">
        <v>2808</v>
      </c>
      <c r="I898" s="17">
        <v>1</v>
      </c>
      <c r="J898" s="14" t="s">
        <v>2809</v>
      </c>
      <c r="K898" s="12"/>
      <c r="L898" s="12"/>
      <c r="M898" s="12"/>
      <c r="N898" s="12"/>
      <c r="O898" s="19" t="s">
        <v>2810</v>
      </c>
      <c r="P898" s="33">
        <v>31850</v>
      </c>
      <c r="Q898" s="93">
        <v>0.78</v>
      </c>
      <c r="R898" s="94" t="s">
        <v>1733</v>
      </c>
      <c r="S898" s="26" t="s">
        <v>2811</v>
      </c>
      <c r="T898" s="12"/>
      <c r="U898" s="12">
        <v>3.34</v>
      </c>
      <c r="V898" s="12"/>
      <c r="W898" s="12"/>
      <c r="X898" s="12"/>
      <c r="Y898" s="12"/>
      <c r="Z898" s="12"/>
      <c r="AA898" s="12"/>
    </row>
    <row r="899" spans="1:27" ht="189.75" customHeight="1" x14ac:dyDescent="0.2">
      <c r="A899" s="109" t="s">
        <v>2796</v>
      </c>
      <c r="B899" s="110" t="s">
        <v>2806</v>
      </c>
      <c r="C899" s="110" t="s">
        <v>101</v>
      </c>
      <c r="D899" s="117" t="s">
        <v>194</v>
      </c>
      <c r="E899" s="128" t="s">
        <v>2812</v>
      </c>
      <c r="F899" s="110" t="s">
        <v>72</v>
      </c>
      <c r="G899" s="112"/>
      <c r="H899" s="117" t="s">
        <v>454</v>
      </c>
      <c r="I899" s="117">
        <v>5</v>
      </c>
      <c r="J899" s="110" t="s">
        <v>2813</v>
      </c>
      <c r="K899" s="112"/>
      <c r="L899" s="112"/>
      <c r="M899" s="112"/>
      <c r="N899" s="112"/>
      <c r="O899" s="121" t="s">
        <v>2810</v>
      </c>
      <c r="P899" s="124">
        <v>31850</v>
      </c>
      <c r="Q899" s="174">
        <v>0.78</v>
      </c>
      <c r="R899" s="175" t="s">
        <v>1733</v>
      </c>
      <c r="S899" s="150" t="s">
        <v>2811</v>
      </c>
      <c r="T899" s="112"/>
      <c r="U899" s="112">
        <v>3.34</v>
      </c>
      <c r="V899" s="112"/>
      <c r="W899" s="112"/>
      <c r="X899" s="112"/>
      <c r="Y899" s="112"/>
      <c r="Z899" s="112"/>
      <c r="AA899" s="112"/>
    </row>
    <row r="900" spans="1:27" ht="217" x14ac:dyDescent="0.2">
      <c r="A900" s="23" t="s">
        <v>2814</v>
      </c>
      <c r="B900" s="14" t="s">
        <v>2815</v>
      </c>
      <c r="C900" s="14" t="s">
        <v>101</v>
      </c>
      <c r="D900" s="12"/>
      <c r="E900" s="14" t="s">
        <v>2816</v>
      </c>
      <c r="F900" s="14" t="s">
        <v>72</v>
      </c>
      <c r="G900" s="12"/>
      <c r="H900" s="17" t="s">
        <v>2817</v>
      </c>
      <c r="I900" s="17" t="s">
        <v>74</v>
      </c>
      <c r="J900" s="56" t="s">
        <v>2818</v>
      </c>
      <c r="K900" s="24">
        <v>21</v>
      </c>
      <c r="L900" s="24">
        <v>1000</v>
      </c>
      <c r="M900" s="14" t="s">
        <v>197</v>
      </c>
      <c r="N900" s="12"/>
      <c r="O900" s="19" t="s">
        <v>2819</v>
      </c>
      <c r="P900" s="33">
        <v>15982</v>
      </c>
      <c r="Q900" s="25">
        <v>0.6</v>
      </c>
      <c r="R900" s="34" t="s">
        <v>1450</v>
      </c>
      <c r="S900" s="34" t="s">
        <v>2820</v>
      </c>
      <c r="T900" s="12"/>
      <c r="U900" s="12">
        <v>3.28</v>
      </c>
      <c r="V900" s="12"/>
      <c r="W900" s="12"/>
      <c r="X900" s="12"/>
      <c r="Y900" s="12"/>
      <c r="Z900" s="12"/>
      <c r="AA900" s="12"/>
    </row>
    <row r="901" spans="1:27" ht="265" x14ac:dyDescent="0.2">
      <c r="A901" s="23" t="s">
        <v>2814</v>
      </c>
      <c r="B901" s="14" t="s">
        <v>2815</v>
      </c>
      <c r="C901" s="14" t="s">
        <v>101</v>
      </c>
      <c r="D901" s="12"/>
      <c r="E901" s="14" t="s">
        <v>82</v>
      </c>
      <c r="F901" s="14" t="s">
        <v>72</v>
      </c>
      <c r="G901" s="12"/>
      <c r="H901" s="17" t="s">
        <v>2817</v>
      </c>
      <c r="I901" s="17" t="s">
        <v>74</v>
      </c>
      <c r="J901" s="56" t="s">
        <v>2821</v>
      </c>
      <c r="K901" s="24">
        <v>27</v>
      </c>
      <c r="L901" s="24">
        <v>1200</v>
      </c>
      <c r="M901" s="14" t="s">
        <v>197</v>
      </c>
      <c r="N901" s="12"/>
      <c r="O901" s="19" t="s">
        <v>2819</v>
      </c>
      <c r="P901" s="33">
        <v>15982</v>
      </c>
      <c r="Q901" s="25">
        <v>0.6</v>
      </c>
      <c r="R901" s="34" t="s">
        <v>1450</v>
      </c>
      <c r="S901" s="34" t="s">
        <v>2820</v>
      </c>
      <c r="T901" s="12"/>
      <c r="U901" s="12">
        <v>3.28</v>
      </c>
      <c r="V901" s="12"/>
      <c r="W901" s="12"/>
      <c r="X901" s="12"/>
      <c r="Y901" s="12"/>
      <c r="Z901" s="12"/>
      <c r="AA901" s="12"/>
    </row>
    <row r="902" spans="1:27" ht="205.5" customHeight="1" x14ac:dyDescent="0.2">
      <c r="A902" s="23" t="s">
        <v>2814</v>
      </c>
      <c r="B902" s="14" t="s">
        <v>2822</v>
      </c>
      <c r="C902" s="14" t="s">
        <v>59</v>
      </c>
      <c r="D902" s="12"/>
      <c r="E902" s="14" t="s">
        <v>724</v>
      </c>
      <c r="F902" s="14" t="s">
        <v>72</v>
      </c>
      <c r="G902" s="12"/>
      <c r="H902" s="17" t="s">
        <v>2823</v>
      </c>
      <c r="I902" s="17" t="s">
        <v>74</v>
      </c>
      <c r="J902" s="16" t="s">
        <v>2824</v>
      </c>
      <c r="K902" s="12"/>
      <c r="L902" s="12"/>
      <c r="M902" s="12"/>
      <c r="N902" s="12"/>
      <c r="O902" s="30" t="str">
        <f>HYPERLINK("http://www.clemson.edu/academics/programs/national-scholars/","http://www.clemson.edu/academics/programs/national-scholars/")</f>
        <v>http://www.clemson.edu/academics/programs/national-scholars/</v>
      </c>
      <c r="P902" s="14" t="s">
        <v>2825</v>
      </c>
      <c r="Q902" s="25">
        <v>0.51</v>
      </c>
      <c r="R902" s="14" t="s">
        <v>616</v>
      </c>
      <c r="S902" s="14" t="s">
        <v>2826</v>
      </c>
      <c r="T902" s="12"/>
      <c r="U902" s="12" t="s">
        <v>81</v>
      </c>
      <c r="V902" s="12"/>
      <c r="W902" s="12"/>
      <c r="X902" s="12"/>
      <c r="Y902" s="12"/>
      <c r="Z902" s="12"/>
      <c r="AA902" s="12"/>
    </row>
    <row r="903" spans="1:27" ht="217" x14ac:dyDescent="0.2">
      <c r="A903" s="23" t="s">
        <v>2814</v>
      </c>
      <c r="B903" s="14" t="s">
        <v>2827</v>
      </c>
      <c r="C903" s="14" t="s">
        <v>59</v>
      </c>
      <c r="D903" s="12"/>
      <c r="E903" s="14" t="s">
        <v>82</v>
      </c>
      <c r="F903" s="14" t="s">
        <v>72</v>
      </c>
      <c r="G903" s="12"/>
      <c r="H903" s="17" t="s">
        <v>239</v>
      </c>
      <c r="I903" s="17" t="s">
        <v>74</v>
      </c>
      <c r="J903" s="56" t="s">
        <v>2828</v>
      </c>
      <c r="K903" s="12"/>
      <c r="L903" s="12"/>
      <c r="M903" s="12"/>
      <c r="N903" s="12"/>
      <c r="O903" s="30" t="str">
        <f t="shared" ref="O903:O904" si="127">HYPERLINK("http://honorscollege.cofc.edu/admission/scholarships.php","http://honorscollege.cofc.edu/admission/scholarships.php")</f>
        <v>http://honorscollege.cofc.edu/admission/scholarships.php</v>
      </c>
      <c r="P903" s="14" t="s">
        <v>2829</v>
      </c>
      <c r="Q903" s="58">
        <v>0.77</v>
      </c>
      <c r="R903" s="14" t="s">
        <v>266</v>
      </c>
      <c r="S903" s="14" t="s">
        <v>2830</v>
      </c>
      <c r="T903" s="12"/>
      <c r="U903" s="12">
        <v>3.9</v>
      </c>
      <c r="V903" s="12"/>
      <c r="W903" s="12"/>
      <c r="X903" s="12"/>
      <c r="Y903" s="12"/>
      <c r="Z903" s="12"/>
      <c r="AA903" s="12"/>
    </row>
    <row r="904" spans="1:27" ht="229" x14ac:dyDescent="0.2">
      <c r="A904" s="23" t="s">
        <v>2814</v>
      </c>
      <c r="B904" s="14" t="s">
        <v>2827</v>
      </c>
      <c r="C904" s="14" t="s">
        <v>59</v>
      </c>
      <c r="D904" s="12"/>
      <c r="E904" s="14" t="s">
        <v>191</v>
      </c>
      <c r="F904" s="14" t="s">
        <v>72</v>
      </c>
      <c r="G904" s="12"/>
      <c r="H904" s="17" t="s">
        <v>1529</v>
      </c>
      <c r="I904" s="17" t="s">
        <v>74</v>
      </c>
      <c r="J904" s="56" t="s">
        <v>2831</v>
      </c>
      <c r="K904" s="12"/>
      <c r="L904" s="12"/>
      <c r="M904" s="12"/>
      <c r="N904" s="12"/>
      <c r="O904" s="30" t="str">
        <f t="shared" si="127"/>
        <v>http://honorscollege.cofc.edu/admission/scholarships.php</v>
      </c>
      <c r="P904" s="14" t="s">
        <v>2829</v>
      </c>
      <c r="Q904" s="58">
        <v>0.77</v>
      </c>
      <c r="R904" s="14" t="s">
        <v>266</v>
      </c>
      <c r="S904" s="14" t="s">
        <v>2830</v>
      </c>
      <c r="T904" s="12"/>
      <c r="U904" s="12">
        <v>3.9</v>
      </c>
      <c r="V904" s="12"/>
      <c r="W904" s="12"/>
      <c r="X904" s="12"/>
      <c r="Y904" s="12"/>
      <c r="Z904" s="12"/>
      <c r="AA904" s="12"/>
    </row>
    <row r="905" spans="1:27" ht="160" x14ac:dyDescent="0.2">
      <c r="A905" s="23" t="s">
        <v>2814</v>
      </c>
      <c r="B905" s="14" t="s">
        <v>1717</v>
      </c>
      <c r="C905" s="14" t="s">
        <v>101</v>
      </c>
      <c r="D905" s="12"/>
      <c r="E905" s="14" t="s">
        <v>60</v>
      </c>
      <c r="F905" s="14" t="s">
        <v>72</v>
      </c>
      <c r="G905" s="12"/>
      <c r="H905" s="17" t="s">
        <v>553</v>
      </c>
      <c r="I905" s="17" t="s">
        <v>74</v>
      </c>
      <c r="J905" s="16" t="s">
        <v>2832</v>
      </c>
      <c r="K905" s="24"/>
      <c r="L905" s="24"/>
      <c r="M905" s="14"/>
      <c r="N905" s="12"/>
      <c r="O905" s="30" t="str">
        <f>HYPERLINK("http://www.columbiasc.edu/admissions/financial-aid/first-year-scholarships","http://www.columbiasc.edu/admissions/financial-aid/first-year-scholarships")</f>
        <v>http://www.columbiasc.edu/admissions/financial-aid/first-year-scholarships</v>
      </c>
      <c r="P905" s="33">
        <v>28900</v>
      </c>
      <c r="Q905" s="25">
        <v>0.89</v>
      </c>
      <c r="R905" s="14" t="s">
        <v>259</v>
      </c>
      <c r="S905" s="14" t="s">
        <v>2833</v>
      </c>
      <c r="T905" s="12"/>
      <c r="U905" s="12">
        <v>3.65</v>
      </c>
      <c r="V905" s="12"/>
      <c r="W905" s="12"/>
      <c r="X905" s="12"/>
      <c r="Y905" s="12"/>
      <c r="Z905" s="12"/>
      <c r="AA905" s="12"/>
    </row>
    <row r="906" spans="1:27" ht="111" customHeight="1" x14ac:dyDescent="0.2">
      <c r="A906" s="23" t="s">
        <v>2814</v>
      </c>
      <c r="B906" s="14" t="s">
        <v>2834</v>
      </c>
      <c r="C906" s="14" t="s">
        <v>101</v>
      </c>
      <c r="D906" s="12"/>
      <c r="E906" s="14" t="s">
        <v>238</v>
      </c>
      <c r="F906" s="14" t="s">
        <v>72</v>
      </c>
      <c r="G906" s="12"/>
      <c r="H906" s="17" t="s">
        <v>1123</v>
      </c>
      <c r="I906" s="17">
        <v>1</v>
      </c>
      <c r="J906" s="16" t="s">
        <v>2835</v>
      </c>
      <c r="K906" s="24"/>
      <c r="L906" s="24"/>
      <c r="M906" s="14"/>
      <c r="N906" s="18">
        <v>2.75</v>
      </c>
      <c r="O906" s="30" t="str">
        <f>HYPERLINK("http://www.ciu.edu/admissions-aid/financial-aid/types-of-aid/scholarships-and-grants","http://www.ciu.edu/admissions-aid/financial-aid/types-of-aid/scholarships-and-grants")</f>
        <v>http://www.ciu.edu/admissions-aid/financial-aid/types-of-aid/scholarships-and-grants</v>
      </c>
      <c r="P906" s="33">
        <v>21490</v>
      </c>
      <c r="Q906" s="25">
        <v>0.34</v>
      </c>
      <c r="R906" s="14" t="s">
        <v>126</v>
      </c>
      <c r="S906" s="14" t="s">
        <v>2836</v>
      </c>
      <c r="T906" s="12"/>
      <c r="U906" s="12">
        <v>3.77</v>
      </c>
      <c r="V906" s="12"/>
      <c r="W906" s="74"/>
      <c r="X906" s="12"/>
      <c r="Y906" s="12"/>
      <c r="Z906" s="12"/>
      <c r="AA906" s="12"/>
    </row>
    <row r="907" spans="1:27" ht="224" x14ac:dyDescent="0.2">
      <c r="A907" s="23" t="s">
        <v>2814</v>
      </c>
      <c r="B907" s="14" t="s">
        <v>2837</v>
      </c>
      <c r="C907" s="14" t="s">
        <v>101</v>
      </c>
      <c r="D907" s="12"/>
      <c r="E907" s="16" t="s">
        <v>2838</v>
      </c>
      <c r="F907" s="14" t="s">
        <v>72</v>
      </c>
      <c r="G907" s="12"/>
      <c r="H907" s="17" t="s">
        <v>2839</v>
      </c>
      <c r="I907" s="17" t="s">
        <v>74</v>
      </c>
      <c r="J907" s="14" t="s">
        <v>2840</v>
      </c>
      <c r="K907" s="12"/>
      <c r="L907" s="12"/>
      <c r="M907" s="12"/>
      <c r="N907" s="12"/>
      <c r="O907" s="30" t="str">
        <f>HYPERLINK("http://visit.erskine.edu/apply/excellence-affordability/","http://visit.erskine.edu/apply/excellence-affordability/")</f>
        <v>http://visit.erskine.edu/apply/excellence-affordability/</v>
      </c>
      <c r="P907" s="33">
        <v>34560</v>
      </c>
      <c r="Q907" s="25">
        <v>0.64</v>
      </c>
      <c r="R907" s="52" t="s">
        <v>259</v>
      </c>
      <c r="S907" s="34" t="s">
        <v>2841</v>
      </c>
      <c r="T907" s="12"/>
      <c r="U907" s="12" t="s">
        <v>81</v>
      </c>
      <c r="V907" s="12"/>
      <c r="W907" s="74"/>
      <c r="X907" s="12"/>
      <c r="Y907" s="12"/>
      <c r="Z907" s="12"/>
      <c r="AA907" s="12"/>
    </row>
    <row r="908" spans="1:27" ht="192" x14ac:dyDescent="0.2">
      <c r="A908" s="23" t="s">
        <v>2814</v>
      </c>
      <c r="B908" s="14" t="s">
        <v>2842</v>
      </c>
      <c r="C908" s="14" t="s">
        <v>59</v>
      </c>
      <c r="D908" s="14" t="s">
        <v>194</v>
      </c>
      <c r="E908" s="14" t="s">
        <v>60</v>
      </c>
      <c r="F908" s="14" t="s">
        <v>72</v>
      </c>
      <c r="G908" s="12"/>
      <c r="H908" s="17" t="s">
        <v>239</v>
      </c>
      <c r="I908" s="17" t="s">
        <v>74</v>
      </c>
      <c r="J908" s="14" t="s">
        <v>2843</v>
      </c>
      <c r="K908" s="12"/>
      <c r="L908" s="12"/>
      <c r="M908" s="12"/>
      <c r="N908" s="12"/>
      <c r="O908" s="30" t="str">
        <f>HYPERLINK("http://www.fmarion.edu/fmuadmissions/article291494.htm","http://www.fmarion.edu/fmuadmissions/article291494.htm")</f>
        <v>http://www.fmarion.edu/fmuadmissions/article291494.htm</v>
      </c>
      <c r="P908" s="14" t="s">
        <v>2844</v>
      </c>
      <c r="Q908" s="25">
        <v>0.59</v>
      </c>
      <c r="R908" s="14" t="s">
        <v>155</v>
      </c>
      <c r="S908" s="14" t="s">
        <v>2845</v>
      </c>
      <c r="T908" s="12"/>
      <c r="U908" s="12">
        <v>3.69</v>
      </c>
      <c r="V908" s="12"/>
      <c r="W908" s="12"/>
      <c r="X908" s="12"/>
      <c r="Y908" s="12"/>
      <c r="Z908" s="12"/>
      <c r="AA908" s="12"/>
    </row>
    <row r="909" spans="1:27" ht="289" x14ac:dyDescent="0.2">
      <c r="A909" s="23" t="s">
        <v>2814</v>
      </c>
      <c r="B909" s="14" t="s">
        <v>2846</v>
      </c>
      <c r="C909" s="14" t="s">
        <v>101</v>
      </c>
      <c r="D909" s="12"/>
      <c r="E909" s="14" t="s">
        <v>60</v>
      </c>
      <c r="F909" s="14" t="s">
        <v>72</v>
      </c>
      <c r="G909" s="12"/>
      <c r="H909" s="17" t="s">
        <v>2847</v>
      </c>
      <c r="I909" s="17">
        <v>10</v>
      </c>
      <c r="J909" s="122" t="s">
        <v>2848</v>
      </c>
      <c r="K909" s="17"/>
      <c r="L909" s="17"/>
      <c r="M909" s="12"/>
      <c r="N909" s="12"/>
      <c r="O909" s="30" t="str">
        <f>HYPERLINK("http://www.furman.edu/admission/EngageFurman/FinancialInformation/Pages/Selection-Process.aspx","http://www.furman.edu/admission/EngageFurman/FinancialInformation/Pages/Selection-Process.aspx")</f>
        <v>http://www.furman.edu/admission/EngageFurman/FinancialInformation/Pages/Selection-Process.aspx</v>
      </c>
      <c r="P909" s="33">
        <v>47164</v>
      </c>
      <c r="Q909" s="25">
        <v>0.65</v>
      </c>
      <c r="R909" s="34" t="s">
        <v>426</v>
      </c>
      <c r="S909" s="34" t="s">
        <v>2849</v>
      </c>
      <c r="T909" s="12"/>
      <c r="U909" s="12" t="s">
        <v>81</v>
      </c>
      <c r="V909" s="12"/>
      <c r="W909" s="12"/>
      <c r="X909" s="12"/>
      <c r="Y909" s="12"/>
      <c r="Z909" s="12"/>
      <c r="AA909" s="12"/>
    </row>
    <row r="910" spans="1:27" ht="158.25" customHeight="1" x14ac:dyDescent="0.2">
      <c r="A910" s="23" t="s">
        <v>2814</v>
      </c>
      <c r="B910" s="14" t="s">
        <v>2846</v>
      </c>
      <c r="C910" s="14" t="s">
        <v>101</v>
      </c>
      <c r="D910" s="12"/>
      <c r="E910" s="14" t="s">
        <v>238</v>
      </c>
      <c r="F910" s="14" t="s">
        <v>145</v>
      </c>
      <c r="G910" s="12"/>
      <c r="H910" s="17" t="s">
        <v>157</v>
      </c>
      <c r="I910" s="17" t="s">
        <v>74</v>
      </c>
      <c r="J910" s="14" t="s">
        <v>2850</v>
      </c>
      <c r="K910" s="12"/>
      <c r="L910" s="12"/>
      <c r="M910" s="12"/>
      <c r="N910" s="12"/>
      <c r="O910" s="30" t="str">
        <f>HYPERLINK("http://www.furman.edu/admission/EngageFurman/FinancialInformation/Pages/other-scholarships.aspx","http://www.furman.edu/admission/EngageFurman/FinancialInformation/Pages/other-scholarships.aspx")</f>
        <v>http://www.furman.edu/admission/EngageFurman/FinancialInformation/Pages/other-scholarships.aspx</v>
      </c>
      <c r="P910" s="33">
        <v>47164</v>
      </c>
      <c r="Q910" s="25">
        <v>0.65</v>
      </c>
      <c r="R910" s="34" t="s">
        <v>426</v>
      </c>
      <c r="S910" s="34" t="s">
        <v>2849</v>
      </c>
      <c r="T910" s="12"/>
      <c r="U910" s="12" t="s">
        <v>81</v>
      </c>
      <c r="V910" s="12"/>
      <c r="W910" s="12"/>
      <c r="X910" s="12"/>
      <c r="Y910" s="12"/>
      <c r="Z910" s="12"/>
      <c r="AA910" s="12"/>
    </row>
    <row r="911" spans="1:27" ht="111" customHeight="1" x14ac:dyDescent="0.2">
      <c r="A911" s="23" t="s">
        <v>2814</v>
      </c>
      <c r="B911" s="14" t="s">
        <v>2851</v>
      </c>
      <c r="C911" s="14" t="s">
        <v>101</v>
      </c>
      <c r="D911" s="12"/>
      <c r="E911" s="14" t="s">
        <v>111</v>
      </c>
      <c r="F911" s="16" t="s">
        <v>72</v>
      </c>
      <c r="G911" s="12"/>
      <c r="H911" s="17" t="s">
        <v>62</v>
      </c>
      <c r="I911" s="17" t="s">
        <v>74</v>
      </c>
      <c r="J911" s="14" t="s">
        <v>2852</v>
      </c>
      <c r="K911" s="12"/>
      <c r="L911" s="24">
        <v>1300</v>
      </c>
      <c r="M911" s="17" t="s">
        <v>76</v>
      </c>
      <c r="N911" s="24">
        <v>3.5</v>
      </c>
      <c r="O911" s="30" t="str">
        <f t="shared" ref="O911:O912" si="128">HYPERLINK("http://www.limestone.edu/day/costs","http://www.limestone.edu/day/costs")</f>
        <v>http://www.limestone.edu/day/costs</v>
      </c>
      <c r="P911" s="33">
        <v>23900</v>
      </c>
      <c r="Q911" s="58">
        <v>0.52</v>
      </c>
      <c r="R911" s="14" t="s">
        <v>138</v>
      </c>
      <c r="S911" s="14" t="s">
        <v>2853</v>
      </c>
      <c r="T911" s="12"/>
      <c r="U911" s="12">
        <v>3.24</v>
      </c>
      <c r="V911" s="12"/>
      <c r="W911" s="12"/>
      <c r="X911" s="12"/>
      <c r="Y911" s="12"/>
      <c r="Z911" s="12"/>
      <c r="AA911" s="12"/>
    </row>
    <row r="912" spans="1:27" ht="176" x14ac:dyDescent="0.2">
      <c r="A912" s="23" t="s">
        <v>2814</v>
      </c>
      <c r="B912" s="14" t="s">
        <v>2851</v>
      </c>
      <c r="C912" s="14" t="s">
        <v>101</v>
      </c>
      <c r="D912" s="12"/>
      <c r="E912" s="14" t="s">
        <v>111</v>
      </c>
      <c r="F912" s="14" t="s">
        <v>72</v>
      </c>
      <c r="G912" s="12"/>
      <c r="H912" s="17" t="s">
        <v>239</v>
      </c>
      <c r="I912" s="17">
        <v>3</v>
      </c>
      <c r="J912" s="14" t="s">
        <v>2854</v>
      </c>
      <c r="K912" s="12"/>
      <c r="L912" s="12"/>
      <c r="M912" s="12"/>
      <c r="N912" s="12"/>
      <c r="O912" s="30" t="str">
        <f t="shared" si="128"/>
        <v>http://www.limestone.edu/day/costs</v>
      </c>
      <c r="P912" s="33">
        <v>23900</v>
      </c>
      <c r="Q912" s="58">
        <v>0.52</v>
      </c>
      <c r="R912" s="14" t="s">
        <v>138</v>
      </c>
      <c r="S912" s="14" t="s">
        <v>2853</v>
      </c>
      <c r="T912" s="12"/>
      <c r="U912" s="12">
        <v>3.24</v>
      </c>
      <c r="V912" s="12"/>
      <c r="W912" s="12"/>
      <c r="X912" s="12"/>
      <c r="Y912" s="12"/>
      <c r="Z912" s="12"/>
      <c r="AA912" s="12"/>
    </row>
    <row r="913" spans="1:27" ht="111" customHeight="1" x14ac:dyDescent="0.2">
      <c r="A913" s="23" t="s">
        <v>2814</v>
      </c>
      <c r="B913" s="14" t="s">
        <v>2855</v>
      </c>
      <c r="C913" s="14" t="s">
        <v>101</v>
      </c>
      <c r="D913" s="14" t="s">
        <v>794</v>
      </c>
      <c r="E913" s="14" t="s">
        <v>111</v>
      </c>
      <c r="F913" s="14" t="s">
        <v>61</v>
      </c>
      <c r="G913" s="12"/>
      <c r="H913" s="17" t="s">
        <v>239</v>
      </c>
      <c r="I913" s="17" t="s">
        <v>74</v>
      </c>
      <c r="J913" s="14" t="s">
        <v>2856</v>
      </c>
      <c r="K913" s="12"/>
      <c r="L913" s="12"/>
      <c r="M913" s="12"/>
      <c r="N913" s="12"/>
      <c r="O913" s="30" t="str">
        <f>HYPERLINK("http://www.ngu.edu/ngu-academic-scholarships.php","http://www.ngu.edu/ngu-academic-scholarships.php")</f>
        <v>http://www.ngu.edu/ngu-academic-scholarships.php</v>
      </c>
      <c r="P913" s="33">
        <v>17594</v>
      </c>
      <c r="Q913" s="25">
        <v>0.57999999999999996</v>
      </c>
      <c r="R913" s="14" t="s">
        <v>2857</v>
      </c>
      <c r="S913" s="14" t="s">
        <v>2858</v>
      </c>
      <c r="T913" s="12"/>
      <c r="U913" s="12">
        <v>3.5</v>
      </c>
      <c r="V913" s="12"/>
      <c r="W913" s="12"/>
      <c r="X913" s="12"/>
      <c r="Y913" s="12"/>
      <c r="Z913" s="12"/>
      <c r="AA913" s="12"/>
    </row>
    <row r="914" spans="1:27" ht="95.25" customHeight="1" x14ac:dyDescent="0.2">
      <c r="A914" s="23" t="s">
        <v>2814</v>
      </c>
      <c r="B914" s="14" t="s">
        <v>2859</v>
      </c>
      <c r="C914" s="14" t="s">
        <v>59</v>
      </c>
      <c r="D914" s="12"/>
      <c r="E914" s="14" t="s">
        <v>60</v>
      </c>
      <c r="F914" s="14" t="s">
        <v>72</v>
      </c>
      <c r="G914" s="12"/>
      <c r="H914" s="17" t="s">
        <v>62</v>
      </c>
      <c r="I914" s="17" t="s">
        <v>74</v>
      </c>
      <c r="J914" s="14" t="s">
        <v>2860</v>
      </c>
      <c r="K914" s="24">
        <v>24</v>
      </c>
      <c r="L914" s="24">
        <v>1100</v>
      </c>
      <c r="M914" s="14" t="s">
        <v>197</v>
      </c>
      <c r="N914" s="24">
        <v>3.25</v>
      </c>
      <c r="O914" s="30" t="str">
        <f t="shared" ref="O914:O915" si="129">HYPERLINK("http://www.scsu.edu/scholarships/institutionalscholarships.aspx","http://www.scsu.edu/scholarships/institutionalscholarships.aspx")</f>
        <v>http://www.scsu.edu/scholarships/institutionalscholarships.aspx</v>
      </c>
      <c r="P914" s="14" t="s">
        <v>2861</v>
      </c>
      <c r="Q914" s="25">
        <v>0.95</v>
      </c>
      <c r="R914" s="14" t="s">
        <v>2862</v>
      </c>
      <c r="S914" s="14" t="s">
        <v>2863</v>
      </c>
      <c r="T914" s="12"/>
      <c r="U914" s="12">
        <v>2.79</v>
      </c>
      <c r="V914" s="12"/>
      <c r="W914" s="12"/>
      <c r="X914" s="12"/>
      <c r="Y914" s="12"/>
      <c r="Z914" s="12"/>
      <c r="AA914" s="12"/>
    </row>
    <row r="915" spans="1:27" ht="193" x14ac:dyDescent="0.2">
      <c r="A915" s="23" t="s">
        <v>2814</v>
      </c>
      <c r="B915" s="14" t="s">
        <v>2859</v>
      </c>
      <c r="C915" s="14" t="s">
        <v>59</v>
      </c>
      <c r="D915" s="12"/>
      <c r="E915" s="14" t="s">
        <v>82</v>
      </c>
      <c r="F915" s="14" t="s">
        <v>72</v>
      </c>
      <c r="G915" s="12"/>
      <c r="H915" s="17" t="s">
        <v>250</v>
      </c>
      <c r="I915" s="17" t="s">
        <v>74</v>
      </c>
      <c r="J915" s="56" t="s">
        <v>2864</v>
      </c>
      <c r="K915" s="24">
        <v>27</v>
      </c>
      <c r="L915" s="24">
        <v>1200</v>
      </c>
      <c r="M915" s="14" t="s">
        <v>197</v>
      </c>
      <c r="N915" s="24">
        <v>3.5</v>
      </c>
      <c r="O915" s="30" t="str">
        <f t="shared" si="129"/>
        <v>http://www.scsu.edu/scholarships/institutionalscholarships.aspx</v>
      </c>
      <c r="P915" s="14" t="s">
        <v>2861</v>
      </c>
      <c r="Q915" s="25">
        <v>0.95</v>
      </c>
      <c r="R915" s="14" t="s">
        <v>2862</v>
      </c>
      <c r="S915" s="14" t="s">
        <v>2863</v>
      </c>
      <c r="T915" s="12"/>
      <c r="U915" s="12">
        <v>2.79</v>
      </c>
      <c r="V915" s="12"/>
      <c r="W915" s="12"/>
      <c r="X915" s="12"/>
      <c r="Y915" s="12"/>
      <c r="Z915" s="12"/>
      <c r="AA915" s="12"/>
    </row>
    <row r="916" spans="1:27" ht="192" x14ac:dyDescent="0.2">
      <c r="A916" s="23" t="s">
        <v>2814</v>
      </c>
      <c r="B916" s="14" t="s">
        <v>2865</v>
      </c>
      <c r="C916" s="14" t="s">
        <v>59</v>
      </c>
      <c r="D916" s="12"/>
      <c r="E916" s="14" t="s">
        <v>111</v>
      </c>
      <c r="F916" s="14" t="s">
        <v>72</v>
      </c>
      <c r="G916" s="12"/>
      <c r="H916" s="17" t="s">
        <v>239</v>
      </c>
      <c r="I916" s="17" t="s">
        <v>74</v>
      </c>
      <c r="J916" s="14" t="s">
        <v>2866</v>
      </c>
      <c r="K916" s="12"/>
      <c r="L916" s="12"/>
      <c r="M916" s="12"/>
      <c r="N916" s="12"/>
      <c r="O916" s="19" t="s">
        <v>2867</v>
      </c>
      <c r="P916" s="14" t="s">
        <v>2868</v>
      </c>
      <c r="Q916" s="25">
        <v>0.77</v>
      </c>
      <c r="R916" s="14" t="s">
        <v>767</v>
      </c>
      <c r="S916" s="14" t="s">
        <v>2869</v>
      </c>
      <c r="T916" s="12"/>
      <c r="U916" s="12">
        <v>3.62</v>
      </c>
      <c r="V916" s="12"/>
      <c r="W916" s="12"/>
      <c r="X916" s="12"/>
      <c r="Y916" s="12"/>
      <c r="Z916" s="12"/>
      <c r="AA916" s="12"/>
    </row>
    <row r="917" spans="1:27" ht="114" customHeight="1" x14ac:dyDescent="0.2">
      <c r="A917" s="11" t="s">
        <v>2814</v>
      </c>
      <c r="B917" s="12" t="s">
        <v>2870</v>
      </c>
      <c r="C917" s="26" t="s">
        <v>59</v>
      </c>
      <c r="D917" s="12"/>
      <c r="E917" s="17" t="s">
        <v>136</v>
      </c>
      <c r="F917" s="12" t="s">
        <v>72</v>
      </c>
      <c r="G917" s="12"/>
      <c r="H917" s="17" t="s">
        <v>553</v>
      </c>
      <c r="I917" s="17">
        <v>5</v>
      </c>
      <c r="J917" s="127" t="s">
        <v>2871</v>
      </c>
      <c r="K917" s="12"/>
      <c r="L917" s="12"/>
      <c r="M917" s="12"/>
      <c r="N917" s="12"/>
      <c r="O917" s="30" t="str">
        <f>HYPERLINK("http://www.sc.edu/about/offices_and_divisions/undergraduate_admissions/tuition_scholarships/scholarships/sc_residents/index.php","http://www.sc.edu/about/offices_and_divisions/undergraduate_admissions/tuition_scholarships/scholarships/sc_residents/index.php")</f>
        <v>http://www.sc.edu/about/offices_and_divisions/undergraduate_admissions/tuition_scholarships/scholarships/sc_residents/index.php</v>
      </c>
      <c r="P917" s="26" t="s">
        <v>2872</v>
      </c>
      <c r="Q917" s="31">
        <v>0.65</v>
      </c>
      <c r="R917" s="26" t="s">
        <v>638</v>
      </c>
      <c r="S917" s="26" t="s">
        <v>2873</v>
      </c>
      <c r="T917" s="12"/>
      <c r="U917" s="12">
        <v>4.04</v>
      </c>
      <c r="V917" s="12"/>
      <c r="W917" s="12"/>
      <c r="X917" s="12"/>
      <c r="Y917" s="12"/>
      <c r="Z917" s="12"/>
      <c r="AA917" s="12"/>
    </row>
    <row r="918" spans="1:27" ht="170.25" customHeight="1" x14ac:dyDescent="0.2">
      <c r="A918" s="11" t="s">
        <v>2814</v>
      </c>
      <c r="B918" s="12" t="s">
        <v>2870</v>
      </c>
      <c r="C918" s="26" t="s">
        <v>59</v>
      </c>
      <c r="D918" s="12" t="s">
        <v>2874</v>
      </c>
      <c r="E918" s="65" t="s">
        <v>60</v>
      </c>
      <c r="F918" s="12" t="s">
        <v>72</v>
      </c>
      <c r="G918" s="12"/>
      <c r="H918" s="17" t="s">
        <v>1987</v>
      </c>
      <c r="I918" s="17">
        <v>20</v>
      </c>
      <c r="J918" s="127" t="s">
        <v>2875</v>
      </c>
      <c r="K918" s="12"/>
      <c r="L918" s="12"/>
      <c r="M918" s="12"/>
      <c r="N918" s="12"/>
      <c r="O918" s="30" t="str">
        <f>HYPERLINK("http://www.sc.edu/about/offices_and_divisions/undergraduate_admissions/tuition_scholarships/scholarships/nonresidents/index.php","http://www.sc.edu/about/offices_and_divisions/undergraduate_admissions/tuition_scholarships/scholarships/nonresidents/index.php")</f>
        <v>http://www.sc.edu/about/offices_and_divisions/undergraduate_admissions/tuition_scholarships/scholarships/nonresidents/index.php</v>
      </c>
      <c r="P918" s="26" t="s">
        <v>2872</v>
      </c>
      <c r="Q918" s="31">
        <v>0.65</v>
      </c>
      <c r="R918" s="26" t="s">
        <v>638</v>
      </c>
      <c r="S918" s="26" t="s">
        <v>2873</v>
      </c>
      <c r="T918" s="12"/>
      <c r="U918" s="12">
        <v>4.04</v>
      </c>
      <c r="V918" s="12"/>
      <c r="W918" s="12"/>
      <c r="X918" s="12"/>
      <c r="Y918" s="12"/>
      <c r="Z918" s="12"/>
      <c r="AA918" s="12"/>
    </row>
    <row r="919" spans="1:27" ht="147.75" customHeight="1" x14ac:dyDescent="0.2">
      <c r="A919" s="11" t="s">
        <v>2814</v>
      </c>
      <c r="B919" s="12" t="s">
        <v>2876</v>
      </c>
      <c r="C919" s="26" t="s">
        <v>59</v>
      </c>
      <c r="D919" s="26" t="s">
        <v>194</v>
      </c>
      <c r="E919" s="214" t="s">
        <v>82</v>
      </c>
      <c r="F919" s="12" t="s">
        <v>680</v>
      </c>
      <c r="G919" s="12"/>
      <c r="H919" s="17" t="s">
        <v>2153</v>
      </c>
      <c r="I919" s="17" t="s">
        <v>74</v>
      </c>
      <c r="J919" s="32" t="s">
        <v>2877</v>
      </c>
      <c r="K919" s="12"/>
      <c r="L919" s="12"/>
      <c r="M919" s="12"/>
      <c r="N919" s="12"/>
      <c r="O919" s="30" t="str">
        <f t="shared" ref="O919:O920" si="130">HYPERLINK("http://www.winthrop.edu/finaid/academicscholarships/#enteringfreshmen","http://www.winthrop.edu/finaid/academicscholarships/#enteringfreshmen")</f>
        <v>http://www.winthrop.edu/finaid/academicscholarships/#enteringfreshmen</v>
      </c>
      <c r="P919" s="26" t="s">
        <v>2878</v>
      </c>
      <c r="Q919" s="31">
        <v>0.67</v>
      </c>
      <c r="R919" s="26" t="s">
        <v>126</v>
      </c>
      <c r="S919" s="26" t="s">
        <v>2879</v>
      </c>
      <c r="T919" s="12"/>
      <c r="U919" s="12">
        <v>3.91</v>
      </c>
      <c r="V919" s="12"/>
      <c r="W919" s="12"/>
      <c r="X919" s="12"/>
      <c r="Y919" s="12"/>
      <c r="Z919" s="12"/>
      <c r="AA919" s="12"/>
    </row>
    <row r="920" spans="1:27" ht="255.75" customHeight="1" x14ac:dyDescent="0.2">
      <c r="A920" s="39" t="s">
        <v>2814</v>
      </c>
      <c r="B920" s="40" t="s">
        <v>2876</v>
      </c>
      <c r="C920" s="53" t="s">
        <v>59</v>
      </c>
      <c r="D920" s="53" t="s">
        <v>334</v>
      </c>
      <c r="E920" s="215" t="s">
        <v>111</v>
      </c>
      <c r="F920" s="40" t="s">
        <v>680</v>
      </c>
      <c r="G920" s="40"/>
      <c r="H920" s="17" t="s">
        <v>2153</v>
      </c>
      <c r="I920" s="17" t="s">
        <v>74</v>
      </c>
      <c r="J920" s="53" t="s">
        <v>2877</v>
      </c>
      <c r="K920" s="40"/>
      <c r="L920" s="40"/>
      <c r="M920" s="40"/>
      <c r="N920" s="40"/>
      <c r="O920" s="30" t="str">
        <f t="shared" si="130"/>
        <v>http://www.winthrop.edu/finaid/academicscholarships/#enteringfreshmen</v>
      </c>
      <c r="P920" s="53" t="s">
        <v>2878</v>
      </c>
      <c r="Q920" s="99">
        <v>0.67</v>
      </c>
      <c r="R920" s="53" t="s">
        <v>126</v>
      </c>
      <c r="S920" s="53" t="s">
        <v>2879</v>
      </c>
      <c r="T920" s="40"/>
      <c r="U920" s="40">
        <v>3.91</v>
      </c>
      <c r="V920" s="40"/>
      <c r="W920" s="40"/>
      <c r="X920" s="40"/>
      <c r="Y920" s="40"/>
      <c r="Z920" s="40"/>
      <c r="AA920" s="40"/>
    </row>
    <row r="921" spans="1:27" ht="237" customHeight="1" x14ac:dyDescent="0.2">
      <c r="A921" s="23" t="s">
        <v>2814</v>
      </c>
      <c r="B921" s="14" t="s">
        <v>2880</v>
      </c>
      <c r="C921" s="14" t="s">
        <v>101</v>
      </c>
      <c r="D921" s="61"/>
      <c r="E921" s="14" t="s">
        <v>136</v>
      </c>
      <c r="F921" s="23" t="s">
        <v>72</v>
      </c>
      <c r="G921" s="14"/>
      <c r="H921" s="16" t="s">
        <v>2881</v>
      </c>
      <c r="I921" s="16" t="s">
        <v>74</v>
      </c>
      <c r="J921" s="181" t="s">
        <v>2882</v>
      </c>
      <c r="K921" s="14">
        <v>28</v>
      </c>
      <c r="L921" s="16">
        <v>1300</v>
      </c>
      <c r="M921" s="16" t="s">
        <v>76</v>
      </c>
      <c r="N921" s="14"/>
      <c r="O921" s="216" t="str">
        <f>HYPERLINK("http://www.wofford.edu/admission/content.aspx?id=59740","http://www.wofford.edu/admission/content.aspx?id=59740")</f>
        <v>http://www.wofford.edu/admission/content.aspx?id=59740</v>
      </c>
      <c r="P921" s="33">
        <v>40245</v>
      </c>
      <c r="Q921" s="25">
        <v>0.72</v>
      </c>
      <c r="R921" s="51" t="s">
        <v>105</v>
      </c>
      <c r="S921" s="51" t="s">
        <v>2883</v>
      </c>
      <c r="T921" s="14"/>
      <c r="U921" s="12">
        <v>3.57</v>
      </c>
      <c r="V921" s="12"/>
      <c r="W921" s="12"/>
      <c r="X921" s="12"/>
      <c r="Y921" s="12"/>
      <c r="Z921" s="12"/>
      <c r="AA921" s="12"/>
    </row>
    <row r="922" spans="1:27" ht="301" x14ac:dyDescent="0.2">
      <c r="A922" s="23" t="s">
        <v>2814</v>
      </c>
      <c r="B922" s="14" t="s">
        <v>2880</v>
      </c>
      <c r="C922" s="14" t="s">
        <v>101</v>
      </c>
      <c r="D922" s="12"/>
      <c r="E922" s="14" t="s">
        <v>789</v>
      </c>
      <c r="F922" s="14" t="s">
        <v>145</v>
      </c>
      <c r="G922" s="12"/>
      <c r="H922" s="17" t="s">
        <v>157</v>
      </c>
      <c r="I922" s="17" t="s">
        <v>74</v>
      </c>
      <c r="J922" s="56" t="s">
        <v>2884</v>
      </c>
      <c r="K922" s="12"/>
      <c r="L922" s="12"/>
      <c r="M922" s="12"/>
      <c r="N922" s="12"/>
      <c r="O922" s="30" t="str">
        <f>HYPERLINK("http://www.wofford.edu/uploadedFiles/Fin%20Aid%20Handbook%2005.21.2015.docx","http://www.wofford.edu/uploadedFiles/Fin%20Aid%20Handbook%2005.21.2015.docx")</f>
        <v>http://www.wofford.edu/uploadedFiles/Fin%20Aid%20Handbook%2005.21.2015.docx</v>
      </c>
      <c r="P922" s="33">
        <v>40245</v>
      </c>
      <c r="Q922" s="25">
        <v>0.72</v>
      </c>
      <c r="R922" s="51" t="s">
        <v>105</v>
      </c>
      <c r="S922" s="51" t="s">
        <v>2883</v>
      </c>
      <c r="T922" s="14"/>
      <c r="U922" s="12">
        <v>3.57</v>
      </c>
      <c r="V922" s="12"/>
      <c r="W922" s="12"/>
      <c r="X922" s="12"/>
      <c r="Y922" s="12"/>
      <c r="Z922" s="12"/>
      <c r="AA922" s="12"/>
    </row>
    <row r="923" spans="1:27" ht="158.25" customHeight="1" x14ac:dyDescent="0.2">
      <c r="A923" s="23" t="s">
        <v>2885</v>
      </c>
      <c r="B923" s="14" t="s">
        <v>2886</v>
      </c>
      <c r="C923" s="14" t="s">
        <v>101</v>
      </c>
      <c r="D923" s="12"/>
      <c r="E923" s="14" t="s">
        <v>177</v>
      </c>
      <c r="F923" s="16" t="s">
        <v>72</v>
      </c>
      <c r="G923" s="12"/>
      <c r="H923" s="17" t="s">
        <v>2887</v>
      </c>
      <c r="I923" s="17">
        <v>2</v>
      </c>
      <c r="J923" s="14" t="s">
        <v>2888</v>
      </c>
      <c r="K923" s="24">
        <v>29</v>
      </c>
      <c r="L923" s="12"/>
      <c r="M923" s="12"/>
      <c r="N923" s="12">
        <v>3.5</v>
      </c>
      <c r="O923" s="30" t="str">
        <f t="shared" ref="O923:O924" si="131">HYPERLINK("http://www.augie.edu/admission/financing-your-education/scholarships","http://www.augie.edu/admission/financing-your-education/scholarships")</f>
        <v>http://www.augie.edu/admission/financing-your-education/scholarships</v>
      </c>
      <c r="P923" s="33">
        <v>30944</v>
      </c>
      <c r="Q923" s="57">
        <v>0.65</v>
      </c>
      <c r="R923" s="12" t="s">
        <v>266</v>
      </c>
      <c r="S923" s="12" t="s">
        <v>2889</v>
      </c>
      <c r="T923" s="12"/>
      <c r="U923" s="12">
        <v>3.68</v>
      </c>
      <c r="V923" s="12"/>
      <c r="W923" s="12"/>
      <c r="X923" s="12"/>
      <c r="Y923" s="12"/>
      <c r="Z923" s="12"/>
      <c r="AA923" s="12"/>
    </row>
    <row r="924" spans="1:27" ht="174" customHeight="1" x14ac:dyDescent="0.2">
      <c r="A924" s="23" t="s">
        <v>2885</v>
      </c>
      <c r="B924" s="14" t="s">
        <v>2886</v>
      </c>
      <c r="C924" s="14" t="s">
        <v>101</v>
      </c>
      <c r="D924" s="12"/>
      <c r="E924" s="14" t="s">
        <v>177</v>
      </c>
      <c r="F924" s="14" t="s">
        <v>61</v>
      </c>
      <c r="G924" s="12"/>
      <c r="H924" s="17" t="s">
        <v>837</v>
      </c>
      <c r="I924" s="17" t="s">
        <v>74</v>
      </c>
      <c r="J924" s="14" t="s">
        <v>2890</v>
      </c>
      <c r="K924" s="24">
        <v>27</v>
      </c>
      <c r="L924" s="12"/>
      <c r="M924" s="12"/>
      <c r="N924" s="24">
        <v>3.5</v>
      </c>
      <c r="O924" s="30" t="str">
        <f t="shared" si="131"/>
        <v>http://www.augie.edu/admission/financing-your-education/scholarships</v>
      </c>
      <c r="P924" s="33">
        <v>30944</v>
      </c>
      <c r="Q924" s="57">
        <v>0.65</v>
      </c>
      <c r="R924" s="12" t="s">
        <v>266</v>
      </c>
      <c r="S924" s="12" t="s">
        <v>2889</v>
      </c>
      <c r="T924" s="12"/>
      <c r="U924" s="12">
        <v>3.68</v>
      </c>
      <c r="V924" s="12"/>
      <c r="W924" s="12"/>
      <c r="X924" s="12"/>
      <c r="Y924" s="12"/>
      <c r="Z924" s="12"/>
      <c r="AA924" s="12"/>
    </row>
    <row r="925" spans="1:27" ht="217" x14ac:dyDescent="0.2">
      <c r="A925" s="23" t="s">
        <v>2885</v>
      </c>
      <c r="B925" s="14" t="s">
        <v>2891</v>
      </c>
      <c r="C925" s="14" t="s">
        <v>59</v>
      </c>
      <c r="D925" s="12"/>
      <c r="E925" s="14" t="s">
        <v>60</v>
      </c>
      <c r="F925" s="14" t="s">
        <v>72</v>
      </c>
      <c r="G925" s="12"/>
      <c r="H925" s="17" t="s">
        <v>2887</v>
      </c>
      <c r="I925" s="17" t="s">
        <v>74</v>
      </c>
      <c r="J925" s="56" t="s">
        <v>2892</v>
      </c>
      <c r="K925" s="24">
        <v>27</v>
      </c>
      <c r="L925" s="12"/>
      <c r="M925" s="12"/>
      <c r="N925" s="24">
        <v>2.8</v>
      </c>
      <c r="O925" s="30" t="str">
        <f>HYPERLINK("http://www.northern.edu/financialaid/Pages/freshman.aspx","http://www.northern.edu/financialaid/Pages/freshman.aspx")</f>
        <v>http://www.northern.edu/financialaid/Pages/freshman.aspx</v>
      </c>
      <c r="P925" s="14" t="s">
        <v>2893</v>
      </c>
      <c r="Q925" s="57">
        <v>0.83</v>
      </c>
      <c r="R925" s="12" t="s">
        <v>130</v>
      </c>
      <c r="S925" s="12" t="s">
        <v>2894</v>
      </c>
      <c r="T925" s="12"/>
      <c r="U925" s="12">
        <v>3.25</v>
      </c>
      <c r="V925" s="12"/>
      <c r="W925" s="12"/>
      <c r="X925" s="12"/>
      <c r="Y925" s="12"/>
      <c r="Z925" s="12"/>
      <c r="AA925" s="12"/>
    </row>
    <row r="926" spans="1:27" ht="181" x14ac:dyDescent="0.2">
      <c r="A926" s="23" t="s">
        <v>2885</v>
      </c>
      <c r="B926" s="14" t="s">
        <v>2895</v>
      </c>
      <c r="C926" s="14" t="s">
        <v>101</v>
      </c>
      <c r="D926" s="12"/>
      <c r="E926" s="14" t="s">
        <v>60</v>
      </c>
      <c r="F926" s="14" t="s">
        <v>61</v>
      </c>
      <c r="G926" s="12"/>
      <c r="H926" s="17" t="s">
        <v>2887</v>
      </c>
      <c r="I926" s="17" t="s">
        <v>74</v>
      </c>
      <c r="J926" s="56" t="s">
        <v>2896</v>
      </c>
      <c r="K926" s="24">
        <v>26</v>
      </c>
      <c r="L926" s="24">
        <v>1220</v>
      </c>
      <c r="M926" s="17" t="s">
        <v>76</v>
      </c>
      <c r="N926" s="24">
        <v>2.8</v>
      </c>
      <c r="O926" s="30" t="str">
        <f>HYPERLINK("http://www.usiouxfalls.edu/index.php?option=com_content&amp;task=view&amp;id=1253&amp;Itemid=426","http://www.usiouxfalls.edu/index.php?option=com_content&amp;task=view&amp;id=1253&amp;Itemid=426")</f>
        <v>http://www.usiouxfalls.edu/index.php?option=com_content&amp;task=view&amp;id=1253&amp;Itemid=426</v>
      </c>
      <c r="P926" s="33">
        <v>27160</v>
      </c>
      <c r="Q926" s="57">
        <v>0.97</v>
      </c>
      <c r="R926" s="12" t="s">
        <v>130</v>
      </c>
      <c r="S926" s="12" t="s">
        <v>2897</v>
      </c>
      <c r="T926" s="12"/>
      <c r="U926" s="12">
        <v>3.3</v>
      </c>
      <c r="V926" s="12"/>
      <c r="W926" s="12"/>
      <c r="X926" s="12"/>
      <c r="Y926" s="12"/>
      <c r="Z926" s="12"/>
      <c r="AA926" s="12"/>
    </row>
    <row r="927" spans="1:27" ht="126.75" customHeight="1" x14ac:dyDescent="0.2">
      <c r="A927" s="23" t="s">
        <v>2885</v>
      </c>
      <c r="B927" s="14" t="s">
        <v>2898</v>
      </c>
      <c r="C927" s="14" t="s">
        <v>59</v>
      </c>
      <c r="D927" s="12"/>
      <c r="E927" s="14" t="s">
        <v>1928</v>
      </c>
      <c r="F927" s="14" t="s">
        <v>72</v>
      </c>
      <c r="G927" s="12"/>
      <c r="H927" s="17" t="s">
        <v>2899</v>
      </c>
      <c r="I927" s="17" t="s">
        <v>74</v>
      </c>
      <c r="J927" s="14" t="s">
        <v>2900</v>
      </c>
      <c r="K927" s="12"/>
      <c r="L927" s="12"/>
      <c r="M927" s="12"/>
      <c r="N927" s="12"/>
      <c r="O927" s="30" t="str">
        <f>HYPERLINK("http://www.usd.edu/admissions/freshmen/scholarships","http://www.usd.edu/admissions/freshmen/scholarships")</f>
        <v>http://www.usd.edu/admissions/freshmen/scholarships</v>
      </c>
      <c r="P927" s="14" t="s">
        <v>2901</v>
      </c>
      <c r="Q927" s="25">
        <v>0.89</v>
      </c>
      <c r="R927" s="14" t="s">
        <v>124</v>
      </c>
      <c r="S927" s="14" t="s">
        <v>2902</v>
      </c>
      <c r="T927" s="12"/>
      <c r="U927" s="12">
        <v>3.37</v>
      </c>
      <c r="V927" s="12"/>
      <c r="W927" s="12"/>
      <c r="X927" s="12"/>
      <c r="Y927" s="12"/>
      <c r="Z927" s="12"/>
      <c r="AA927" s="12"/>
    </row>
    <row r="928" spans="1:27" ht="181" x14ac:dyDescent="0.2">
      <c r="A928" s="23" t="s">
        <v>2885</v>
      </c>
      <c r="B928" s="14" t="s">
        <v>2898</v>
      </c>
      <c r="C928" s="14" t="s">
        <v>59</v>
      </c>
      <c r="D928" s="12"/>
      <c r="E928" s="14" t="s">
        <v>88</v>
      </c>
      <c r="F928" s="14" t="s">
        <v>145</v>
      </c>
      <c r="G928" s="12"/>
      <c r="H928" s="17" t="s">
        <v>157</v>
      </c>
      <c r="I928" s="17" t="s">
        <v>74</v>
      </c>
      <c r="J928" s="56" t="s">
        <v>2903</v>
      </c>
      <c r="K928" s="12"/>
      <c r="L928" s="12"/>
      <c r="M928" s="12"/>
      <c r="N928" s="12"/>
      <c r="O928" s="30" t="str">
        <f>HYPERLINK("http://www.usd.edu/arts-and-sciences/military-science/scholarships","http://www.usd.edu/arts-and-sciences/military-science/scholarships")</f>
        <v>http://www.usd.edu/arts-and-sciences/military-science/scholarships</v>
      </c>
      <c r="P928" s="14" t="s">
        <v>2901</v>
      </c>
      <c r="Q928" s="25">
        <v>0.89</v>
      </c>
      <c r="R928" s="14" t="s">
        <v>124</v>
      </c>
      <c r="S928" s="14" t="s">
        <v>2902</v>
      </c>
      <c r="T928" s="12"/>
      <c r="U928" s="12">
        <v>3.37</v>
      </c>
      <c r="V928" s="12"/>
      <c r="W928" s="12"/>
      <c r="X928" s="12"/>
      <c r="Y928" s="12"/>
      <c r="Z928" s="12"/>
      <c r="AA928" s="12"/>
    </row>
    <row r="929" spans="1:27" ht="157" x14ac:dyDescent="0.2">
      <c r="A929" s="23" t="s">
        <v>2885</v>
      </c>
      <c r="B929" s="14" t="s">
        <v>2898</v>
      </c>
      <c r="C929" s="14" t="s">
        <v>59</v>
      </c>
      <c r="D929" s="12"/>
      <c r="E929" s="14" t="s">
        <v>82</v>
      </c>
      <c r="F929" s="14" t="s">
        <v>72</v>
      </c>
      <c r="G929" s="12"/>
      <c r="H929" s="17" t="s">
        <v>2904</v>
      </c>
      <c r="I929" s="17" t="s">
        <v>74</v>
      </c>
      <c r="J929" s="56" t="s">
        <v>2905</v>
      </c>
      <c r="K929" s="12"/>
      <c r="L929" s="12"/>
      <c r="M929" s="12"/>
      <c r="N929" s="12"/>
      <c r="O929" s="30" t="str">
        <f>HYPERLINK("http://www.usd.edu/admissions/freshmen/scholarships","http://www.usd.edu/admissions/freshmen/scholarships")</f>
        <v>http://www.usd.edu/admissions/freshmen/scholarships</v>
      </c>
      <c r="P929" s="14" t="s">
        <v>2901</v>
      </c>
      <c r="Q929" s="25">
        <v>0.89</v>
      </c>
      <c r="R929" s="14" t="s">
        <v>124</v>
      </c>
      <c r="S929" s="14" t="s">
        <v>2902</v>
      </c>
      <c r="T929" s="12"/>
      <c r="U929" s="12">
        <v>3.37</v>
      </c>
      <c r="V929" s="12"/>
      <c r="W929" s="12"/>
      <c r="X929" s="12"/>
      <c r="Y929" s="12"/>
      <c r="Z929" s="12"/>
      <c r="AA929" s="12"/>
    </row>
    <row r="930" spans="1:27" ht="174" customHeight="1" x14ac:dyDescent="0.2">
      <c r="A930" s="23" t="s">
        <v>2906</v>
      </c>
      <c r="B930" s="14" t="s">
        <v>1587</v>
      </c>
      <c r="C930" s="14" t="s">
        <v>101</v>
      </c>
      <c r="D930" s="12"/>
      <c r="E930" s="14" t="s">
        <v>60</v>
      </c>
      <c r="F930" s="14" t="s">
        <v>72</v>
      </c>
      <c r="G930" s="12"/>
      <c r="H930" s="17" t="s">
        <v>1123</v>
      </c>
      <c r="I930" s="17">
        <v>1</v>
      </c>
      <c r="J930" s="14" t="s">
        <v>2907</v>
      </c>
      <c r="K930" s="12"/>
      <c r="L930" s="12"/>
      <c r="M930" s="12"/>
      <c r="N930" s="12"/>
      <c r="O930" s="30" t="str">
        <f t="shared" ref="O930:O932" si="132">HYPERLINK("https://www.aquinas.edu/admissions/undergraduate/tuition-fees-financial-aid/scholarships#spectrum","https://www.aquinas.edu/admissions/undergraduate/tuition-fees-financial-aid/scholarships#spectrum")</f>
        <v>https://www.aquinas.edu/admissions/undergraduate/tuition-fees-financial-aid/scholarships#spectrum</v>
      </c>
      <c r="P930" s="33">
        <v>21950</v>
      </c>
      <c r="Q930" s="58">
        <v>0.52</v>
      </c>
      <c r="R930" s="14" t="s">
        <v>565</v>
      </c>
      <c r="S930" s="14" t="s">
        <v>2908</v>
      </c>
      <c r="T930" s="12"/>
      <c r="U930" s="12">
        <v>3.55</v>
      </c>
      <c r="V930" s="12"/>
      <c r="W930" s="12"/>
      <c r="X930" s="12"/>
      <c r="Y930" s="12"/>
      <c r="Z930" s="12"/>
      <c r="AA930" s="12"/>
    </row>
    <row r="931" spans="1:27" ht="158.25" customHeight="1" x14ac:dyDescent="0.2">
      <c r="A931" s="23" t="s">
        <v>2906</v>
      </c>
      <c r="B931" s="14" t="s">
        <v>1587</v>
      </c>
      <c r="C931" s="14" t="s">
        <v>101</v>
      </c>
      <c r="D931" s="12"/>
      <c r="E931" s="14" t="s">
        <v>60</v>
      </c>
      <c r="F931" s="14" t="s">
        <v>72</v>
      </c>
      <c r="G931" s="12"/>
      <c r="H931" s="17" t="s">
        <v>239</v>
      </c>
      <c r="I931" s="17">
        <v>1</v>
      </c>
      <c r="J931" s="16" t="s">
        <v>2909</v>
      </c>
      <c r="K931" s="12"/>
      <c r="L931" s="12"/>
      <c r="M931" s="12"/>
      <c r="N931" s="12"/>
      <c r="O931" s="30" t="str">
        <f t="shared" si="132"/>
        <v>https://www.aquinas.edu/admissions/undergraduate/tuition-fees-financial-aid/scholarships#spectrum</v>
      </c>
      <c r="P931" s="33">
        <v>21950</v>
      </c>
      <c r="Q931" s="58">
        <v>0.52</v>
      </c>
      <c r="R931" s="14" t="s">
        <v>565</v>
      </c>
      <c r="S931" s="14" t="s">
        <v>2908</v>
      </c>
      <c r="T931" s="12"/>
      <c r="U931" s="12">
        <v>3.55</v>
      </c>
      <c r="V931" s="12"/>
      <c r="W931" s="12"/>
      <c r="X931" s="12"/>
      <c r="Y931" s="12"/>
      <c r="Z931" s="12"/>
      <c r="AA931" s="12"/>
    </row>
    <row r="932" spans="1:27" ht="189.75" customHeight="1" x14ac:dyDescent="0.2">
      <c r="A932" s="23" t="s">
        <v>2906</v>
      </c>
      <c r="B932" s="14" t="s">
        <v>1587</v>
      </c>
      <c r="C932" s="14" t="s">
        <v>101</v>
      </c>
      <c r="D932" s="12"/>
      <c r="E932" s="14" t="s">
        <v>60</v>
      </c>
      <c r="F932" s="14" t="s">
        <v>72</v>
      </c>
      <c r="G932" s="12"/>
      <c r="H932" s="17" t="s">
        <v>1123</v>
      </c>
      <c r="I932" s="17">
        <v>3</v>
      </c>
      <c r="J932" s="14" t="s">
        <v>2910</v>
      </c>
      <c r="K932" s="12"/>
      <c r="L932" s="12"/>
      <c r="M932" s="12"/>
      <c r="N932" s="12"/>
      <c r="O932" s="30" t="str">
        <f t="shared" si="132"/>
        <v>https://www.aquinas.edu/admissions/undergraduate/tuition-fees-financial-aid/scholarships#spectrum</v>
      </c>
      <c r="P932" s="33">
        <v>21950</v>
      </c>
      <c r="Q932" s="58">
        <v>0.52</v>
      </c>
      <c r="R932" s="14" t="s">
        <v>565</v>
      </c>
      <c r="S932" s="14" t="s">
        <v>2908</v>
      </c>
      <c r="T932" s="12"/>
      <c r="U932" s="12">
        <v>3.55</v>
      </c>
      <c r="V932" s="12"/>
      <c r="W932" s="12"/>
      <c r="X932" s="12"/>
      <c r="Y932" s="12"/>
      <c r="Z932" s="12"/>
      <c r="AA932" s="12"/>
    </row>
    <row r="933" spans="1:27" ht="174" customHeight="1" x14ac:dyDescent="0.2">
      <c r="A933" s="23" t="s">
        <v>2906</v>
      </c>
      <c r="B933" s="14" t="s">
        <v>2911</v>
      </c>
      <c r="C933" s="14" t="s">
        <v>101</v>
      </c>
      <c r="D933" s="17" t="s">
        <v>2912</v>
      </c>
      <c r="E933" s="14" t="s">
        <v>60</v>
      </c>
      <c r="F933" s="14" t="s">
        <v>72</v>
      </c>
      <c r="G933" s="12"/>
      <c r="H933" s="17" t="s">
        <v>2913</v>
      </c>
      <c r="I933" s="17">
        <v>4</v>
      </c>
      <c r="J933" s="14" t="s">
        <v>2914</v>
      </c>
      <c r="K933" s="12"/>
      <c r="L933" s="12"/>
      <c r="M933" s="12"/>
      <c r="N933" s="12"/>
      <c r="O933" s="30" t="str">
        <f t="shared" ref="O933:O937" si="133">HYPERLINK("http://www.belmont.edu/sfs/scholarships/merit.html","http://www.belmont.edu/sfs/scholarships/merit.html")</f>
        <v>http://www.belmont.edu/sfs/scholarships/merit.html</v>
      </c>
      <c r="P933" s="33">
        <v>31390</v>
      </c>
      <c r="Q933" s="25">
        <v>0.8</v>
      </c>
      <c r="R933" s="14" t="s">
        <v>266</v>
      </c>
      <c r="S933" s="14" t="s">
        <v>2915</v>
      </c>
      <c r="T933" s="12"/>
      <c r="U933" s="12">
        <v>3.5</v>
      </c>
      <c r="V933" s="12"/>
      <c r="W933" s="12"/>
      <c r="X933" s="12"/>
      <c r="Y933" s="12"/>
      <c r="Z933" s="12"/>
      <c r="AA933" s="12"/>
    </row>
    <row r="934" spans="1:27" ht="221.25" customHeight="1" x14ac:dyDescent="0.2">
      <c r="A934" s="23" t="s">
        <v>2906</v>
      </c>
      <c r="B934" s="14" t="s">
        <v>2911</v>
      </c>
      <c r="C934" s="14" t="s">
        <v>101</v>
      </c>
      <c r="D934" s="12"/>
      <c r="E934" s="14" t="s">
        <v>82</v>
      </c>
      <c r="F934" s="14" t="s">
        <v>72</v>
      </c>
      <c r="G934" s="12"/>
      <c r="H934" s="17" t="s">
        <v>950</v>
      </c>
      <c r="I934" s="17">
        <v>5</v>
      </c>
      <c r="J934" s="16" t="s">
        <v>2916</v>
      </c>
      <c r="K934" s="24">
        <v>30</v>
      </c>
      <c r="L934" s="24">
        <v>1390</v>
      </c>
      <c r="M934" s="14" t="s">
        <v>197</v>
      </c>
      <c r="N934" s="12"/>
      <c r="O934" s="30" t="str">
        <f t="shared" si="133"/>
        <v>http://www.belmont.edu/sfs/scholarships/merit.html</v>
      </c>
      <c r="P934" s="33">
        <v>31390</v>
      </c>
      <c r="Q934" s="25">
        <v>0.8</v>
      </c>
      <c r="R934" s="14" t="s">
        <v>266</v>
      </c>
      <c r="S934" s="14" t="s">
        <v>2915</v>
      </c>
      <c r="T934" s="12"/>
      <c r="U934" s="12">
        <v>3.5</v>
      </c>
      <c r="V934" s="12"/>
      <c r="W934" s="12"/>
      <c r="X934" s="12"/>
      <c r="Y934" s="12"/>
      <c r="Z934" s="12"/>
      <c r="AA934" s="12"/>
    </row>
    <row r="935" spans="1:27" ht="111" customHeight="1" x14ac:dyDescent="0.2">
      <c r="A935" s="23" t="s">
        <v>2906</v>
      </c>
      <c r="B935" s="14" t="s">
        <v>2911</v>
      </c>
      <c r="C935" s="14" t="s">
        <v>101</v>
      </c>
      <c r="D935" s="12"/>
      <c r="E935" s="14" t="s">
        <v>60</v>
      </c>
      <c r="F935" s="14" t="s">
        <v>72</v>
      </c>
      <c r="G935" s="12"/>
      <c r="H935" s="17" t="s">
        <v>2917</v>
      </c>
      <c r="I935" s="17">
        <v>1</v>
      </c>
      <c r="J935" s="14" t="s">
        <v>2918</v>
      </c>
      <c r="K935" s="12"/>
      <c r="L935" s="12"/>
      <c r="M935" s="12"/>
      <c r="N935" s="12"/>
      <c r="O935" s="30" t="str">
        <f t="shared" si="133"/>
        <v>http://www.belmont.edu/sfs/scholarships/merit.html</v>
      </c>
      <c r="P935" s="33">
        <v>31390</v>
      </c>
      <c r="Q935" s="25">
        <v>0.8</v>
      </c>
      <c r="R935" s="14" t="s">
        <v>266</v>
      </c>
      <c r="S935" s="14" t="s">
        <v>2915</v>
      </c>
      <c r="T935" s="12"/>
      <c r="U935" s="12">
        <v>3.5</v>
      </c>
      <c r="V935" s="12"/>
      <c r="W935" s="12"/>
      <c r="X935" s="12"/>
      <c r="Y935" s="12"/>
      <c r="Z935" s="12"/>
      <c r="AA935" s="12"/>
    </row>
    <row r="936" spans="1:27" ht="111" customHeight="1" x14ac:dyDescent="0.2">
      <c r="A936" s="23" t="s">
        <v>2906</v>
      </c>
      <c r="B936" s="14" t="s">
        <v>2911</v>
      </c>
      <c r="C936" s="14" t="s">
        <v>101</v>
      </c>
      <c r="D936" s="12"/>
      <c r="E936" s="14" t="s">
        <v>60</v>
      </c>
      <c r="F936" s="14" t="s">
        <v>72</v>
      </c>
      <c r="G936" s="12"/>
      <c r="H936" s="17" t="s">
        <v>2919</v>
      </c>
      <c r="I936" s="17">
        <v>1</v>
      </c>
      <c r="J936" s="14" t="s">
        <v>2920</v>
      </c>
      <c r="K936" s="12"/>
      <c r="L936" s="12"/>
      <c r="M936" s="12"/>
      <c r="N936" s="12"/>
      <c r="O936" s="30" t="str">
        <f t="shared" si="133"/>
        <v>http://www.belmont.edu/sfs/scholarships/merit.html</v>
      </c>
      <c r="P936" s="33">
        <v>31390</v>
      </c>
      <c r="Q936" s="25">
        <v>0.8</v>
      </c>
      <c r="R936" s="14" t="s">
        <v>266</v>
      </c>
      <c r="S936" s="14" t="s">
        <v>2915</v>
      </c>
      <c r="T936" s="12"/>
      <c r="U936" s="12">
        <v>3.5</v>
      </c>
      <c r="V936" s="12"/>
      <c r="W936" s="12"/>
      <c r="X936" s="12"/>
      <c r="Y936" s="12"/>
      <c r="Z936" s="12"/>
      <c r="AA936" s="12"/>
    </row>
    <row r="937" spans="1:27" ht="142.5" customHeight="1" x14ac:dyDescent="0.2">
      <c r="A937" s="23" t="s">
        <v>2906</v>
      </c>
      <c r="B937" s="14" t="s">
        <v>2911</v>
      </c>
      <c r="C937" s="14" t="s">
        <v>101</v>
      </c>
      <c r="D937" s="12"/>
      <c r="E937" s="14" t="s">
        <v>82</v>
      </c>
      <c r="F937" s="14" t="s">
        <v>72</v>
      </c>
      <c r="G937" s="12"/>
      <c r="H937" s="17" t="s">
        <v>2921</v>
      </c>
      <c r="I937" s="17">
        <v>1</v>
      </c>
      <c r="J937" s="14" t="s">
        <v>2922</v>
      </c>
      <c r="K937" s="12"/>
      <c r="L937" s="12"/>
      <c r="M937" s="12"/>
      <c r="N937" s="12"/>
      <c r="O937" s="30" t="str">
        <f t="shared" si="133"/>
        <v>http://www.belmont.edu/sfs/scholarships/merit.html</v>
      </c>
      <c r="P937" s="33">
        <v>31390</v>
      </c>
      <c r="Q937" s="25">
        <v>0.8</v>
      </c>
      <c r="R937" s="14" t="s">
        <v>266</v>
      </c>
      <c r="S937" s="14" t="s">
        <v>2915</v>
      </c>
      <c r="T937" s="12"/>
      <c r="U937" s="12">
        <v>3.5</v>
      </c>
      <c r="V937" s="12"/>
      <c r="W937" s="12"/>
      <c r="X937" s="12"/>
      <c r="Y937" s="12"/>
      <c r="Z937" s="12"/>
      <c r="AA937" s="12"/>
    </row>
    <row r="938" spans="1:27" ht="105.75" customHeight="1" x14ac:dyDescent="0.2">
      <c r="A938" s="39" t="s">
        <v>2906</v>
      </c>
      <c r="B938" s="40" t="s">
        <v>2923</v>
      </c>
      <c r="C938" s="40" t="s">
        <v>101</v>
      </c>
      <c r="D938" s="40"/>
      <c r="E938" s="40" t="s">
        <v>60</v>
      </c>
      <c r="F938" s="40" t="s">
        <v>92</v>
      </c>
      <c r="G938" s="40"/>
      <c r="H938" s="69" t="s">
        <v>93</v>
      </c>
      <c r="I938" s="69" t="s">
        <v>63</v>
      </c>
      <c r="J938" s="40" t="s">
        <v>2924</v>
      </c>
      <c r="K938" s="40"/>
      <c r="L938" s="40"/>
      <c r="M938" s="40"/>
      <c r="N938" s="40"/>
      <c r="O938" s="30" t="str">
        <f>HYPERLINK("https://www.bryan.edu/financial-aid/scholarships","https://www.bryan.edu/financial-aid/scholarships")</f>
        <v>https://www.bryan.edu/financial-aid/scholarships</v>
      </c>
      <c r="P938" s="41">
        <v>24450</v>
      </c>
      <c r="Q938" s="42">
        <v>0.46</v>
      </c>
      <c r="R938" s="40" t="s">
        <v>130</v>
      </c>
      <c r="S938" s="40" t="s">
        <v>2925</v>
      </c>
      <c r="T938" s="40"/>
      <c r="U938" s="40" t="s">
        <v>2926</v>
      </c>
      <c r="V938" s="40"/>
      <c r="W938" s="40"/>
      <c r="X938" s="40"/>
      <c r="Y938" s="40"/>
      <c r="Z938" s="40"/>
      <c r="AA938" s="40"/>
    </row>
    <row r="939" spans="1:27" ht="192" x14ac:dyDescent="0.2">
      <c r="A939" s="23" t="s">
        <v>2906</v>
      </c>
      <c r="B939" s="14" t="s">
        <v>2927</v>
      </c>
      <c r="C939" s="14" t="s">
        <v>101</v>
      </c>
      <c r="D939" s="12"/>
      <c r="E939" s="14" t="s">
        <v>238</v>
      </c>
      <c r="F939" s="14" t="s">
        <v>72</v>
      </c>
      <c r="G939" s="12"/>
      <c r="H939" s="17" t="s">
        <v>2928</v>
      </c>
      <c r="I939" s="17" t="s">
        <v>74</v>
      </c>
      <c r="J939" s="14" t="s">
        <v>2929</v>
      </c>
      <c r="K939" s="17">
        <v>29</v>
      </c>
      <c r="L939" s="12"/>
      <c r="M939" s="12"/>
      <c r="N939" s="17">
        <v>3.65</v>
      </c>
      <c r="O939" s="19" t="s">
        <v>2930</v>
      </c>
      <c r="P939" s="33">
        <v>26360</v>
      </c>
      <c r="Q939" s="25">
        <v>0.59</v>
      </c>
      <c r="R939" s="14" t="s">
        <v>67</v>
      </c>
      <c r="S939" s="14" t="s">
        <v>2931</v>
      </c>
      <c r="T939" s="12"/>
      <c r="U939" s="12">
        <v>3.49</v>
      </c>
      <c r="V939" s="12"/>
      <c r="W939" s="12"/>
      <c r="X939" s="12"/>
      <c r="Y939" s="12"/>
      <c r="Z939" s="12"/>
      <c r="AA939" s="12"/>
    </row>
    <row r="940" spans="1:27" ht="221.25" customHeight="1" x14ac:dyDescent="0.2">
      <c r="A940" s="109" t="s">
        <v>2906</v>
      </c>
      <c r="B940" s="110" t="s">
        <v>2927</v>
      </c>
      <c r="C940" s="110" t="s">
        <v>101</v>
      </c>
      <c r="D940" s="112"/>
      <c r="E940" s="110" t="s">
        <v>60</v>
      </c>
      <c r="F940" s="110" t="s">
        <v>461</v>
      </c>
      <c r="G940" s="112"/>
      <c r="H940" s="117" t="s">
        <v>2486</v>
      </c>
      <c r="I940" s="117" t="s">
        <v>74</v>
      </c>
      <c r="J940" s="110" t="s">
        <v>2932</v>
      </c>
      <c r="K940" s="112"/>
      <c r="L940" s="112"/>
      <c r="M940" s="112"/>
      <c r="N940" s="112"/>
      <c r="O940" s="121" t="s">
        <v>2933</v>
      </c>
      <c r="P940" s="124">
        <v>26360</v>
      </c>
      <c r="Q940" s="114">
        <v>0.59</v>
      </c>
      <c r="R940" s="110" t="s">
        <v>67</v>
      </c>
      <c r="S940" s="110" t="s">
        <v>2931</v>
      </c>
      <c r="T940" s="112"/>
      <c r="U940" s="112">
        <v>3.49</v>
      </c>
      <c r="V940" s="112"/>
      <c r="W940" s="112"/>
      <c r="X940" s="112"/>
      <c r="Y940" s="112"/>
      <c r="Z940" s="112"/>
      <c r="AA940" s="112"/>
    </row>
    <row r="941" spans="1:27" ht="189.75" customHeight="1" x14ac:dyDescent="0.2">
      <c r="A941" s="109" t="s">
        <v>2906</v>
      </c>
      <c r="B941" s="110" t="s">
        <v>2934</v>
      </c>
      <c r="C941" s="110" t="s">
        <v>101</v>
      </c>
      <c r="D941" s="112"/>
      <c r="E941" s="110" t="s">
        <v>60</v>
      </c>
      <c r="F941" s="110" t="s">
        <v>72</v>
      </c>
      <c r="G941" s="112"/>
      <c r="H941" s="117" t="s">
        <v>2935</v>
      </c>
      <c r="I941" s="117">
        <v>2</v>
      </c>
      <c r="J941" s="110" t="s">
        <v>2936</v>
      </c>
      <c r="K941" s="119">
        <v>21</v>
      </c>
      <c r="L941" s="120">
        <v>1070</v>
      </c>
      <c r="M941" s="128" t="s">
        <v>76</v>
      </c>
      <c r="N941" s="119">
        <v>3</v>
      </c>
      <c r="O941" s="113" t="str">
        <f t="shared" ref="O941:O942" si="134">HYPERLINK("http://www.cbu.edu/scholarships","http://www.cbu.edu/scholarships")</f>
        <v>http://www.cbu.edu/scholarships</v>
      </c>
      <c r="P941" s="124">
        <v>30860</v>
      </c>
      <c r="Q941" s="114">
        <v>0.46</v>
      </c>
      <c r="R941" s="110" t="s">
        <v>182</v>
      </c>
      <c r="S941" s="110" t="s">
        <v>2889</v>
      </c>
      <c r="T941" s="112"/>
      <c r="U941" s="112">
        <v>3.63</v>
      </c>
      <c r="V941" s="112"/>
      <c r="W941" s="112"/>
      <c r="X941" s="112"/>
      <c r="Y941" s="112"/>
      <c r="Z941" s="112"/>
      <c r="AA941" s="112"/>
    </row>
    <row r="942" spans="1:27" ht="95.25" customHeight="1" x14ac:dyDescent="0.2">
      <c r="A942" s="23" t="s">
        <v>2906</v>
      </c>
      <c r="B942" s="14" t="s">
        <v>2934</v>
      </c>
      <c r="C942" s="14" t="s">
        <v>101</v>
      </c>
      <c r="D942" s="12"/>
      <c r="E942" s="14" t="s">
        <v>60</v>
      </c>
      <c r="F942" s="14" t="s">
        <v>72</v>
      </c>
      <c r="G942" s="12"/>
      <c r="H942" s="17" t="s">
        <v>250</v>
      </c>
      <c r="I942" s="17" t="s">
        <v>74</v>
      </c>
      <c r="J942" s="14" t="s">
        <v>2937</v>
      </c>
      <c r="K942" s="24">
        <v>28</v>
      </c>
      <c r="L942" s="18">
        <v>1320</v>
      </c>
      <c r="M942" s="16" t="s">
        <v>76</v>
      </c>
      <c r="N942" s="24"/>
      <c r="O942" s="30" t="str">
        <f t="shared" si="134"/>
        <v>http://www.cbu.edu/scholarships</v>
      </c>
      <c r="P942" s="33">
        <v>30860</v>
      </c>
      <c r="Q942" s="25">
        <v>0.46</v>
      </c>
      <c r="R942" s="14" t="s">
        <v>182</v>
      </c>
      <c r="S942" s="14" t="s">
        <v>2889</v>
      </c>
      <c r="T942" s="12"/>
      <c r="U942" s="12">
        <v>3.63</v>
      </c>
      <c r="V942" s="12"/>
      <c r="W942" s="12"/>
      <c r="X942" s="12"/>
      <c r="Y942" s="12"/>
      <c r="Z942" s="12"/>
      <c r="AA942" s="12"/>
    </row>
    <row r="943" spans="1:27" ht="189.75" customHeight="1" x14ac:dyDescent="0.2">
      <c r="A943" s="109" t="s">
        <v>2906</v>
      </c>
      <c r="B943" s="110" t="s">
        <v>2938</v>
      </c>
      <c r="C943" s="110" t="s">
        <v>101</v>
      </c>
      <c r="D943" s="112"/>
      <c r="E943" s="110" t="s">
        <v>177</v>
      </c>
      <c r="F943" s="110" t="s">
        <v>72</v>
      </c>
      <c r="G943" s="112"/>
      <c r="H943" s="117" t="s">
        <v>239</v>
      </c>
      <c r="I943" s="117" t="s">
        <v>74</v>
      </c>
      <c r="J943" s="128" t="s">
        <v>2939</v>
      </c>
      <c r="K943" s="119"/>
      <c r="L943" s="119"/>
      <c r="M943" s="110"/>
      <c r="N943" s="119"/>
      <c r="O943" s="113" t="str">
        <f t="shared" ref="O943:O944" si="135">HYPERLINK("http://www.fisk.edu/admissions/scholarships","http://www.fisk.edu/admissions/scholarships")</f>
        <v>http://www.fisk.edu/admissions/scholarships</v>
      </c>
      <c r="P943" s="124">
        <v>21480</v>
      </c>
      <c r="Q943" s="114">
        <v>0.81</v>
      </c>
      <c r="R943" s="126" t="s">
        <v>534</v>
      </c>
      <c r="S943" s="126" t="s">
        <v>2940</v>
      </c>
      <c r="T943" s="112"/>
      <c r="U943" s="112">
        <v>3.1</v>
      </c>
      <c r="V943" s="217"/>
      <c r="W943" s="218"/>
      <c r="X943" s="112"/>
      <c r="Y943" s="112"/>
      <c r="Z943" s="112"/>
      <c r="AA943" s="112"/>
    </row>
    <row r="944" spans="1:27" ht="176" x14ac:dyDescent="0.2">
      <c r="A944" s="23" t="s">
        <v>2906</v>
      </c>
      <c r="B944" s="14" t="s">
        <v>2938</v>
      </c>
      <c r="C944" s="14" t="s">
        <v>101</v>
      </c>
      <c r="D944" s="12"/>
      <c r="E944" s="14" t="s">
        <v>82</v>
      </c>
      <c r="F944" s="14" t="s">
        <v>72</v>
      </c>
      <c r="G944" s="12"/>
      <c r="H944" s="17" t="s">
        <v>239</v>
      </c>
      <c r="I944" s="17" t="s">
        <v>74</v>
      </c>
      <c r="J944" s="16" t="s">
        <v>2941</v>
      </c>
      <c r="K944" s="24"/>
      <c r="L944" s="24"/>
      <c r="M944" s="14"/>
      <c r="N944" s="24"/>
      <c r="O944" s="30" t="str">
        <f t="shared" si="135"/>
        <v>http://www.fisk.edu/admissions/scholarships</v>
      </c>
      <c r="P944" s="33">
        <v>21480</v>
      </c>
      <c r="Q944" s="25">
        <v>0.81</v>
      </c>
      <c r="R944" s="34" t="s">
        <v>534</v>
      </c>
      <c r="S944" s="34" t="s">
        <v>2940</v>
      </c>
      <c r="T944" s="12"/>
      <c r="U944" s="12">
        <v>3.1</v>
      </c>
      <c r="V944" s="12"/>
      <c r="W944" s="12"/>
      <c r="X944" s="12"/>
      <c r="Y944" s="12"/>
      <c r="Z944" s="12"/>
      <c r="AA944" s="12"/>
    </row>
    <row r="945" spans="1:27" ht="176" x14ac:dyDescent="0.2">
      <c r="A945" s="23" t="s">
        <v>2906</v>
      </c>
      <c r="B945" s="14" t="s">
        <v>2942</v>
      </c>
      <c r="C945" s="14" t="s">
        <v>101</v>
      </c>
      <c r="D945" s="12"/>
      <c r="E945" s="14" t="s">
        <v>177</v>
      </c>
      <c r="F945" s="14" t="s">
        <v>61</v>
      </c>
      <c r="G945" s="12"/>
      <c r="H945" s="17" t="s">
        <v>62</v>
      </c>
      <c r="I945" s="17" t="s">
        <v>63</v>
      </c>
      <c r="J945" s="14" t="s">
        <v>2943</v>
      </c>
      <c r="K945" s="24">
        <v>32</v>
      </c>
      <c r="L945" s="24">
        <v>1410</v>
      </c>
      <c r="M945" s="14" t="s">
        <v>197</v>
      </c>
      <c r="N945" s="12"/>
      <c r="O945" s="30" t="str">
        <f>HYPERLINK("http://catalog.leeuniversity.edu/content.php?catoid=7&amp;navoid=1626#Academic_Scholarships","http://catalog.leeuniversity.edu/content.php?catoid=7&amp;navoid=1626#Academic_Scholarships")</f>
        <v>http://catalog.leeuniversity.edu/content.php?catoid=7&amp;navoid=1626#Academic_Scholarships</v>
      </c>
      <c r="P945" s="33">
        <v>15770</v>
      </c>
      <c r="Q945" s="58">
        <v>0.89</v>
      </c>
      <c r="R945" s="14" t="s">
        <v>182</v>
      </c>
      <c r="S945" s="14" t="s">
        <v>2944</v>
      </c>
      <c r="T945" s="12"/>
      <c r="U945" s="12">
        <v>3.56</v>
      </c>
      <c r="V945" s="12"/>
      <c r="W945" s="12"/>
      <c r="X945" s="12"/>
      <c r="Y945" s="12"/>
      <c r="Z945" s="12"/>
      <c r="AA945" s="12"/>
    </row>
    <row r="946" spans="1:27" ht="142.5" customHeight="1" x14ac:dyDescent="0.2">
      <c r="A946" s="23" t="s">
        <v>2906</v>
      </c>
      <c r="B946" s="14" t="s">
        <v>2945</v>
      </c>
      <c r="C946" s="14" t="s">
        <v>101</v>
      </c>
      <c r="D946" s="12"/>
      <c r="E946" s="14" t="s">
        <v>243</v>
      </c>
      <c r="F946" s="14" t="s">
        <v>61</v>
      </c>
      <c r="G946" s="12"/>
      <c r="H946" s="17" t="s">
        <v>62</v>
      </c>
      <c r="I946" s="17" t="s">
        <v>74</v>
      </c>
      <c r="J946" s="14" t="s">
        <v>2946</v>
      </c>
      <c r="K946" s="24"/>
      <c r="L946" s="24"/>
      <c r="M946" s="14"/>
      <c r="N946" s="24"/>
      <c r="O946" s="30" t="str">
        <f>HYPERLINK("http://www.lmunet.edu/admissions/financial-aid/loans-scholarships-grants/scholarships-and-grants","http://www.lmunet.edu/admissions/financial-aid/loans-scholarships-grants/scholarships-and-grants")</f>
        <v>http://www.lmunet.edu/admissions/financial-aid/loans-scholarships-grants/scholarships-and-grants</v>
      </c>
      <c r="P946" s="33">
        <v>21050</v>
      </c>
      <c r="Q946" s="25">
        <v>0.74</v>
      </c>
      <c r="R946" s="14" t="s">
        <v>2947</v>
      </c>
      <c r="S946" s="14" t="s">
        <v>2948</v>
      </c>
      <c r="T946" s="12"/>
      <c r="U946" s="12">
        <v>3.41</v>
      </c>
      <c r="V946" s="12"/>
      <c r="W946" s="12"/>
      <c r="X946" s="12"/>
      <c r="Y946" s="12"/>
      <c r="Z946" s="12"/>
      <c r="AA946" s="12"/>
    </row>
    <row r="947" spans="1:27" ht="208" x14ac:dyDescent="0.2">
      <c r="A947" s="23" t="s">
        <v>2906</v>
      </c>
      <c r="B947" s="14" t="s">
        <v>2949</v>
      </c>
      <c r="C947" s="14" t="s">
        <v>101</v>
      </c>
      <c r="D947" s="12"/>
      <c r="E947" s="14" t="s">
        <v>60</v>
      </c>
      <c r="F947" s="14" t="s">
        <v>72</v>
      </c>
      <c r="G947" s="12"/>
      <c r="H947" s="17" t="s">
        <v>950</v>
      </c>
      <c r="I947" s="17">
        <v>10</v>
      </c>
      <c r="J947" s="16" t="s">
        <v>2950</v>
      </c>
      <c r="K947" s="24">
        <v>30</v>
      </c>
      <c r="L947" s="18">
        <v>1390</v>
      </c>
      <c r="M947" s="16" t="s">
        <v>76</v>
      </c>
      <c r="N947" s="24"/>
      <c r="O947" s="30" t="str">
        <f>HYPERLINK("http://www.lipscomb.edu/financialaid/undergraduate-scholarships","http://www.lipscomb.edu/financialaid/undergraduate-scholarships")</f>
        <v>http://www.lipscomb.edu/financialaid/undergraduate-scholarships</v>
      </c>
      <c r="P947" s="33">
        <v>29756</v>
      </c>
      <c r="Q947" s="25">
        <v>0.61</v>
      </c>
      <c r="R947" s="14" t="s">
        <v>105</v>
      </c>
      <c r="S947" s="14" t="s">
        <v>2951</v>
      </c>
      <c r="T947" s="12"/>
      <c r="U947" s="12">
        <v>3.59</v>
      </c>
      <c r="V947" s="12"/>
      <c r="W947" s="12"/>
      <c r="X947" s="12"/>
      <c r="Y947" s="12"/>
      <c r="Z947" s="12"/>
      <c r="AA947" s="12"/>
    </row>
    <row r="948" spans="1:27" ht="272" x14ac:dyDescent="0.2">
      <c r="A948" s="23" t="s">
        <v>2906</v>
      </c>
      <c r="B948" s="14" t="s">
        <v>2952</v>
      </c>
      <c r="C948" s="14" t="s">
        <v>101</v>
      </c>
      <c r="D948" s="17" t="s">
        <v>1365</v>
      </c>
      <c r="E948" s="14" t="s">
        <v>177</v>
      </c>
      <c r="F948" s="14" t="s">
        <v>72</v>
      </c>
      <c r="G948" s="14" t="s">
        <v>186</v>
      </c>
      <c r="H948" s="16" t="s">
        <v>454</v>
      </c>
      <c r="I948" s="16" t="s">
        <v>74</v>
      </c>
      <c r="J948" s="14" t="s">
        <v>2953</v>
      </c>
      <c r="K948" s="12"/>
      <c r="L948" s="12"/>
      <c r="M948" s="12"/>
      <c r="N948" s="12"/>
      <c r="O948" s="30" t="str">
        <f>HYPERLINK("http://www.maryvillecollege.edu/international/admissions/costs/","http://www.maryvillecollege.edu/international/admissions/costs/")</f>
        <v>http://www.maryvillecollege.edu/international/admissions/costs/</v>
      </c>
      <c r="P948" s="33">
        <v>33524</v>
      </c>
      <c r="Q948" s="25">
        <v>0.67</v>
      </c>
      <c r="R948" s="52" t="s">
        <v>126</v>
      </c>
      <c r="S948" s="34" t="s">
        <v>2954</v>
      </c>
      <c r="T948" s="12"/>
      <c r="U948" s="12">
        <v>3.46</v>
      </c>
      <c r="V948" s="12"/>
      <c r="W948" s="12"/>
      <c r="X948" s="12"/>
      <c r="Y948" s="12"/>
      <c r="Z948" s="12"/>
      <c r="AA948" s="12"/>
    </row>
    <row r="949" spans="1:27" ht="142.5" customHeight="1" x14ac:dyDescent="0.2">
      <c r="A949" s="23" t="s">
        <v>2906</v>
      </c>
      <c r="B949" s="14" t="s">
        <v>2952</v>
      </c>
      <c r="C949" s="14" t="s">
        <v>101</v>
      </c>
      <c r="D949" s="12"/>
      <c r="E949" s="14" t="s">
        <v>238</v>
      </c>
      <c r="F949" s="14" t="s">
        <v>461</v>
      </c>
      <c r="G949" s="12"/>
      <c r="H949" s="17" t="s">
        <v>2486</v>
      </c>
      <c r="I949" s="17" t="s">
        <v>74</v>
      </c>
      <c r="J949" s="14" t="s">
        <v>2955</v>
      </c>
      <c r="K949" s="12"/>
      <c r="L949" s="12"/>
      <c r="M949" s="12"/>
      <c r="N949" s="12"/>
      <c r="O949" s="30" t="str">
        <f>HYPERLINK("http://www.maryvillecollege.edu/admissions/finaid/types-of-aid/scholarships-awards/first-year/","http://www.maryvillecollege.edu/admissions/finaid/types-of-aid/scholarships-awards/first-year/")</f>
        <v>http://www.maryvillecollege.edu/admissions/finaid/types-of-aid/scholarships-awards/first-year/</v>
      </c>
      <c r="P949" s="33">
        <v>33524</v>
      </c>
      <c r="Q949" s="25">
        <v>0.67</v>
      </c>
      <c r="R949" s="52" t="s">
        <v>126</v>
      </c>
      <c r="S949" s="34" t="s">
        <v>2954</v>
      </c>
      <c r="T949" s="12"/>
      <c r="U949" s="12">
        <v>3.46</v>
      </c>
      <c r="V949" s="12"/>
      <c r="W949" s="12"/>
      <c r="X949" s="12"/>
      <c r="Y949" s="12"/>
      <c r="Z949" s="12"/>
      <c r="AA949" s="12"/>
    </row>
    <row r="950" spans="1:27" ht="111" customHeight="1" x14ac:dyDescent="0.2">
      <c r="A950" s="20" t="s">
        <v>2906</v>
      </c>
      <c r="B950" s="20" t="s">
        <v>2956</v>
      </c>
      <c r="C950" s="20" t="s">
        <v>59</v>
      </c>
      <c r="D950" s="20" t="s">
        <v>74</v>
      </c>
      <c r="E950" s="20" t="s">
        <v>789</v>
      </c>
      <c r="F950" s="20" t="s">
        <v>72</v>
      </c>
      <c r="G950" s="12"/>
      <c r="H950" s="17" t="s">
        <v>62</v>
      </c>
      <c r="I950" s="17" t="s">
        <v>2957</v>
      </c>
      <c r="J950" s="131" t="s">
        <v>2958</v>
      </c>
      <c r="K950" s="132">
        <v>29</v>
      </c>
      <c r="L950" s="140">
        <v>1360</v>
      </c>
      <c r="M950" s="188" t="s">
        <v>76</v>
      </c>
      <c r="N950" s="132">
        <v>3.5</v>
      </c>
      <c r="O950" s="133" t="s">
        <v>2959</v>
      </c>
      <c r="P950" s="179" t="s">
        <v>2960</v>
      </c>
      <c r="Q950" s="21">
        <v>0.73</v>
      </c>
      <c r="R950" s="20" t="s">
        <v>130</v>
      </c>
      <c r="S950" s="135" t="s">
        <v>2961</v>
      </c>
      <c r="T950" s="12"/>
      <c r="U950" s="12"/>
      <c r="V950" s="12"/>
      <c r="W950" s="12"/>
      <c r="X950" s="12"/>
      <c r="Y950" s="12"/>
      <c r="Z950" s="12"/>
      <c r="AA950" s="12"/>
    </row>
    <row r="951" spans="1:27" ht="111" customHeight="1" x14ac:dyDescent="0.2">
      <c r="A951" s="23" t="s">
        <v>2906</v>
      </c>
      <c r="B951" s="14" t="s">
        <v>2962</v>
      </c>
      <c r="C951" s="14" t="s">
        <v>101</v>
      </c>
      <c r="D951" s="12"/>
      <c r="E951" s="14" t="s">
        <v>60</v>
      </c>
      <c r="F951" s="14" t="s">
        <v>72</v>
      </c>
      <c r="G951" s="12"/>
      <c r="H951" s="17" t="s">
        <v>950</v>
      </c>
      <c r="I951" s="17">
        <v>2</v>
      </c>
      <c r="J951" s="14" t="s">
        <v>2963</v>
      </c>
      <c r="K951" s="24">
        <v>29</v>
      </c>
      <c r="L951" s="18">
        <v>1350</v>
      </c>
      <c r="M951" s="16" t="s">
        <v>76</v>
      </c>
      <c r="N951" s="24">
        <v>3.5</v>
      </c>
      <c r="O951" s="30" t="str">
        <f>HYPERLINK("http://www.milligan.edu/sfs/undergraduate/#step-two-scholarships-grants","http://www.milligan.edu/sfs/undergraduate/#step-two-scholarships-grants")</f>
        <v>http://www.milligan.edu/sfs/undergraduate/#step-two-scholarships-grants</v>
      </c>
      <c r="P951" s="33">
        <v>31450</v>
      </c>
      <c r="Q951" s="25">
        <v>0.65</v>
      </c>
      <c r="R951" s="14" t="s">
        <v>224</v>
      </c>
      <c r="S951" s="14" t="s">
        <v>2964</v>
      </c>
      <c r="T951" s="12"/>
      <c r="U951" s="12">
        <v>3.75</v>
      </c>
      <c r="V951" s="12"/>
      <c r="W951" s="12"/>
      <c r="X951" s="12"/>
      <c r="Y951" s="12"/>
      <c r="Z951" s="12"/>
      <c r="AA951" s="12"/>
    </row>
    <row r="952" spans="1:27" ht="229" x14ac:dyDescent="0.2">
      <c r="A952" s="23" t="s">
        <v>2906</v>
      </c>
      <c r="B952" s="14" t="s">
        <v>2965</v>
      </c>
      <c r="C952" s="14" t="s">
        <v>101</v>
      </c>
      <c r="D952" s="12"/>
      <c r="E952" s="14" t="s">
        <v>60</v>
      </c>
      <c r="F952" s="14" t="s">
        <v>72</v>
      </c>
      <c r="G952" s="12"/>
      <c r="H952" s="17" t="s">
        <v>2571</v>
      </c>
      <c r="I952" s="17">
        <v>1</v>
      </c>
      <c r="J952" s="56" t="s">
        <v>2966</v>
      </c>
      <c r="K952" s="12"/>
      <c r="L952" s="12"/>
      <c r="M952" s="12"/>
      <c r="N952" s="12"/>
      <c r="O952" s="30" t="str">
        <f>HYPERLINK("http://www.rhodes.edu/content/bellingrath-scholarship","http://www.rhodes.edu/content/bellingrath-scholarship")</f>
        <v>http://www.rhodes.edu/content/bellingrath-scholarship</v>
      </c>
      <c r="P952" s="33">
        <v>44942</v>
      </c>
      <c r="Q952" s="58">
        <v>0.47</v>
      </c>
      <c r="R952" s="34" t="s">
        <v>452</v>
      </c>
      <c r="S952" s="34" t="s">
        <v>2967</v>
      </c>
      <c r="T952" s="12"/>
      <c r="U952" s="12">
        <v>3.87</v>
      </c>
      <c r="V952" s="12"/>
      <c r="W952" s="12"/>
      <c r="X952" s="12"/>
      <c r="Y952" s="12"/>
      <c r="Z952" s="12"/>
      <c r="AA952" s="12"/>
    </row>
    <row r="953" spans="1:27" ht="78" customHeight="1" x14ac:dyDescent="0.2">
      <c r="A953" s="11" t="s">
        <v>2906</v>
      </c>
      <c r="B953" s="12" t="s">
        <v>2968</v>
      </c>
      <c r="C953" s="26" t="s">
        <v>101</v>
      </c>
      <c r="D953" s="12"/>
      <c r="E953" s="12" t="s">
        <v>111</v>
      </c>
      <c r="F953" s="12" t="s">
        <v>72</v>
      </c>
      <c r="G953" s="12"/>
      <c r="H953" s="17" t="s">
        <v>239</v>
      </c>
      <c r="I953" s="17">
        <v>2</v>
      </c>
      <c r="J953" s="61" t="s">
        <v>2969</v>
      </c>
      <c r="K953" s="12"/>
      <c r="L953" s="12"/>
      <c r="M953" s="12"/>
      <c r="N953" s="12"/>
      <c r="O953" s="30" t="str">
        <f t="shared" ref="O953:O954" si="136">HYPERLINK("http://admission.sewanee.edu/","http://admission.sewanee.edu/")</f>
        <v>http://admission.sewanee.edu/</v>
      </c>
      <c r="P953" s="38">
        <v>42400</v>
      </c>
      <c r="Q953" s="31">
        <v>0.41</v>
      </c>
      <c r="R953" s="26" t="s">
        <v>490</v>
      </c>
      <c r="S953" s="26" t="s">
        <v>2970</v>
      </c>
      <c r="T953" s="12"/>
      <c r="U953" s="12">
        <v>3.66</v>
      </c>
      <c r="V953" s="12"/>
      <c r="W953" s="12"/>
      <c r="X953" s="12"/>
      <c r="Y953" s="12"/>
      <c r="Z953" s="12"/>
      <c r="AA953" s="12"/>
    </row>
    <row r="954" spans="1:27" ht="78" customHeight="1" x14ac:dyDescent="0.2">
      <c r="A954" s="11" t="s">
        <v>2906</v>
      </c>
      <c r="B954" s="12" t="s">
        <v>2968</v>
      </c>
      <c r="C954" s="26" t="s">
        <v>101</v>
      </c>
      <c r="D954" s="12"/>
      <c r="E954" s="12" t="s">
        <v>111</v>
      </c>
      <c r="F954" s="12" t="s">
        <v>72</v>
      </c>
      <c r="G954" s="12"/>
      <c r="H954" s="17" t="s">
        <v>239</v>
      </c>
      <c r="I954" s="17">
        <v>2</v>
      </c>
      <c r="J954" s="61" t="s">
        <v>2971</v>
      </c>
      <c r="K954" s="12"/>
      <c r="L954" s="12"/>
      <c r="M954" s="12"/>
      <c r="N954" s="12"/>
      <c r="O954" s="30" t="str">
        <f t="shared" si="136"/>
        <v>http://admission.sewanee.edu/</v>
      </c>
      <c r="P954" s="38">
        <v>42400</v>
      </c>
      <c r="Q954" s="31">
        <v>0.41</v>
      </c>
      <c r="R954" s="26" t="s">
        <v>490</v>
      </c>
      <c r="S954" s="26" t="s">
        <v>2970</v>
      </c>
      <c r="T954" s="12"/>
      <c r="U954" s="12">
        <v>3.66</v>
      </c>
      <c r="V954" s="12"/>
      <c r="W954" s="12"/>
      <c r="X954" s="12"/>
      <c r="Y954" s="12"/>
      <c r="Z954" s="12"/>
      <c r="AA954" s="12"/>
    </row>
    <row r="955" spans="1:27" ht="269.25" customHeight="1" x14ac:dyDescent="0.2">
      <c r="A955" s="219" t="s">
        <v>2906</v>
      </c>
      <c r="B955" s="87" t="s">
        <v>2972</v>
      </c>
      <c r="C955" s="87" t="s">
        <v>101</v>
      </c>
      <c r="D955" s="12"/>
      <c r="E955" s="87" t="s">
        <v>243</v>
      </c>
      <c r="F955" s="87" t="s">
        <v>61</v>
      </c>
      <c r="G955" s="12"/>
      <c r="H955" s="17" t="s">
        <v>62</v>
      </c>
      <c r="I955" s="17" t="s">
        <v>63</v>
      </c>
      <c r="J955" s="81" t="s">
        <v>2973</v>
      </c>
      <c r="K955" s="12"/>
      <c r="L955" s="12"/>
      <c r="M955" s="12"/>
      <c r="N955" s="12"/>
      <c r="O955" s="220" t="str">
        <f t="shared" ref="O955:O958" si="137">HYPERLINK("http://www.southern.edu/undergrad/finances/grants-and-scholarships.html","http://www.southern.edu/undergrad/finances/grants-and-scholarships.html")</f>
        <v>http://www.southern.edu/undergrad/finances/grants-and-scholarships.html</v>
      </c>
      <c r="P955" s="221">
        <v>21150</v>
      </c>
      <c r="Q955" s="222">
        <v>0.6</v>
      </c>
      <c r="R955" s="87" t="s">
        <v>126</v>
      </c>
      <c r="S955" s="87" t="s">
        <v>2974</v>
      </c>
      <c r="T955" s="12"/>
      <c r="U955" s="12">
        <v>3.5</v>
      </c>
      <c r="V955" s="12"/>
      <c r="W955" s="12"/>
      <c r="X955" s="12"/>
      <c r="Y955" s="12"/>
      <c r="Z955" s="12"/>
      <c r="AA955" s="12"/>
    </row>
    <row r="956" spans="1:27" ht="126.75" customHeight="1" x14ac:dyDescent="0.2">
      <c r="A956" s="23" t="s">
        <v>2906</v>
      </c>
      <c r="B956" s="14" t="s">
        <v>2972</v>
      </c>
      <c r="C956" s="14" t="s">
        <v>101</v>
      </c>
      <c r="D956" s="12"/>
      <c r="E956" s="14" t="s">
        <v>60</v>
      </c>
      <c r="F956" s="14" t="s">
        <v>92</v>
      </c>
      <c r="G956" s="12"/>
      <c r="H956" s="17" t="s">
        <v>2519</v>
      </c>
      <c r="I956" s="17" t="s">
        <v>63</v>
      </c>
      <c r="J956" s="14" t="s">
        <v>2975</v>
      </c>
      <c r="K956" s="12"/>
      <c r="L956" s="12"/>
      <c r="M956" s="12"/>
      <c r="N956" s="12"/>
      <c r="O956" s="30" t="str">
        <f t="shared" si="137"/>
        <v>http://www.southern.edu/undergrad/finances/grants-and-scholarships.html</v>
      </c>
      <c r="P956" s="33">
        <v>21150</v>
      </c>
      <c r="Q956" s="25">
        <v>0.6</v>
      </c>
      <c r="R956" s="14" t="s">
        <v>126</v>
      </c>
      <c r="S956" s="14" t="s">
        <v>2974</v>
      </c>
      <c r="T956" s="12"/>
      <c r="U956" s="12">
        <v>3.5</v>
      </c>
      <c r="V956" s="12"/>
      <c r="W956" s="12"/>
      <c r="X956" s="12"/>
      <c r="Y956" s="12"/>
      <c r="Z956" s="12"/>
      <c r="AA956" s="12"/>
    </row>
    <row r="957" spans="1:27" ht="111" customHeight="1" x14ac:dyDescent="0.2">
      <c r="A957" s="23" t="s">
        <v>2906</v>
      </c>
      <c r="B957" s="14" t="s">
        <v>2972</v>
      </c>
      <c r="C957" s="14" t="s">
        <v>101</v>
      </c>
      <c r="D957" s="12"/>
      <c r="E957" s="14" t="s">
        <v>60</v>
      </c>
      <c r="F957" s="14" t="s">
        <v>92</v>
      </c>
      <c r="G957" s="12"/>
      <c r="H957" s="17" t="s">
        <v>93</v>
      </c>
      <c r="I957" s="17" t="s">
        <v>63</v>
      </c>
      <c r="J957" s="14" t="s">
        <v>2976</v>
      </c>
      <c r="K957" s="12"/>
      <c r="L957" s="12"/>
      <c r="M957" s="12"/>
      <c r="N957" s="12"/>
      <c r="O957" s="30" t="str">
        <f t="shared" si="137"/>
        <v>http://www.southern.edu/undergrad/finances/grants-and-scholarships.html</v>
      </c>
      <c r="P957" s="33">
        <v>21150</v>
      </c>
      <c r="Q957" s="25">
        <v>0.6</v>
      </c>
      <c r="R957" s="14" t="s">
        <v>126</v>
      </c>
      <c r="S957" s="14" t="s">
        <v>2974</v>
      </c>
      <c r="T957" s="12"/>
      <c r="U957" s="12">
        <v>3.5</v>
      </c>
      <c r="V957" s="12"/>
      <c r="W957" s="39"/>
      <c r="X957" s="12"/>
      <c r="Y957" s="12"/>
      <c r="Z957" s="12"/>
      <c r="AA957" s="12"/>
    </row>
    <row r="958" spans="1:27" ht="111" customHeight="1" x14ac:dyDescent="0.2">
      <c r="A958" s="23" t="s">
        <v>2906</v>
      </c>
      <c r="B958" s="14" t="s">
        <v>2972</v>
      </c>
      <c r="C958" s="14" t="s">
        <v>101</v>
      </c>
      <c r="D958" s="12"/>
      <c r="E958" s="14" t="s">
        <v>60</v>
      </c>
      <c r="F958" s="14" t="s">
        <v>92</v>
      </c>
      <c r="G958" s="12"/>
      <c r="H958" s="17" t="s">
        <v>1826</v>
      </c>
      <c r="I958" s="17" t="s">
        <v>63</v>
      </c>
      <c r="J958" s="14" t="s">
        <v>2977</v>
      </c>
      <c r="K958" s="12"/>
      <c r="L958" s="12"/>
      <c r="M958" s="12"/>
      <c r="N958" s="12"/>
      <c r="O958" s="30" t="str">
        <f t="shared" si="137"/>
        <v>http://www.southern.edu/undergrad/finances/grants-and-scholarships.html</v>
      </c>
      <c r="P958" s="33">
        <v>21150</v>
      </c>
      <c r="Q958" s="25">
        <v>0.6</v>
      </c>
      <c r="R958" s="14" t="s">
        <v>126</v>
      </c>
      <c r="S958" s="14" t="s">
        <v>2974</v>
      </c>
      <c r="T958" s="12"/>
      <c r="U958" s="12">
        <v>3.5</v>
      </c>
      <c r="V958" s="12"/>
      <c r="W958" s="12"/>
      <c r="X958" s="12"/>
      <c r="Y958" s="12"/>
      <c r="Z958" s="12"/>
      <c r="AA958" s="12"/>
    </row>
    <row r="959" spans="1:27" ht="142.5" customHeight="1" x14ac:dyDescent="0.2">
      <c r="A959" s="23" t="s">
        <v>2906</v>
      </c>
      <c r="B959" s="14" t="s">
        <v>2978</v>
      </c>
      <c r="C959" s="14" t="s">
        <v>59</v>
      </c>
      <c r="D959" s="12"/>
      <c r="E959" s="14" t="s">
        <v>88</v>
      </c>
      <c r="F959" s="14" t="s">
        <v>145</v>
      </c>
      <c r="G959" s="12"/>
      <c r="H959" s="17" t="s">
        <v>157</v>
      </c>
      <c r="I959" s="17" t="s">
        <v>74</v>
      </c>
      <c r="J959" s="14" t="s">
        <v>2979</v>
      </c>
      <c r="K959" s="12"/>
      <c r="L959" s="12"/>
      <c r="M959" s="12"/>
      <c r="N959" s="12"/>
      <c r="O959" s="30" t="str">
        <f>HYPERLINK("https://www.tntech.edu/em/scholarships/admissionsdepartmental","https://www.tntech.edu/em/scholarships/admissionsdepartmental")</f>
        <v>https://www.tntech.edu/em/scholarships/admissionsdepartmental</v>
      </c>
      <c r="P959" s="14" t="s">
        <v>2980</v>
      </c>
      <c r="Q959" s="25">
        <v>0.93</v>
      </c>
      <c r="R959" s="14" t="s">
        <v>126</v>
      </c>
      <c r="S959" s="14" t="s">
        <v>2981</v>
      </c>
      <c r="T959" s="12"/>
      <c r="U959" s="12">
        <v>3.5</v>
      </c>
      <c r="V959" s="12"/>
      <c r="W959" s="12"/>
      <c r="X959" s="12"/>
      <c r="Y959" s="12"/>
      <c r="Z959" s="12"/>
      <c r="AA959" s="12"/>
    </row>
    <row r="960" spans="1:27" ht="196" x14ac:dyDescent="0.2">
      <c r="A960" s="109" t="s">
        <v>2906</v>
      </c>
      <c r="B960" s="110" t="s">
        <v>2982</v>
      </c>
      <c r="C960" s="110" t="s">
        <v>101</v>
      </c>
      <c r="D960" s="112"/>
      <c r="E960" s="110" t="s">
        <v>111</v>
      </c>
      <c r="F960" s="110" t="s">
        <v>72</v>
      </c>
      <c r="G960" s="112"/>
      <c r="H960" s="117" t="s">
        <v>2983</v>
      </c>
      <c r="I960" s="117">
        <v>1</v>
      </c>
      <c r="J960" s="180" t="s">
        <v>2984</v>
      </c>
      <c r="K960" s="117">
        <v>29</v>
      </c>
      <c r="L960" s="117">
        <v>1350</v>
      </c>
      <c r="M960" s="117" t="s">
        <v>76</v>
      </c>
      <c r="N960" s="117">
        <v>3.5</v>
      </c>
      <c r="O960" s="121" t="s">
        <v>2985</v>
      </c>
      <c r="P960" s="124">
        <v>30330</v>
      </c>
      <c r="Q960" s="114">
        <v>0.68</v>
      </c>
      <c r="R960" s="110" t="s">
        <v>1305</v>
      </c>
      <c r="S960" s="110" t="s">
        <v>2986</v>
      </c>
      <c r="T960" s="112"/>
      <c r="U960" s="112">
        <v>3.68</v>
      </c>
      <c r="V960" s="112"/>
      <c r="W960" s="112"/>
      <c r="X960" s="112"/>
      <c r="Y960" s="112"/>
      <c r="Z960" s="112"/>
      <c r="AA960" s="112"/>
    </row>
    <row r="961" spans="1:27" ht="181.5" customHeight="1" x14ac:dyDescent="0.2">
      <c r="A961" s="11" t="s">
        <v>2906</v>
      </c>
      <c r="B961" s="12" t="s">
        <v>2987</v>
      </c>
      <c r="C961" s="26" t="s">
        <v>59</v>
      </c>
      <c r="D961" s="12"/>
      <c r="E961" s="17" t="s">
        <v>1928</v>
      </c>
      <c r="F961" s="12" t="s">
        <v>680</v>
      </c>
      <c r="G961" s="12"/>
      <c r="H961" s="17" t="s">
        <v>2465</v>
      </c>
      <c r="I961" s="17" t="s">
        <v>63</v>
      </c>
      <c r="J961" s="27" t="s">
        <v>2988</v>
      </c>
      <c r="K961" s="12"/>
      <c r="L961" s="12"/>
      <c r="M961" s="12"/>
      <c r="N961" s="12"/>
      <c r="O961" s="19" t="s">
        <v>2989</v>
      </c>
      <c r="P961" s="26" t="s">
        <v>2990</v>
      </c>
      <c r="Q961" s="31">
        <v>0.92</v>
      </c>
      <c r="R961" s="26" t="s">
        <v>973</v>
      </c>
      <c r="S961" s="26" t="s">
        <v>2991</v>
      </c>
      <c r="T961" s="12"/>
      <c r="U961" s="12">
        <v>3.42</v>
      </c>
      <c r="V961" s="12"/>
      <c r="W961" s="12"/>
      <c r="X961" s="12"/>
      <c r="Y961" s="12"/>
      <c r="Z961" s="12"/>
      <c r="AA961" s="12"/>
    </row>
    <row r="962" spans="1:27" ht="327.75" customHeight="1" x14ac:dyDescent="0.2">
      <c r="A962" s="11" t="s">
        <v>2906</v>
      </c>
      <c r="B962" s="12" t="s">
        <v>2992</v>
      </c>
      <c r="C962" s="26" t="s">
        <v>101</v>
      </c>
      <c r="D962" s="12"/>
      <c r="E962" s="12" t="s">
        <v>2993</v>
      </c>
      <c r="F962" s="11" t="s">
        <v>72</v>
      </c>
      <c r="G962" s="12"/>
      <c r="H962" s="17" t="s">
        <v>454</v>
      </c>
      <c r="I962" s="17" t="s">
        <v>74</v>
      </c>
      <c r="J962" s="176" t="s">
        <v>2994</v>
      </c>
      <c r="K962" s="12"/>
      <c r="L962" s="12"/>
      <c r="M962" s="12"/>
      <c r="N962" s="12"/>
      <c r="O962" s="30" t="str">
        <f>HYPERLINK("http://www.vanderbilt.edu/scholarships/signature.php","http://www.vanderbilt.edu/scholarships/signature.php")</f>
        <v>http://www.vanderbilt.edu/scholarships/signature.php</v>
      </c>
      <c r="P962" s="38">
        <v>46110</v>
      </c>
      <c r="Q962" s="31">
        <v>0.12</v>
      </c>
      <c r="R962" s="26" t="s">
        <v>2995</v>
      </c>
      <c r="S962" s="26" t="s">
        <v>2996</v>
      </c>
      <c r="T962" s="12"/>
      <c r="U962" s="12">
        <v>3.8</v>
      </c>
      <c r="V962" s="12"/>
      <c r="W962" s="12"/>
      <c r="X962" s="12"/>
      <c r="Y962" s="12"/>
      <c r="Z962" s="12"/>
      <c r="AA962" s="12"/>
    </row>
    <row r="963" spans="1:27" ht="217" x14ac:dyDescent="0.2">
      <c r="A963" s="23" t="s">
        <v>2906</v>
      </c>
      <c r="B963" s="14" t="s">
        <v>2992</v>
      </c>
      <c r="C963" s="23" t="s">
        <v>101</v>
      </c>
      <c r="D963" s="12"/>
      <c r="E963" s="14" t="s">
        <v>88</v>
      </c>
      <c r="F963" s="23" t="s">
        <v>72</v>
      </c>
      <c r="G963" s="12"/>
      <c r="H963" s="17" t="s">
        <v>2997</v>
      </c>
      <c r="I963" s="17" t="s">
        <v>74</v>
      </c>
      <c r="J963" s="56" t="s">
        <v>2998</v>
      </c>
      <c r="K963" s="12"/>
      <c r="L963" s="12"/>
      <c r="M963" s="12"/>
      <c r="N963" s="12"/>
      <c r="O963" s="49" t="str">
        <f>HYPERLINK("http://www.vanderbilt.edu/scholarships/chancellor.php","http://www.vanderbilt.edu/scholarships/chancellor.php")</f>
        <v>http://www.vanderbilt.edu/scholarships/chancellor.php</v>
      </c>
      <c r="P963" s="38">
        <v>46110</v>
      </c>
      <c r="Q963" s="31">
        <v>0.12</v>
      </c>
      <c r="R963" s="26" t="s">
        <v>2995</v>
      </c>
      <c r="S963" s="26" t="s">
        <v>2996</v>
      </c>
      <c r="T963" s="12"/>
      <c r="U963" s="12">
        <v>3.8</v>
      </c>
      <c r="V963" s="12"/>
      <c r="W963" s="12"/>
      <c r="X963" s="12"/>
      <c r="Y963" s="12"/>
      <c r="Z963" s="12"/>
      <c r="AA963" s="12"/>
    </row>
    <row r="964" spans="1:27" ht="289" x14ac:dyDescent="0.2">
      <c r="A964" s="23" t="s">
        <v>2906</v>
      </c>
      <c r="B964" s="14" t="s">
        <v>2992</v>
      </c>
      <c r="C964" s="23" t="s">
        <v>101</v>
      </c>
      <c r="D964" s="12"/>
      <c r="E964" s="14" t="s">
        <v>88</v>
      </c>
      <c r="F964" s="23" t="s">
        <v>72</v>
      </c>
      <c r="G964" s="12"/>
      <c r="H964" s="17" t="s">
        <v>2999</v>
      </c>
      <c r="I964" s="17" t="s">
        <v>74</v>
      </c>
      <c r="J964" s="56" t="s">
        <v>3000</v>
      </c>
      <c r="K964" s="12"/>
      <c r="L964" s="12"/>
      <c r="M964" s="12"/>
      <c r="N964" s="12"/>
      <c r="O964" s="49" t="str">
        <f>HYPERLINK("http://www.vanderbilt.edu/scholarships/ingram.php","http://www.vanderbilt.edu/scholarships/ingram.php")</f>
        <v>http://www.vanderbilt.edu/scholarships/ingram.php</v>
      </c>
      <c r="P964" s="38">
        <v>46110</v>
      </c>
      <c r="Q964" s="31">
        <v>0.12</v>
      </c>
      <c r="R964" s="26" t="s">
        <v>2995</v>
      </c>
      <c r="S964" s="26" t="s">
        <v>2996</v>
      </c>
      <c r="T964" s="12"/>
      <c r="U964" s="12">
        <v>3.8</v>
      </c>
      <c r="V964" s="12"/>
      <c r="W964" s="12"/>
      <c r="X964" s="12"/>
      <c r="Y964" s="12"/>
      <c r="Z964" s="12"/>
      <c r="AA964" s="12"/>
    </row>
    <row r="965" spans="1:27" ht="79.5" customHeight="1" x14ac:dyDescent="0.2">
      <c r="A965" s="23" t="s">
        <v>2906</v>
      </c>
      <c r="B965" s="14" t="s">
        <v>2992</v>
      </c>
      <c r="C965" s="23" t="s">
        <v>101</v>
      </c>
      <c r="D965" s="12"/>
      <c r="E965" s="14" t="s">
        <v>60</v>
      </c>
      <c r="F965" s="23" t="s">
        <v>72</v>
      </c>
      <c r="G965" s="12"/>
      <c r="H965" s="17" t="s">
        <v>3001</v>
      </c>
      <c r="I965" s="17" t="s">
        <v>74</v>
      </c>
      <c r="J965" s="14" t="s">
        <v>3002</v>
      </c>
      <c r="K965" s="12"/>
      <c r="L965" s="12"/>
      <c r="M965" s="12"/>
      <c r="N965" s="12"/>
      <c r="O965" s="49" t="str">
        <f t="shared" ref="O965:O966" si="138">HYPERLINK("http://www.vanderbilt.edu/scholarships/additional.php","http://www.vanderbilt.edu/scholarships/additional.php")</f>
        <v>http://www.vanderbilt.edu/scholarships/additional.php</v>
      </c>
      <c r="P965" s="38">
        <v>46110</v>
      </c>
      <c r="Q965" s="31">
        <v>0.12</v>
      </c>
      <c r="R965" s="26" t="s">
        <v>2995</v>
      </c>
      <c r="S965" s="26" t="s">
        <v>2996</v>
      </c>
      <c r="T965" s="12"/>
      <c r="U965" s="12">
        <v>3.8</v>
      </c>
      <c r="V965" s="12"/>
      <c r="W965" s="12"/>
      <c r="X965" s="12"/>
      <c r="Y965" s="12"/>
      <c r="Z965" s="12"/>
      <c r="AA965" s="12"/>
    </row>
    <row r="966" spans="1:27" ht="126.75" customHeight="1" x14ac:dyDescent="0.2">
      <c r="A966" s="23" t="s">
        <v>2906</v>
      </c>
      <c r="B966" s="14" t="s">
        <v>2992</v>
      </c>
      <c r="C966" s="23" t="s">
        <v>101</v>
      </c>
      <c r="D966" s="12"/>
      <c r="E966" s="14" t="s">
        <v>60</v>
      </c>
      <c r="F966" s="23" t="s">
        <v>72</v>
      </c>
      <c r="G966" s="12"/>
      <c r="H966" s="17" t="s">
        <v>3003</v>
      </c>
      <c r="I966" s="17" t="s">
        <v>74</v>
      </c>
      <c r="J966" s="14" t="s">
        <v>3004</v>
      </c>
      <c r="K966" s="12"/>
      <c r="L966" s="12"/>
      <c r="M966" s="12"/>
      <c r="N966" s="12"/>
      <c r="O966" s="49" t="str">
        <f t="shared" si="138"/>
        <v>http://www.vanderbilt.edu/scholarships/additional.php</v>
      </c>
      <c r="P966" s="38">
        <v>46110</v>
      </c>
      <c r="Q966" s="31">
        <v>0.12</v>
      </c>
      <c r="R966" s="26" t="s">
        <v>2995</v>
      </c>
      <c r="S966" s="26" t="s">
        <v>2996</v>
      </c>
      <c r="T966" s="12"/>
      <c r="U966" s="12">
        <v>3.8</v>
      </c>
      <c r="V966" s="12"/>
      <c r="W966" s="12"/>
      <c r="X966" s="12"/>
      <c r="Y966" s="12"/>
      <c r="Z966" s="12"/>
      <c r="AA966" s="12"/>
    </row>
    <row r="967" spans="1:27" ht="147.75" customHeight="1" x14ac:dyDescent="0.2">
      <c r="A967" s="11" t="s">
        <v>3005</v>
      </c>
      <c r="B967" s="12" t="s">
        <v>3006</v>
      </c>
      <c r="C967" s="26" t="s">
        <v>59</v>
      </c>
      <c r="D967" s="12"/>
      <c r="E967" s="12" t="s">
        <v>3007</v>
      </c>
      <c r="F967" s="12" t="s">
        <v>61</v>
      </c>
      <c r="G967" s="12"/>
      <c r="H967" s="17" t="s">
        <v>62</v>
      </c>
      <c r="I967" s="17" t="s">
        <v>63</v>
      </c>
      <c r="J967" s="61" t="s">
        <v>3008</v>
      </c>
      <c r="K967" s="24"/>
      <c r="L967" s="24"/>
      <c r="M967" s="26"/>
      <c r="N967" s="12"/>
      <c r="O967" s="30" t="str">
        <f>HYPERLINK("https://www.angelo.edu/services/scholarship-programs/carr-scholarships.php","https://www.angelo.edu/services/scholarship-programs/carr-scholarships.php")</f>
        <v>https://www.angelo.edu/services/scholarship-programs/carr-scholarships.php</v>
      </c>
      <c r="P967" s="26" t="s">
        <v>3009</v>
      </c>
      <c r="Q967" s="31">
        <v>0.77</v>
      </c>
      <c r="R967" s="26" t="s">
        <v>550</v>
      </c>
      <c r="S967" s="26" t="s">
        <v>3010</v>
      </c>
      <c r="T967" s="12"/>
      <c r="U967" s="12" t="s">
        <v>81</v>
      </c>
      <c r="V967" s="12"/>
      <c r="W967" s="12"/>
      <c r="X967" s="12"/>
      <c r="Y967" s="12"/>
      <c r="Z967" s="12"/>
      <c r="AA967" s="12"/>
    </row>
    <row r="968" spans="1:27" ht="142.5" customHeight="1" x14ac:dyDescent="0.2">
      <c r="A968" s="23" t="s">
        <v>3005</v>
      </c>
      <c r="B968" s="14" t="s">
        <v>3011</v>
      </c>
      <c r="C968" s="14" t="s">
        <v>101</v>
      </c>
      <c r="D968" s="12"/>
      <c r="E968" s="14" t="s">
        <v>60</v>
      </c>
      <c r="F968" s="14" t="s">
        <v>92</v>
      </c>
      <c r="G968" s="12"/>
      <c r="H968" s="17" t="s">
        <v>93</v>
      </c>
      <c r="I968" s="17" t="s">
        <v>63</v>
      </c>
      <c r="J968" s="14" t="s">
        <v>3012</v>
      </c>
      <c r="K968" s="12"/>
      <c r="L968" s="12"/>
      <c r="M968" s="12"/>
      <c r="N968" s="12"/>
      <c r="O968" s="19" t="s">
        <v>3013</v>
      </c>
      <c r="P968" s="33">
        <v>42276</v>
      </c>
      <c r="Q968" s="25">
        <v>0.44</v>
      </c>
      <c r="R968" s="14" t="s">
        <v>426</v>
      </c>
      <c r="S968" s="14" t="s">
        <v>3014</v>
      </c>
      <c r="T968" s="12" t="s">
        <v>81</v>
      </c>
      <c r="U968" s="12" t="s">
        <v>81</v>
      </c>
      <c r="V968" s="12"/>
      <c r="W968" s="12"/>
      <c r="X968" s="12"/>
      <c r="Y968" s="12"/>
      <c r="Z968" s="12"/>
      <c r="AA968" s="12"/>
    </row>
    <row r="969" spans="1:27" ht="105.75" customHeight="1" x14ac:dyDescent="0.2">
      <c r="A969" s="39" t="s">
        <v>3005</v>
      </c>
      <c r="B969" s="40" t="s">
        <v>3015</v>
      </c>
      <c r="C969" s="40" t="s">
        <v>101</v>
      </c>
      <c r="D969" s="40"/>
      <c r="E969" s="40" t="s">
        <v>60</v>
      </c>
      <c r="F969" s="40" t="s">
        <v>92</v>
      </c>
      <c r="G969" s="40"/>
      <c r="H969" s="69" t="s">
        <v>93</v>
      </c>
      <c r="I969" s="69" t="s">
        <v>63</v>
      </c>
      <c r="J969" s="40" t="s">
        <v>3016</v>
      </c>
      <c r="K969" s="40"/>
      <c r="L969" s="40"/>
      <c r="M969" s="40"/>
      <c r="N969" s="40"/>
      <c r="O969" s="30" t="str">
        <f>HYPERLINK("https://www.etbu.edu/admissions/scholarships/","https://www.etbu.edu/admissions/scholarships/")</f>
        <v>https://www.etbu.edu/admissions/scholarships/</v>
      </c>
      <c r="P969" s="41">
        <v>24700</v>
      </c>
      <c r="Q969" s="42">
        <v>0.55000000000000004</v>
      </c>
      <c r="R969" s="40" t="s">
        <v>550</v>
      </c>
      <c r="S969" s="40" t="s">
        <v>3017</v>
      </c>
      <c r="T969" s="40"/>
      <c r="U969" s="40">
        <v>3.38</v>
      </c>
      <c r="V969" s="40"/>
      <c r="W969" s="40"/>
      <c r="X969" s="40"/>
      <c r="Y969" s="40"/>
      <c r="Z969" s="40"/>
      <c r="AA969" s="40"/>
    </row>
    <row r="970" spans="1:27" ht="111" customHeight="1" x14ac:dyDescent="0.2">
      <c r="A970" s="23" t="s">
        <v>3005</v>
      </c>
      <c r="B970" s="14" t="s">
        <v>3018</v>
      </c>
      <c r="C970" s="14" t="s">
        <v>101</v>
      </c>
      <c r="D970" s="12"/>
      <c r="E970" s="14" t="s">
        <v>60</v>
      </c>
      <c r="F970" s="14" t="s">
        <v>92</v>
      </c>
      <c r="G970" s="12"/>
      <c r="H970" s="69" t="s">
        <v>93</v>
      </c>
      <c r="I970" s="69" t="s">
        <v>63</v>
      </c>
      <c r="J970" s="14" t="s">
        <v>3019</v>
      </c>
      <c r="K970" s="12"/>
      <c r="L970" s="12"/>
      <c r="M970" s="12"/>
      <c r="N970" s="12"/>
      <c r="O970" s="30" t="str">
        <f>HYPERLINK("https://www.hsutx.edu/offices/financial-aid/scholarships/","https://www.hsutx.edu/offices/financial-aid/scholarships/")</f>
        <v>https://www.hsutx.edu/offices/financial-aid/scholarships/</v>
      </c>
      <c r="P970" s="33">
        <v>25830</v>
      </c>
      <c r="Q970" s="25">
        <v>0.6</v>
      </c>
      <c r="R970" s="14" t="s">
        <v>130</v>
      </c>
      <c r="S970" s="14" t="s">
        <v>3020</v>
      </c>
      <c r="T970" s="12"/>
      <c r="U970" s="12">
        <v>3.63</v>
      </c>
      <c r="V970" s="12"/>
      <c r="W970" s="12"/>
      <c r="X970" s="12"/>
      <c r="Y970" s="12"/>
      <c r="Z970" s="12"/>
      <c r="AA970" s="12"/>
    </row>
    <row r="971" spans="1:27" ht="158.25" customHeight="1" x14ac:dyDescent="0.2">
      <c r="A971" s="23" t="s">
        <v>3005</v>
      </c>
      <c r="B971" s="14" t="s">
        <v>3021</v>
      </c>
      <c r="C971" s="14" t="s">
        <v>101</v>
      </c>
      <c r="D971" s="12"/>
      <c r="E971" s="14" t="s">
        <v>60</v>
      </c>
      <c r="F971" s="14" t="s">
        <v>72</v>
      </c>
      <c r="G971" s="12"/>
      <c r="H971" s="17" t="s">
        <v>326</v>
      </c>
      <c r="I971" s="17">
        <v>5</v>
      </c>
      <c r="J971" s="16" t="s">
        <v>3022</v>
      </c>
      <c r="K971" s="24">
        <v>29</v>
      </c>
      <c r="L971" s="18">
        <v>1350</v>
      </c>
      <c r="M971" s="16" t="s">
        <v>76</v>
      </c>
      <c r="N971" s="24">
        <v>3.8</v>
      </c>
      <c r="O971" s="19" t="s">
        <v>3023</v>
      </c>
      <c r="P971" s="33">
        <v>27690</v>
      </c>
      <c r="Q971" s="25">
        <v>0.86</v>
      </c>
      <c r="R971" s="14" t="s">
        <v>550</v>
      </c>
      <c r="S971" s="14" t="s">
        <v>3024</v>
      </c>
      <c r="T971" s="12"/>
      <c r="U971" s="12">
        <v>3.3</v>
      </c>
      <c r="V971" s="12"/>
      <c r="W971" s="12"/>
      <c r="X971" s="12"/>
      <c r="Y971" s="12"/>
      <c r="Z971" s="12"/>
      <c r="AA971" s="12"/>
    </row>
    <row r="972" spans="1:27" ht="147.75" customHeight="1" x14ac:dyDescent="0.2">
      <c r="A972" s="11" t="s">
        <v>3005</v>
      </c>
      <c r="B972" s="12" t="s">
        <v>3025</v>
      </c>
      <c r="C972" s="26" t="s">
        <v>59</v>
      </c>
      <c r="D972" s="12"/>
      <c r="E972" s="12" t="s">
        <v>724</v>
      </c>
      <c r="F972" s="12" t="s">
        <v>72</v>
      </c>
      <c r="G972" s="12"/>
      <c r="H972" s="17" t="s">
        <v>3026</v>
      </c>
      <c r="I972" s="17" t="s">
        <v>74</v>
      </c>
      <c r="J972" s="181" t="s">
        <v>3027</v>
      </c>
      <c r="K972" s="24">
        <v>29</v>
      </c>
      <c r="L972" s="18">
        <v>1360</v>
      </c>
      <c r="M972" s="29" t="s">
        <v>76</v>
      </c>
      <c r="N972" s="12"/>
      <c r="O972" s="30" t="str">
        <f>HYPERLINK("http://beacardinal.lamar.edu/paying-for-college/scholarships.html","http://beacardinal.lamar.edu/paying-for-college/scholarships.html")</f>
        <v>http://beacardinal.lamar.edu/paying-for-college/scholarships.html</v>
      </c>
      <c r="P972" s="26" t="s">
        <v>3028</v>
      </c>
      <c r="Q972" s="31">
        <v>0.79</v>
      </c>
      <c r="R972" s="26" t="s">
        <v>550</v>
      </c>
      <c r="S972" s="26" t="s">
        <v>3029</v>
      </c>
      <c r="T972" s="12"/>
      <c r="U972" s="12" t="s">
        <v>81</v>
      </c>
      <c r="V972" s="12"/>
      <c r="W972" s="12"/>
      <c r="X972" s="12"/>
      <c r="Y972" s="12"/>
      <c r="Z972" s="12"/>
      <c r="AA972" s="12"/>
    </row>
    <row r="973" spans="1:27" ht="111" customHeight="1" x14ac:dyDescent="0.2">
      <c r="A973" s="23" t="s">
        <v>3005</v>
      </c>
      <c r="B973" s="14" t="s">
        <v>3030</v>
      </c>
      <c r="C973" s="14" t="s">
        <v>101</v>
      </c>
      <c r="D973" s="12"/>
      <c r="E973" s="14" t="s">
        <v>243</v>
      </c>
      <c r="F973" s="14" t="s">
        <v>72</v>
      </c>
      <c r="G973" s="12"/>
      <c r="H973" s="17" t="s">
        <v>1123</v>
      </c>
      <c r="I973" s="17" t="s">
        <v>74</v>
      </c>
      <c r="J973" s="14" t="s">
        <v>3031</v>
      </c>
      <c r="K973" s="12"/>
      <c r="L973" s="12"/>
      <c r="M973" s="12"/>
      <c r="N973" s="12"/>
      <c r="O973" s="30" t="str">
        <f>HYPERLINK("http://www.letu.edu/opencms/opencms/_Admissions/financial-aid/types-of-aid/letu-scholarships.html","http://www.letu.edu/opencms/opencms/_Admissions/financial-aid/types-of-aid/letu-scholarships.html")</f>
        <v>http://www.letu.edu/opencms/opencms/_Admissions/financial-aid/types-of-aid/letu-scholarships.html</v>
      </c>
      <c r="P973" s="33">
        <v>28480</v>
      </c>
      <c r="Q973" s="25">
        <v>0.45</v>
      </c>
      <c r="R973" s="14" t="s">
        <v>1305</v>
      </c>
      <c r="S973" s="14" t="s">
        <v>3032</v>
      </c>
      <c r="T973" s="12"/>
      <c r="U973" s="12">
        <v>3.59</v>
      </c>
      <c r="V973" s="12"/>
      <c r="W973" s="12"/>
      <c r="X973" s="12"/>
      <c r="Y973" s="12"/>
      <c r="Z973" s="12"/>
      <c r="AA973" s="12"/>
    </row>
    <row r="974" spans="1:27" ht="136.5" customHeight="1" x14ac:dyDescent="0.2">
      <c r="A974" s="11" t="s">
        <v>3005</v>
      </c>
      <c r="B974" s="12" t="s">
        <v>3033</v>
      </c>
      <c r="C974" s="26" t="s">
        <v>101</v>
      </c>
      <c r="D974" s="12"/>
      <c r="E974" s="12" t="s">
        <v>60</v>
      </c>
      <c r="F974" s="12" t="s">
        <v>680</v>
      </c>
      <c r="G974" s="12"/>
      <c r="H974" s="17" t="s">
        <v>93</v>
      </c>
      <c r="I974" s="17" t="s">
        <v>63</v>
      </c>
      <c r="J974" s="61" t="s">
        <v>3034</v>
      </c>
      <c r="K974" s="12"/>
      <c r="L974" s="12"/>
      <c r="M974" s="12"/>
      <c r="N974" s="12"/>
      <c r="O974" s="30" t="str">
        <f>HYPERLINK("https://lcu.edu/admissions/tuition-and-financial-assistance/financial-assistance/scholarships/major-lcu-scholarships/","https://lcu.edu/admissions/tuition-and-financial-assistance/financial-assistance/scholarships/major-lcu-scholarships/")</f>
        <v>https://lcu.edu/admissions/tuition-and-financial-assistance/financial-assistance/scholarships/major-lcu-scholarships/</v>
      </c>
      <c r="P974" s="38">
        <v>21166</v>
      </c>
      <c r="Q974" s="31">
        <v>0.96</v>
      </c>
      <c r="R974" s="26" t="s">
        <v>130</v>
      </c>
      <c r="S974" s="26" t="s">
        <v>3035</v>
      </c>
      <c r="T974" s="12"/>
      <c r="U974" s="12">
        <v>3.51</v>
      </c>
      <c r="V974" s="12"/>
      <c r="W974" s="12"/>
      <c r="X974" s="12"/>
      <c r="Y974" s="12"/>
      <c r="Z974" s="12"/>
      <c r="AA974" s="12"/>
    </row>
    <row r="975" spans="1:27" ht="125.25" customHeight="1" x14ac:dyDescent="0.2">
      <c r="A975" s="11" t="s">
        <v>3005</v>
      </c>
      <c r="B975" s="12" t="s">
        <v>3036</v>
      </c>
      <c r="C975" s="26" t="s">
        <v>59</v>
      </c>
      <c r="D975" s="26"/>
      <c r="E975" s="12" t="s">
        <v>111</v>
      </c>
      <c r="F975" s="11" t="s">
        <v>72</v>
      </c>
      <c r="G975" s="12"/>
      <c r="H975" s="17" t="s">
        <v>62</v>
      </c>
      <c r="I975" s="17" t="s">
        <v>74</v>
      </c>
      <c r="J975" s="61" t="s">
        <v>3037</v>
      </c>
      <c r="K975" s="28">
        <v>26</v>
      </c>
      <c r="L975" s="98">
        <v>1260</v>
      </c>
      <c r="M975" s="29" t="s">
        <v>76</v>
      </c>
      <c r="N975" s="26">
        <v>3.5</v>
      </c>
      <c r="O975" s="30" t="str">
        <f t="shared" ref="O975:O976" si="139">HYPERLINK("http://www.pvamu.edu/faid/types-of-aid-2/scholarships/university-scholarships/","http://www.pvamu.edu/faid/types-of-aid-2/scholarships/university-scholarships/")</f>
        <v>http://www.pvamu.edu/faid/types-of-aid-2/scholarships/university-scholarships/</v>
      </c>
      <c r="P975" s="26" t="s">
        <v>3038</v>
      </c>
      <c r="Q975" s="31">
        <v>0.86</v>
      </c>
      <c r="R975" s="26" t="s">
        <v>320</v>
      </c>
      <c r="S975" s="26" t="s">
        <v>3039</v>
      </c>
      <c r="T975" s="12"/>
      <c r="U975" s="12">
        <v>3.03</v>
      </c>
      <c r="V975" s="12"/>
      <c r="W975" s="12"/>
      <c r="X975" s="12"/>
      <c r="Y975" s="12"/>
      <c r="Z975" s="12"/>
      <c r="AA975" s="12"/>
    </row>
    <row r="976" spans="1:27" ht="78" customHeight="1" x14ac:dyDescent="0.2">
      <c r="A976" s="11" t="s">
        <v>3005</v>
      </c>
      <c r="B976" s="12" t="s">
        <v>3036</v>
      </c>
      <c r="C976" s="26" t="s">
        <v>59</v>
      </c>
      <c r="D976" s="26"/>
      <c r="E976" s="12" t="s">
        <v>3040</v>
      </c>
      <c r="F976" s="11" t="s">
        <v>72</v>
      </c>
      <c r="G976" s="12"/>
      <c r="H976" s="17" t="s">
        <v>62</v>
      </c>
      <c r="I976" s="17" t="s">
        <v>74</v>
      </c>
      <c r="J976" s="61" t="s">
        <v>3041</v>
      </c>
      <c r="K976" s="28">
        <v>24</v>
      </c>
      <c r="L976" s="98">
        <v>1190</v>
      </c>
      <c r="M976" s="29" t="s">
        <v>76</v>
      </c>
      <c r="N976" s="26">
        <v>3.25</v>
      </c>
      <c r="O976" s="30" t="str">
        <f t="shared" si="139"/>
        <v>http://www.pvamu.edu/faid/types-of-aid-2/scholarships/university-scholarships/</v>
      </c>
      <c r="P976" s="26" t="s">
        <v>3038</v>
      </c>
      <c r="Q976" s="31">
        <v>0.86</v>
      </c>
      <c r="R976" s="26" t="s">
        <v>320</v>
      </c>
      <c r="S976" s="26" t="s">
        <v>3039</v>
      </c>
      <c r="T976" s="12"/>
      <c r="U976" s="12">
        <v>3.03</v>
      </c>
      <c r="V976" s="12"/>
      <c r="W976" s="12"/>
      <c r="X976" s="12"/>
      <c r="Y976" s="12"/>
      <c r="Z976" s="12"/>
      <c r="AA976" s="12"/>
    </row>
    <row r="977" spans="1:27" ht="78" customHeight="1" x14ac:dyDescent="0.2">
      <c r="A977" s="11" t="s">
        <v>3005</v>
      </c>
      <c r="B977" s="12" t="s">
        <v>3042</v>
      </c>
      <c r="C977" s="26" t="s">
        <v>101</v>
      </c>
      <c r="D977" s="12"/>
      <c r="E977" s="12" t="s">
        <v>3043</v>
      </c>
      <c r="F977" s="12" t="s">
        <v>72</v>
      </c>
      <c r="G977" s="12"/>
      <c r="H977" s="17" t="s">
        <v>1517</v>
      </c>
      <c r="I977" s="17" t="s">
        <v>74</v>
      </c>
      <c r="J977" s="61" t="s">
        <v>3044</v>
      </c>
      <c r="K977" s="12"/>
      <c r="L977" s="12"/>
      <c r="M977" s="12"/>
      <c r="N977" s="12"/>
      <c r="O977" s="30" t="str">
        <f t="shared" ref="O977:O978" si="140">HYPERLINK("http://financialaid.rice.edu/scholarships.aspx","http://financialaid.rice.edu/scholarships.aspx")</f>
        <v>http://financialaid.rice.edu/scholarships.aspx</v>
      </c>
      <c r="P977" s="38">
        <v>43918</v>
      </c>
      <c r="Q977" s="31">
        <v>0.16</v>
      </c>
      <c r="R977" s="26" t="s">
        <v>1520</v>
      </c>
      <c r="S977" s="26" t="s">
        <v>3045</v>
      </c>
      <c r="T977" s="12"/>
      <c r="U977" s="12" t="s">
        <v>81</v>
      </c>
      <c r="V977" s="12"/>
      <c r="W977" s="12"/>
      <c r="X977" s="12"/>
      <c r="Y977" s="12"/>
      <c r="Z977" s="12"/>
      <c r="AA977" s="12"/>
    </row>
    <row r="978" spans="1:27" ht="78" customHeight="1" x14ac:dyDescent="0.2">
      <c r="A978" s="11" t="s">
        <v>3005</v>
      </c>
      <c r="B978" s="12" t="s">
        <v>3042</v>
      </c>
      <c r="C978" s="26" t="s">
        <v>101</v>
      </c>
      <c r="D978" s="17" t="s">
        <v>3046</v>
      </c>
      <c r="E978" s="12" t="s">
        <v>60</v>
      </c>
      <c r="F978" s="11" t="s">
        <v>72</v>
      </c>
      <c r="G978" s="26" t="s">
        <v>3047</v>
      </c>
      <c r="H978" s="29" t="s">
        <v>239</v>
      </c>
      <c r="I978" s="29" t="s">
        <v>74</v>
      </c>
      <c r="J978" s="61" t="s">
        <v>3048</v>
      </c>
      <c r="K978" s="12"/>
      <c r="L978" s="12"/>
      <c r="M978" s="12"/>
      <c r="N978" s="12"/>
      <c r="O978" s="30" t="str">
        <f t="shared" si="140"/>
        <v>http://financialaid.rice.edu/scholarships.aspx</v>
      </c>
      <c r="P978" s="38">
        <v>43918</v>
      </c>
      <c r="Q978" s="31">
        <v>0.16</v>
      </c>
      <c r="R978" s="26" t="s">
        <v>1520</v>
      </c>
      <c r="S978" s="26" t="s">
        <v>3045</v>
      </c>
      <c r="T978" s="12"/>
      <c r="U978" s="12" t="s">
        <v>81</v>
      </c>
      <c r="V978" s="12"/>
      <c r="W978" s="12"/>
      <c r="X978" s="12"/>
      <c r="Y978" s="12"/>
      <c r="Z978" s="12"/>
      <c r="AA978" s="12"/>
    </row>
    <row r="979" spans="1:27" ht="111" customHeight="1" x14ac:dyDescent="0.2">
      <c r="A979" s="23" t="s">
        <v>3005</v>
      </c>
      <c r="B979" s="14" t="s">
        <v>3049</v>
      </c>
      <c r="C979" s="14" t="s">
        <v>101</v>
      </c>
      <c r="D979" s="12"/>
      <c r="E979" s="14" t="s">
        <v>60</v>
      </c>
      <c r="F979" s="14" t="s">
        <v>92</v>
      </c>
      <c r="G979" s="12"/>
      <c r="H979" s="17" t="s">
        <v>93</v>
      </c>
      <c r="I979" s="17" t="s">
        <v>63</v>
      </c>
      <c r="J979" s="14" t="s">
        <v>3050</v>
      </c>
      <c r="K979" s="12"/>
      <c r="L979" s="12"/>
      <c r="M979" s="12"/>
      <c r="N979" s="12"/>
      <c r="O979" s="19" t="s">
        <v>3051</v>
      </c>
      <c r="P979" s="33">
        <v>25750</v>
      </c>
      <c r="Q979" s="223">
        <v>0.9</v>
      </c>
      <c r="R979" s="14" t="s">
        <v>385</v>
      </c>
      <c r="S979" s="14" t="s">
        <v>3052</v>
      </c>
      <c r="T979" s="12"/>
      <c r="U979" s="12">
        <v>3.59</v>
      </c>
      <c r="V979" s="12"/>
      <c r="W979" s="12"/>
      <c r="X979" s="12"/>
      <c r="Y979" s="12"/>
      <c r="Z979" s="12"/>
      <c r="AA979" s="12"/>
    </row>
    <row r="980" spans="1:27" ht="142.5" customHeight="1" x14ac:dyDescent="0.2">
      <c r="A980" s="23" t="s">
        <v>3005</v>
      </c>
      <c r="B980" s="14" t="s">
        <v>3053</v>
      </c>
      <c r="C980" s="14" t="s">
        <v>101</v>
      </c>
      <c r="D980" s="12"/>
      <c r="E980" s="14" t="s">
        <v>789</v>
      </c>
      <c r="F980" s="14" t="s">
        <v>145</v>
      </c>
      <c r="G980" s="12"/>
      <c r="H980" s="17" t="s">
        <v>157</v>
      </c>
      <c r="I980" s="17" t="s">
        <v>74</v>
      </c>
      <c r="J980" s="14" t="s">
        <v>3054</v>
      </c>
      <c r="K980" s="12"/>
      <c r="L980" s="12"/>
      <c r="M980" s="12"/>
      <c r="N980" s="12"/>
      <c r="O980" s="30" t="str">
        <f>HYPERLINK("https://www.smu.edu/EnrollmentServices/FinancialAid/TypesOfAid/Scholarships/Other","https://www.smu.edu/EnrollmentServices/FinancialAid/TypesOfAid/Scholarships/Other")</f>
        <v>https://www.smu.edu/EnrollmentServices/FinancialAid/TypesOfAid/Scholarships/Other</v>
      </c>
      <c r="P980" s="33">
        <v>50358</v>
      </c>
      <c r="Q980" s="25">
        <v>0.49</v>
      </c>
      <c r="R980" s="14" t="s">
        <v>523</v>
      </c>
      <c r="S980" s="14" t="s">
        <v>3055</v>
      </c>
      <c r="T980" s="12"/>
      <c r="U980" s="12">
        <v>3.64</v>
      </c>
      <c r="V980" s="12"/>
      <c r="W980" s="12"/>
      <c r="X980" s="12"/>
      <c r="Y980" s="12"/>
      <c r="Z980" s="12"/>
      <c r="AA980" s="12"/>
    </row>
    <row r="981" spans="1:27" ht="272" x14ac:dyDescent="0.2">
      <c r="A981" s="23" t="s">
        <v>3005</v>
      </c>
      <c r="B981" s="14" t="s">
        <v>3053</v>
      </c>
      <c r="C981" s="14" t="s">
        <v>101</v>
      </c>
      <c r="D981" s="12"/>
      <c r="E981" s="14" t="s">
        <v>82</v>
      </c>
      <c r="F981" s="14" t="s">
        <v>72</v>
      </c>
      <c r="G981" s="12"/>
      <c r="H981" s="17" t="s">
        <v>3056</v>
      </c>
      <c r="I981" s="17" t="s">
        <v>74</v>
      </c>
      <c r="J981" s="14" t="s">
        <v>3057</v>
      </c>
      <c r="K981" s="12"/>
      <c r="L981" s="12"/>
      <c r="M981" s="12"/>
      <c r="N981" s="12"/>
      <c r="O981" s="30" t="str">
        <f>HYPERLINK("http://www.smu.edu/Admission/Academics/Honors/MeritScholarships","http://www.smu.edu/Admission/Academics/Honors/MeritScholarships")</f>
        <v>http://www.smu.edu/Admission/Academics/Honors/MeritScholarships</v>
      </c>
      <c r="P981" s="33">
        <v>50358</v>
      </c>
      <c r="Q981" s="25">
        <v>0.49</v>
      </c>
      <c r="R981" s="14" t="s">
        <v>523</v>
      </c>
      <c r="S981" s="14" t="s">
        <v>3055</v>
      </c>
      <c r="T981" s="12"/>
      <c r="U981" s="12">
        <v>3.64</v>
      </c>
      <c r="V981" s="12"/>
      <c r="W981" s="12"/>
      <c r="X981" s="12"/>
      <c r="Y981" s="12"/>
      <c r="Z981" s="12"/>
      <c r="AA981" s="12"/>
    </row>
    <row r="982" spans="1:27" ht="176" x14ac:dyDescent="0.2">
      <c r="A982" s="23" t="s">
        <v>3005</v>
      </c>
      <c r="B982" s="14" t="s">
        <v>3058</v>
      </c>
      <c r="C982" s="14" t="s">
        <v>101</v>
      </c>
      <c r="D982" s="12"/>
      <c r="E982" s="14" t="s">
        <v>2113</v>
      </c>
      <c r="F982" s="16" t="s">
        <v>61</v>
      </c>
      <c r="G982" s="12"/>
      <c r="H982" s="17" t="s">
        <v>1583</v>
      </c>
      <c r="I982" s="17" t="s">
        <v>63</v>
      </c>
      <c r="J982" s="14" t="s">
        <v>3059</v>
      </c>
      <c r="K982" s="12">
        <v>34</v>
      </c>
      <c r="L982" s="17">
        <v>1520</v>
      </c>
      <c r="M982" s="17" t="s">
        <v>76</v>
      </c>
      <c r="N982" s="12"/>
      <c r="O982" s="30" t="str">
        <f>HYPERLINK("http://www.swau.edu/finances/financial-aid/scholarships/","http://www.swau.edu/finances/financial-aid/scholarships/")</f>
        <v>http://www.swau.edu/finances/financial-aid/scholarships/</v>
      </c>
      <c r="P982" s="33">
        <v>20276</v>
      </c>
      <c r="Q982" s="25">
        <v>0.49</v>
      </c>
      <c r="R982" s="14" t="s">
        <v>155</v>
      </c>
      <c r="S982" s="14" t="s">
        <v>3060</v>
      </c>
      <c r="T982" s="12"/>
      <c r="U982" s="12">
        <v>3.2</v>
      </c>
      <c r="V982" s="12"/>
      <c r="W982" s="12"/>
      <c r="X982" s="12"/>
      <c r="Y982" s="12"/>
      <c r="Z982" s="12"/>
      <c r="AA982" s="12"/>
    </row>
    <row r="983" spans="1:27" ht="268.5" customHeight="1" x14ac:dyDescent="0.2">
      <c r="A983" s="109" t="s">
        <v>3005</v>
      </c>
      <c r="B983" s="110" t="s">
        <v>3061</v>
      </c>
      <c r="C983" s="110" t="s">
        <v>101</v>
      </c>
      <c r="D983" s="112"/>
      <c r="E983" s="110" t="s">
        <v>3062</v>
      </c>
      <c r="F983" s="110" t="s">
        <v>72</v>
      </c>
      <c r="G983" s="112"/>
      <c r="H983" s="117" t="s">
        <v>1738</v>
      </c>
      <c r="I983" s="117" t="s">
        <v>74</v>
      </c>
      <c r="J983" s="110" t="s">
        <v>3063</v>
      </c>
      <c r="K983" s="112">
        <v>31</v>
      </c>
      <c r="L983" s="112">
        <v>1400</v>
      </c>
      <c r="M983" s="112" t="s">
        <v>197</v>
      </c>
      <c r="N983" s="112">
        <v>3.8</v>
      </c>
      <c r="O983" s="224" t="str">
        <f>HYPERLINK("http://www.southwestern.edu/aid/types/scholarships/merit.php","http://www.southwestern.edu/aid/types/scholarships/merit.php")</f>
        <v>http://www.southwestern.edu/aid/types/scholarships/merit.php</v>
      </c>
      <c r="P983" s="124">
        <v>39060</v>
      </c>
      <c r="Q983" s="114">
        <v>0.44</v>
      </c>
      <c r="R983" s="110" t="s">
        <v>105</v>
      </c>
      <c r="S983" s="110" t="s">
        <v>3064</v>
      </c>
      <c r="T983" s="112"/>
      <c r="U983" s="112" t="s">
        <v>81</v>
      </c>
      <c r="V983" s="112"/>
      <c r="W983" s="112"/>
      <c r="X983" s="112"/>
      <c r="Y983" s="112"/>
      <c r="Z983" s="112"/>
      <c r="AA983" s="112"/>
    </row>
    <row r="984" spans="1:27" ht="158.25" customHeight="1" x14ac:dyDescent="0.2">
      <c r="A984" s="23" t="s">
        <v>3005</v>
      </c>
      <c r="B984" s="14" t="s">
        <v>3065</v>
      </c>
      <c r="C984" s="14" t="s">
        <v>101</v>
      </c>
      <c r="D984" s="12"/>
      <c r="E984" s="14" t="s">
        <v>243</v>
      </c>
      <c r="F984" s="14" t="s">
        <v>145</v>
      </c>
      <c r="G984" s="12"/>
      <c r="H984" s="17" t="s">
        <v>157</v>
      </c>
      <c r="I984" s="17" t="s">
        <v>74</v>
      </c>
      <c r="J984" s="14" t="s">
        <v>3066</v>
      </c>
      <c r="K984" s="12"/>
      <c r="L984" s="12"/>
      <c r="M984" s="12"/>
      <c r="N984" s="12"/>
      <c r="O984" s="30" t="str">
        <f t="shared" ref="O984:O985" si="141">HYPERLINK("https://www.stedwards.edu/admission-financial-aid/undergraduate/new-freshmen/scholarships","https://www.stedwards.edu/admission-financial-aid/undergraduate/new-freshmen/scholarships")</f>
        <v>https://www.stedwards.edu/admission-financial-aid/undergraduate/new-freshmen/scholarships</v>
      </c>
      <c r="P984" s="33">
        <v>40828</v>
      </c>
      <c r="Q984" s="25">
        <v>0.77</v>
      </c>
      <c r="R984" s="14" t="s">
        <v>1733</v>
      </c>
      <c r="S984" s="14" t="s">
        <v>3067</v>
      </c>
      <c r="T984" s="12"/>
      <c r="U984" s="12" t="s">
        <v>81</v>
      </c>
      <c r="V984" s="12"/>
      <c r="W984" s="12"/>
      <c r="X984" s="12"/>
      <c r="Y984" s="12"/>
      <c r="Z984" s="12"/>
      <c r="AA984" s="12"/>
    </row>
    <row r="985" spans="1:27" ht="142.5" customHeight="1" x14ac:dyDescent="0.2">
      <c r="A985" s="23" t="s">
        <v>3005</v>
      </c>
      <c r="B985" s="14" t="s">
        <v>3065</v>
      </c>
      <c r="C985" s="14" t="s">
        <v>101</v>
      </c>
      <c r="D985" s="12"/>
      <c r="E985" s="14" t="s">
        <v>60</v>
      </c>
      <c r="F985" s="14" t="s">
        <v>72</v>
      </c>
      <c r="G985" s="12"/>
      <c r="H985" s="17" t="s">
        <v>3068</v>
      </c>
      <c r="I985" s="17" t="s">
        <v>74</v>
      </c>
      <c r="J985" s="14" t="s">
        <v>3069</v>
      </c>
      <c r="K985" s="24">
        <v>28</v>
      </c>
      <c r="L985" s="18">
        <v>1310</v>
      </c>
      <c r="M985" s="16" t="s">
        <v>76</v>
      </c>
      <c r="N985" s="12"/>
      <c r="O985" s="30" t="str">
        <f t="shared" si="141"/>
        <v>https://www.stedwards.edu/admission-financial-aid/undergraduate/new-freshmen/scholarships</v>
      </c>
      <c r="P985" s="33">
        <v>40828</v>
      </c>
      <c r="Q985" s="25">
        <v>0.77</v>
      </c>
      <c r="R985" s="14" t="s">
        <v>1733</v>
      </c>
      <c r="S985" s="14" t="s">
        <v>3067</v>
      </c>
      <c r="T985" s="12"/>
      <c r="U985" s="12" t="s">
        <v>81</v>
      </c>
      <c r="V985" s="12"/>
      <c r="W985" s="12"/>
      <c r="X985" s="12"/>
      <c r="Y985" s="12"/>
      <c r="Z985" s="12"/>
      <c r="AA985" s="12"/>
    </row>
    <row r="986" spans="1:27" ht="189.75" customHeight="1" x14ac:dyDescent="0.2">
      <c r="A986" s="23" t="s">
        <v>3005</v>
      </c>
      <c r="B986" s="14" t="s">
        <v>3070</v>
      </c>
      <c r="C986" s="14" t="s">
        <v>101</v>
      </c>
      <c r="D986" s="12"/>
      <c r="E986" s="14" t="s">
        <v>82</v>
      </c>
      <c r="F986" s="14" t="s">
        <v>72</v>
      </c>
      <c r="G986" s="12"/>
      <c r="H986" s="17" t="s">
        <v>3071</v>
      </c>
      <c r="I986" s="17" t="s">
        <v>74</v>
      </c>
      <c r="J986" s="14" t="s">
        <v>3072</v>
      </c>
      <c r="K986" s="17">
        <v>27</v>
      </c>
      <c r="L986" s="17">
        <v>1290</v>
      </c>
      <c r="M986" s="17" t="s">
        <v>197</v>
      </c>
      <c r="N986" s="17">
        <v>3.5</v>
      </c>
      <c r="O986" s="30" t="str">
        <f>HYPERLINK("https://www.stmarytx.edu/academics/business/programs-and-centers/greehey-scholars-program/","https://www.stmarytx.edu/academics/business/programs-and-centers/greehey-scholars-program/")</f>
        <v>https://www.stmarytx.edu/academics/business/programs-and-centers/greehey-scholars-program/</v>
      </c>
      <c r="P986" s="33">
        <v>28200</v>
      </c>
      <c r="Q986" s="25">
        <v>0.55000000000000004</v>
      </c>
      <c r="R986" s="14" t="s">
        <v>124</v>
      </c>
      <c r="S986" s="14" t="s">
        <v>3073</v>
      </c>
      <c r="T986" s="12"/>
      <c r="U986" s="12">
        <v>3.44</v>
      </c>
      <c r="V986" s="12"/>
      <c r="W986" s="12"/>
      <c r="X986" s="12"/>
      <c r="Y986" s="12"/>
      <c r="Z986" s="12"/>
      <c r="AA986" s="12"/>
    </row>
    <row r="987" spans="1:27" ht="252.75" customHeight="1" x14ac:dyDescent="0.2">
      <c r="A987" s="23" t="s">
        <v>3005</v>
      </c>
      <c r="B987" s="14" t="s">
        <v>3070</v>
      </c>
      <c r="C987" s="14" t="s">
        <v>101</v>
      </c>
      <c r="D987" s="17" t="s">
        <v>3074</v>
      </c>
      <c r="E987" s="14" t="s">
        <v>60</v>
      </c>
      <c r="F987" s="14" t="s">
        <v>72</v>
      </c>
      <c r="G987" s="12"/>
      <c r="H987" s="17" t="s">
        <v>239</v>
      </c>
      <c r="I987" s="17">
        <v>8</v>
      </c>
      <c r="J987" s="122" t="s">
        <v>3075</v>
      </c>
      <c r="K987" s="12"/>
      <c r="L987" s="12"/>
      <c r="M987" s="12"/>
      <c r="N987" s="12"/>
      <c r="O987" s="19" t="s">
        <v>3076</v>
      </c>
      <c r="P987" s="33">
        <v>28200</v>
      </c>
      <c r="Q987" s="25">
        <v>0.55000000000000004</v>
      </c>
      <c r="R987" s="14" t="s">
        <v>124</v>
      </c>
      <c r="S987" s="14" t="s">
        <v>3073</v>
      </c>
      <c r="T987" s="12"/>
      <c r="U987" s="12">
        <v>3.44</v>
      </c>
      <c r="V987" s="12"/>
      <c r="W987" s="12"/>
      <c r="X987" s="12"/>
      <c r="Y987" s="12"/>
      <c r="Z987" s="12"/>
      <c r="AA987" s="12"/>
    </row>
    <row r="988" spans="1:27" ht="125.25" customHeight="1" x14ac:dyDescent="0.2">
      <c r="A988" s="11" t="s">
        <v>3005</v>
      </c>
      <c r="B988" s="12" t="s">
        <v>3077</v>
      </c>
      <c r="C988" s="26" t="s">
        <v>59</v>
      </c>
      <c r="D988" s="26" t="s">
        <v>194</v>
      </c>
      <c r="E988" s="12" t="s">
        <v>634</v>
      </c>
      <c r="F988" s="12" t="s">
        <v>72</v>
      </c>
      <c r="G988" s="12"/>
      <c r="H988" s="17" t="s">
        <v>239</v>
      </c>
      <c r="I988" s="17" t="s">
        <v>74</v>
      </c>
      <c r="J988" s="27" t="s">
        <v>3078</v>
      </c>
      <c r="K988" s="12"/>
      <c r="L988" s="12"/>
      <c r="M988" s="12"/>
      <c r="N988" s="12"/>
      <c r="O988" s="30" t="str">
        <f>HYPERLINK("http://www.tamuk.edu/cba/Scholarship_Awards/Pres_Scholars.html","http://www.tamuk.edu/cba/Scholarship_Awards/Pres_Scholars.html")</f>
        <v>http://www.tamuk.edu/cba/Scholarship_Awards/Pres_Scholars.html</v>
      </c>
      <c r="P988" s="26" t="s">
        <v>3079</v>
      </c>
      <c r="Q988" s="31">
        <v>0.82</v>
      </c>
      <c r="R988" s="26" t="s">
        <v>155</v>
      </c>
      <c r="S988" s="26" t="s">
        <v>3080</v>
      </c>
      <c r="T988" s="12"/>
      <c r="U988" s="12">
        <v>3.35</v>
      </c>
      <c r="V988" s="12"/>
      <c r="W988" s="12"/>
      <c r="X988" s="12"/>
      <c r="Y988" s="12"/>
      <c r="Z988" s="12"/>
      <c r="AA988" s="12"/>
    </row>
    <row r="989" spans="1:27" ht="142.5" customHeight="1" x14ac:dyDescent="0.2">
      <c r="A989" s="23" t="s">
        <v>3005</v>
      </c>
      <c r="B989" s="14" t="s">
        <v>3081</v>
      </c>
      <c r="C989" s="14" t="s">
        <v>59</v>
      </c>
      <c r="D989" s="14" t="s">
        <v>98</v>
      </c>
      <c r="E989" s="14" t="s">
        <v>191</v>
      </c>
      <c r="F989" s="14" t="s">
        <v>72</v>
      </c>
      <c r="G989" s="12"/>
      <c r="H989" s="17" t="s">
        <v>239</v>
      </c>
      <c r="I989" s="17" t="s">
        <v>74</v>
      </c>
      <c r="J989" s="14" t="s">
        <v>3082</v>
      </c>
      <c r="K989" s="12"/>
      <c r="L989" s="12"/>
      <c r="M989" s="12"/>
      <c r="N989" s="12"/>
      <c r="O989" s="30" t="str">
        <f>HYPERLINK("https://scholarships.tamu.edu/Terry-Freshmen-Scholarship-FAQ","https://scholarships.tamu.edu/Terry-Freshmen-Scholarship-FAQ")</f>
        <v>https://scholarships.tamu.edu/Terry-Freshmen-Scholarship-FAQ</v>
      </c>
      <c r="P989" s="14" t="s">
        <v>3083</v>
      </c>
      <c r="Q989" s="58">
        <v>0.66</v>
      </c>
      <c r="R989" s="14" t="s">
        <v>426</v>
      </c>
      <c r="S989" s="14" t="s">
        <v>3084</v>
      </c>
      <c r="T989" s="12"/>
      <c r="U989" s="12" t="s">
        <v>81</v>
      </c>
      <c r="V989" s="12"/>
      <c r="W989" s="12"/>
      <c r="X989" s="12"/>
      <c r="Y989" s="12"/>
      <c r="Z989" s="12"/>
      <c r="AA989" s="12"/>
    </row>
    <row r="990" spans="1:27" ht="229" x14ac:dyDescent="0.2">
      <c r="A990" s="152" t="s">
        <v>3005</v>
      </c>
      <c r="B990" s="153" t="s">
        <v>3081</v>
      </c>
      <c r="C990" s="153" t="s">
        <v>59</v>
      </c>
      <c r="D990" s="153"/>
      <c r="E990" s="153" t="s">
        <v>191</v>
      </c>
      <c r="F990" s="153" t="s">
        <v>92</v>
      </c>
      <c r="G990" s="153"/>
      <c r="H990" s="154" t="s">
        <v>3085</v>
      </c>
      <c r="I990" s="154" t="s">
        <v>74</v>
      </c>
      <c r="J990" s="209" t="s">
        <v>3086</v>
      </c>
      <c r="K990" s="225">
        <v>30</v>
      </c>
      <c r="L990" s="226">
        <v>1360</v>
      </c>
      <c r="M990" s="154" t="s">
        <v>76</v>
      </c>
      <c r="N990" s="153"/>
      <c r="O990" s="113" t="str">
        <f>HYPERLINK("https://scholarships.tamu.edu/FRESHMEN/Available-Scholarships#0-CraigandGalenBrownFoundationScholarship","https://scholarships.tamu.edu/FRESHMEN/Available-Scholarships#0-CraigandGalenBrownFoundationScholarship")</f>
        <v>https://scholarships.tamu.edu/FRESHMEN/Available-Scholarships#0-CraigandGalenBrownFoundationScholarship</v>
      </c>
      <c r="P990" s="153" t="s">
        <v>3083</v>
      </c>
      <c r="Q990" s="227">
        <v>0.66</v>
      </c>
      <c r="R990" s="153" t="s">
        <v>426</v>
      </c>
      <c r="S990" s="153" t="s">
        <v>3084</v>
      </c>
      <c r="T990" s="153"/>
      <c r="U990" s="153" t="s">
        <v>81</v>
      </c>
      <c r="V990" s="153"/>
      <c r="W990" s="153"/>
      <c r="X990" s="153"/>
      <c r="Y990" s="153"/>
      <c r="Z990" s="153"/>
      <c r="AA990" s="153"/>
    </row>
    <row r="991" spans="1:27" ht="111" customHeight="1" x14ac:dyDescent="0.2">
      <c r="A991" s="23" t="s">
        <v>3005</v>
      </c>
      <c r="B991" s="14" t="s">
        <v>3087</v>
      </c>
      <c r="C991" s="14" t="s">
        <v>101</v>
      </c>
      <c r="D991" s="12"/>
      <c r="E991" s="14" t="s">
        <v>88</v>
      </c>
      <c r="F991" s="14" t="s">
        <v>145</v>
      </c>
      <c r="G991" s="12"/>
      <c r="H991" s="17" t="s">
        <v>157</v>
      </c>
      <c r="I991" s="17" t="s">
        <v>74</v>
      </c>
      <c r="J991" s="14" t="s">
        <v>3088</v>
      </c>
      <c r="K991" s="24"/>
      <c r="L991" s="24"/>
      <c r="M991" s="14"/>
      <c r="N991" s="24"/>
      <c r="O991" s="19" t="s">
        <v>3089</v>
      </c>
      <c r="P991" s="33">
        <v>42670</v>
      </c>
      <c r="Q991" s="25">
        <v>0.43</v>
      </c>
      <c r="R991" s="14" t="s">
        <v>426</v>
      </c>
      <c r="S991" s="14" t="s">
        <v>3090</v>
      </c>
      <c r="T991" s="12"/>
      <c r="U991" s="12" t="s">
        <v>81</v>
      </c>
      <c r="V991" s="12"/>
      <c r="W991" s="12"/>
      <c r="X991" s="12"/>
      <c r="Y991" s="12"/>
      <c r="Z991" s="12"/>
      <c r="AA991" s="12"/>
    </row>
    <row r="992" spans="1:27" ht="111" customHeight="1" x14ac:dyDescent="0.2">
      <c r="A992" s="23" t="s">
        <v>3005</v>
      </c>
      <c r="B992" s="14" t="s">
        <v>3087</v>
      </c>
      <c r="C992" s="14" t="s">
        <v>101</v>
      </c>
      <c r="D992" s="12"/>
      <c r="E992" s="14" t="s">
        <v>60</v>
      </c>
      <c r="F992" s="14" t="s">
        <v>72</v>
      </c>
      <c r="G992" s="12"/>
      <c r="H992" s="17" t="s">
        <v>3091</v>
      </c>
      <c r="I992" s="17" t="s">
        <v>74</v>
      </c>
      <c r="J992" s="14" t="s">
        <v>3092</v>
      </c>
      <c r="K992" s="12"/>
      <c r="L992" s="12"/>
      <c r="M992" s="12"/>
      <c r="N992" s="12"/>
      <c r="O992" s="30" t="str">
        <f>HYPERLINK("http://financialaid.tcu.edu/freshman-academic-scholarships/","http://financialaid.tcu.edu/freshman-academic-scholarships/")</f>
        <v>http://financialaid.tcu.edu/freshman-academic-scholarships/</v>
      </c>
      <c r="P992" s="33">
        <v>42670</v>
      </c>
      <c r="Q992" s="25">
        <v>0.43</v>
      </c>
      <c r="R992" s="14" t="s">
        <v>426</v>
      </c>
      <c r="S992" s="14" t="s">
        <v>3090</v>
      </c>
      <c r="T992" s="12"/>
      <c r="U992" s="12" t="s">
        <v>81</v>
      </c>
      <c r="V992" s="12"/>
      <c r="W992" s="12"/>
      <c r="X992" s="12"/>
      <c r="Y992" s="12"/>
      <c r="Z992" s="12"/>
      <c r="AA992" s="12"/>
    </row>
    <row r="993" spans="1:27" ht="114" customHeight="1" x14ac:dyDescent="0.2">
      <c r="A993" s="11" t="s">
        <v>3005</v>
      </c>
      <c r="B993" s="12" t="s">
        <v>3093</v>
      </c>
      <c r="C993" s="26" t="s">
        <v>101</v>
      </c>
      <c r="D993" s="12"/>
      <c r="E993" s="12" t="s">
        <v>2541</v>
      </c>
      <c r="F993" s="12" t="s">
        <v>72</v>
      </c>
      <c r="G993" s="12"/>
      <c r="H993" s="17" t="s">
        <v>250</v>
      </c>
      <c r="I993" s="17" t="s">
        <v>74</v>
      </c>
      <c r="J993" s="61" t="s">
        <v>3094</v>
      </c>
      <c r="K993" s="12"/>
      <c r="L993" s="12"/>
      <c r="M993" s="12"/>
      <c r="N993" s="12"/>
      <c r="O993" s="30" t="str">
        <f>HYPERLINK("http://www.tlu.edu/admissions/financial-aid/tlu-scholarships/","http://www.tlu.edu/admissions/financial-aid/tlu-scholarships/")</f>
        <v>http://www.tlu.edu/admissions/financial-aid/tlu-scholarships/</v>
      </c>
      <c r="P993" s="38">
        <v>28910</v>
      </c>
      <c r="Q993" s="31">
        <v>0.55900000000000005</v>
      </c>
      <c r="R993" s="26" t="s">
        <v>834</v>
      </c>
      <c r="S993" s="26" t="s">
        <v>3095</v>
      </c>
      <c r="T993" s="12"/>
      <c r="U993" s="12">
        <v>3.57</v>
      </c>
      <c r="V993" s="12"/>
      <c r="W993" s="12"/>
      <c r="X993" s="12"/>
      <c r="Y993" s="12"/>
      <c r="Z993" s="12"/>
      <c r="AA993" s="12"/>
    </row>
    <row r="994" spans="1:27" ht="204" customHeight="1" x14ac:dyDescent="0.2">
      <c r="A994" s="78" t="s">
        <v>3005</v>
      </c>
      <c r="B994" s="17" t="s">
        <v>3096</v>
      </c>
      <c r="C994" s="29" t="s">
        <v>59</v>
      </c>
      <c r="D994" s="26"/>
      <c r="E994" s="17" t="s">
        <v>215</v>
      </c>
      <c r="F994" s="78" t="s">
        <v>461</v>
      </c>
      <c r="G994" s="26"/>
      <c r="H994" s="29" t="s">
        <v>3097</v>
      </c>
      <c r="I994" s="29">
        <v>2</v>
      </c>
      <c r="J994" s="212" t="s">
        <v>3098</v>
      </c>
      <c r="K994" s="28"/>
      <c r="L994" s="28"/>
      <c r="M994" s="29"/>
      <c r="N994" s="12"/>
      <c r="O994" s="188" t="s">
        <v>3099</v>
      </c>
      <c r="P994" s="21">
        <v>0.51</v>
      </c>
      <c r="Q994" s="199" t="s">
        <v>648</v>
      </c>
      <c r="R994" s="135" t="s">
        <v>3100</v>
      </c>
      <c r="S994" s="26"/>
      <c r="T994" s="12"/>
      <c r="U994" s="12"/>
      <c r="V994" s="12"/>
      <c r="W994" s="12"/>
      <c r="X994" s="12"/>
      <c r="Y994" s="12"/>
      <c r="Z994" s="12"/>
      <c r="AA994" s="12"/>
    </row>
    <row r="995" spans="1:27" ht="204" customHeight="1" x14ac:dyDescent="0.2">
      <c r="A995" s="11" t="s">
        <v>3005</v>
      </c>
      <c r="B995" s="12" t="s">
        <v>3101</v>
      </c>
      <c r="C995" s="26" t="s">
        <v>59</v>
      </c>
      <c r="D995" s="26"/>
      <c r="E995" s="12" t="s">
        <v>2541</v>
      </c>
      <c r="F995" s="11" t="s">
        <v>61</v>
      </c>
      <c r="G995" s="26" t="s">
        <v>186</v>
      </c>
      <c r="H995" s="29" t="s">
        <v>2075</v>
      </c>
      <c r="I995" s="29" t="s">
        <v>74</v>
      </c>
      <c r="J995" s="212" t="s">
        <v>3102</v>
      </c>
      <c r="K995" s="28">
        <v>32</v>
      </c>
      <c r="L995" s="28">
        <v>1450</v>
      </c>
      <c r="M995" s="29" t="s">
        <v>76</v>
      </c>
      <c r="N995" s="12"/>
      <c r="O995" s="30" t="str">
        <f>HYPERLINK("http://www.finaid.txstate.edu/scholarships/freshman/assured.html","http://www.finaid.txstate.edu/scholarships/freshman/assured.html")</f>
        <v>http://www.finaid.txstate.edu/scholarships/freshman/assured.html</v>
      </c>
      <c r="P995" s="26" t="s">
        <v>3103</v>
      </c>
      <c r="Q995" s="31">
        <v>0.71</v>
      </c>
      <c r="R995" s="26" t="s">
        <v>767</v>
      </c>
      <c r="S995" s="26" t="s">
        <v>3104</v>
      </c>
      <c r="T995" s="12"/>
      <c r="U995" s="12" t="s">
        <v>81</v>
      </c>
      <c r="V995" s="12"/>
      <c r="W995" s="12"/>
      <c r="X995" s="12"/>
      <c r="Y995" s="12"/>
      <c r="Z995" s="12"/>
      <c r="AA995" s="12"/>
    </row>
    <row r="996" spans="1:27" ht="125.25" customHeight="1" x14ac:dyDescent="0.2">
      <c r="A996" s="11" t="s">
        <v>3005</v>
      </c>
      <c r="B996" s="12" t="s">
        <v>3101</v>
      </c>
      <c r="C996" s="26" t="s">
        <v>59</v>
      </c>
      <c r="D996" s="12"/>
      <c r="E996" s="17" t="s">
        <v>3105</v>
      </c>
      <c r="F996" s="12" t="s">
        <v>680</v>
      </c>
      <c r="G996" s="12"/>
      <c r="H996" s="17" t="s">
        <v>93</v>
      </c>
      <c r="I996" s="17" t="s">
        <v>63</v>
      </c>
      <c r="J996" s="181" t="s">
        <v>3106</v>
      </c>
      <c r="K996" s="12"/>
      <c r="L996" s="12"/>
      <c r="M996" s="12"/>
      <c r="N996" s="12"/>
      <c r="O996" s="30" t="str">
        <f>HYPERLINK("http://www.finaid.txstate.edu/scholarships/freshman/natl.html","http://www.finaid.txstate.edu/scholarships/freshman/natl.html")</f>
        <v>http://www.finaid.txstate.edu/scholarships/freshman/natl.html</v>
      </c>
      <c r="P996" s="26" t="s">
        <v>3103</v>
      </c>
      <c r="Q996" s="31">
        <v>0.71</v>
      </c>
      <c r="R996" s="26" t="s">
        <v>767</v>
      </c>
      <c r="S996" s="26" t="s">
        <v>3104</v>
      </c>
      <c r="T996" s="12"/>
      <c r="U996" s="12" t="s">
        <v>81</v>
      </c>
      <c r="V996" s="12"/>
      <c r="W996" s="12"/>
      <c r="X996" s="12"/>
      <c r="Y996" s="12"/>
      <c r="Z996" s="12"/>
      <c r="AA996" s="12"/>
    </row>
    <row r="997" spans="1:27" ht="111" customHeight="1" x14ac:dyDescent="0.2">
      <c r="A997" s="23" t="s">
        <v>3005</v>
      </c>
      <c r="B997" s="14" t="s">
        <v>3107</v>
      </c>
      <c r="C997" s="14" t="s">
        <v>59</v>
      </c>
      <c r="D997" s="14" t="s">
        <v>98</v>
      </c>
      <c r="E997" s="14" t="s">
        <v>111</v>
      </c>
      <c r="F997" s="14" t="s">
        <v>72</v>
      </c>
      <c r="G997" s="12"/>
      <c r="H997" s="17" t="s">
        <v>3108</v>
      </c>
      <c r="I997" s="17" t="s">
        <v>74</v>
      </c>
      <c r="J997" s="14" t="s">
        <v>3109</v>
      </c>
      <c r="K997" s="12"/>
      <c r="L997" s="12"/>
      <c r="M997" s="12"/>
      <c r="N997" s="12"/>
      <c r="O997" s="30" t="str">
        <f>HYPERLINK("https://www.depts.ttu.edu/honors/scholarships/terrys/index.php","https://www.depts.ttu.edu/honors/scholarships/terrys/index.php")</f>
        <v>https://www.depts.ttu.edu/honors/scholarships/terrys/index.php</v>
      </c>
      <c r="P997" s="14" t="s">
        <v>3110</v>
      </c>
      <c r="Q997" s="25">
        <v>0.63</v>
      </c>
      <c r="R997" s="14" t="s">
        <v>1733</v>
      </c>
      <c r="S997" s="14" t="s">
        <v>3111</v>
      </c>
      <c r="T997" s="12"/>
      <c r="U997" s="12" t="s">
        <v>81</v>
      </c>
      <c r="V997" s="12"/>
      <c r="W997" s="12"/>
      <c r="X997" s="12"/>
      <c r="Y997" s="12"/>
      <c r="Z997" s="12"/>
      <c r="AA997" s="12"/>
    </row>
    <row r="998" spans="1:27" ht="142.5" customHeight="1" x14ac:dyDescent="0.2">
      <c r="A998" s="23" t="s">
        <v>3005</v>
      </c>
      <c r="B998" s="14" t="s">
        <v>3107</v>
      </c>
      <c r="C998" s="14" t="s">
        <v>59</v>
      </c>
      <c r="D998" s="12"/>
      <c r="E998" s="14" t="s">
        <v>111</v>
      </c>
      <c r="F998" s="14" t="s">
        <v>92</v>
      </c>
      <c r="G998" s="12"/>
      <c r="H998" s="17" t="s">
        <v>93</v>
      </c>
      <c r="I998" s="17" t="s">
        <v>63</v>
      </c>
      <c r="J998" s="14" t="s">
        <v>3112</v>
      </c>
      <c r="K998" s="12"/>
      <c r="L998" s="12"/>
      <c r="M998" s="12"/>
      <c r="N998" s="12"/>
      <c r="O998" s="30" t="str">
        <f>HYPERLINK("https://www.depts.ttu.edu/scholarships/incFreshman.php","https://www.depts.ttu.edu/scholarships/incFreshman.php")</f>
        <v>https://www.depts.ttu.edu/scholarships/incFreshman.php</v>
      </c>
      <c r="P998" s="14" t="s">
        <v>3110</v>
      </c>
      <c r="Q998" s="25">
        <v>0.63</v>
      </c>
      <c r="R998" s="14" t="s">
        <v>1733</v>
      </c>
      <c r="S998" s="14" t="s">
        <v>3111</v>
      </c>
      <c r="T998" s="12"/>
      <c r="U998" s="12" t="s">
        <v>81</v>
      </c>
      <c r="V998" s="12"/>
      <c r="W998" s="12"/>
      <c r="X998" s="12"/>
      <c r="Y998" s="12"/>
      <c r="Z998" s="12"/>
      <c r="AA998" s="12"/>
    </row>
    <row r="999" spans="1:27" ht="126.75" customHeight="1" x14ac:dyDescent="0.2">
      <c r="A999" s="23" t="s">
        <v>3005</v>
      </c>
      <c r="B999" s="14" t="s">
        <v>3113</v>
      </c>
      <c r="C999" s="14" t="s">
        <v>101</v>
      </c>
      <c r="D999" s="12"/>
      <c r="E999" s="14" t="s">
        <v>238</v>
      </c>
      <c r="F999" s="14" t="s">
        <v>313</v>
      </c>
      <c r="G999" s="12"/>
      <c r="H999" s="17" t="s">
        <v>1978</v>
      </c>
      <c r="I999" s="17" t="s">
        <v>74</v>
      </c>
      <c r="J999" s="14" t="s">
        <v>3114</v>
      </c>
      <c r="K999" s="12"/>
      <c r="L999" s="12"/>
      <c r="M999" s="12"/>
      <c r="N999" s="12"/>
      <c r="O999" s="30" t="str">
        <f t="shared" ref="O999:O1000" si="142">HYPERLINK("https://txwes.edu/admissions/scholarships-and-aid/types-of-aid/financial-aid-scholarships/freshman-academic-scholarships/","https://txwes.edu/admissions/scholarships-and-aid/types-of-aid/financial-aid-scholarships/freshman-academic-scholarships/")</f>
        <v>https://txwes.edu/admissions/scholarships-and-aid/types-of-aid/financial-aid-scholarships/freshman-academic-scholarships/</v>
      </c>
      <c r="P999" s="33">
        <v>26049</v>
      </c>
      <c r="Q999" s="25">
        <v>0.46</v>
      </c>
      <c r="R999" s="14" t="s">
        <v>834</v>
      </c>
      <c r="S999" s="14" t="s">
        <v>3115</v>
      </c>
      <c r="T999" s="12"/>
      <c r="U999" s="12">
        <v>3.4</v>
      </c>
      <c r="V999" s="12"/>
      <c r="W999" s="12"/>
      <c r="X999" s="12"/>
      <c r="Y999" s="12"/>
      <c r="Z999" s="12"/>
      <c r="AA999" s="12"/>
    </row>
    <row r="1000" spans="1:27" ht="111" customHeight="1" x14ac:dyDescent="0.2">
      <c r="A1000" s="23" t="s">
        <v>3005</v>
      </c>
      <c r="B1000" s="14" t="s">
        <v>3113</v>
      </c>
      <c r="C1000" s="14" t="s">
        <v>101</v>
      </c>
      <c r="D1000" s="12"/>
      <c r="E1000" s="14" t="s">
        <v>238</v>
      </c>
      <c r="F1000" s="14" t="s">
        <v>72</v>
      </c>
      <c r="G1000" s="12"/>
      <c r="H1000" s="17" t="s">
        <v>62</v>
      </c>
      <c r="I1000" s="17" t="s">
        <v>74</v>
      </c>
      <c r="J1000" s="14" t="s">
        <v>3116</v>
      </c>
      <c r="K1000" s="24">
        <v>27</v>
      </c>
      <c r="L1000" s="24">
        <v>1200</v>
      </c>
      <c r="M1000" s="14" t="s">
        <v>197</v>
      </c>
      <c r="N1000" s="24">
        <v>3.8</v>
      </c>
      <c r="O1000" s="30" t="str">
        <f t="shared" si="142"/>
        <v>https://txwes.edu/admissions/scholarships-and-aid/types-of-aid/financial-aid-scholarships/freshman-academic-scholarships/</v>
      </c>
      <c r="P1000" s="33">
        <v>26049</v>
      </c>
      <c r="Q1000" s="25">
        <v>0.46</v>
      </c>
      <c r="R1000" s="14" t="s">
        <v>834</v>
      </c>
      <c r="S1000" s="14" t="s">
        <v>3115</v>
      </c>
      <c r="T1000" s="12"/>
      <c r="U1000" s="12">
        <v>3.4</v>
      </c>
      <c r="V1000" s="12"/>
      <c r="W1000" s="12"/>
      <c r="X1000" s="12"/>
      <c r="Y1000" s="12"/>
      <c r="Z1000" s="12"/>
      <c r="AA1000" s="12"/>
    </row>
    <row r="1001" spans="1:27" ht="142.5" customHeight="1" x14ac:dyDescent="0.2">
      <c r="A1001" s="23" t="s">
        <v>3005</v>
      </c>
      <c r="B1001" s="14" t="s">
        <v>3113</v>
      </c>
      <c r="C1001" s="14" t="s">
        <v>101</v>
      </c>
      <c r="D1001" s="12"/>
      <c r="E1001" s="14" t="s">
        <v>60</v>
      </c>
      <c r="F1001" s="14" t="s">
        <v>72</v>
      </c>
      <c r="G1001" s="12"/>
      <c r="H1001" s="17" t="s">
        <v>3117</v>
      </c>
      <c r="I1001" s="17" t="s">
        <v>74</v>
      </c>
      <c r="J1001" s="14" t="s">
        <v>3118</v>
      </c>
      <c r="K1001" s="24">
        <v>27</v>
      </c>
      <c r="L1001" s="24">
        <v>1200</v>
      </c>
      <c r="M1001" s="14" t="s">
        <v>197</v>
      </c>
      <c r="N1001" s="24">
        <v>3.8</v>
      </c>
      <c r="O1001" s="19" t="s">
        <v>3119</v>
      </c>
      <c r="P1001" s="33">
        <v>26049</v>
      </c>
      <c r="Q1001" s="25">
        <v>0.46</v>
      </c>
      <c r="R1001" s="14" t="s">
        <v>834</v>
      </c>
      <c r="S1001" s="14" t="s">
        <v>3115</v>
      </c>
      <c r="T1001" s="12"/>
      <c r="U1001" s="12">
        <v>3.4</v>
      </c>
      <c r="V1001" s="12"/>
      <c r="W1001" s="12"/>
      <c r="X1001" s="12"/>
      <c r="Y1001" s="12"/>
      <c r="Z1001" s="12"/>
      <c r="AA1001" s="12"/>
    </row>
    <row r="1002" spans="1:27" ht="91.5" customHeight="1" x14ac:dyDescent="0.2">
      <c r="A1002" s="11" t="s">
        <v>3005</v>
      </c>
      <c r="B1002" s="12" t="s">
        <v>3120</v>
      </c>
      <c r="C1002" s="26" t="s">
        <v>59</v>
      </c>
      <c r="D1002" s="12"/>
      <c r="E1002" s="12" t="s">
        <v>60</v>
      </c>
      <c r="F1002" s="17" t="s">
        <v>313</v>
      </c>
      <c r="G1002" s="12"/>
      <c r="H1002" s="17" t="s">
        <v>1978</v>
      </c>
      <c r="I1002" s="17" t="s">
        <v>74</v>
      </c>
      <c r="J1002" s="61" t="s">
        <v>3121</v>
      </c>
      <c r="K1002" s="12"/>
      <c r="L1002" s="12"/>
      <c r="M1002" s="12"/>
      <c r="N1002" s="12"/>
      <c r="O1002" s="30" t="str">
        <f t="shared" ref="O1002:O1003" si="143">HYPERLINK("http://www.twu.edu/finaid/scholarships.asp","http://www.twu.edu/finaid/scholarships.asp")</f>
        <v>http://www.twu.edu/finaid/scholarships.asp</v>
      </c>
      <c r="P1002" s="26" t="s">
        <v>3122</v>
      </c>
      <c r="Q1002" s="31">
        <v>0.75</v>
      </c>
      <c r="R1002" s="26" t="s">
        <v>534</v>
      </c>
      <c r="S1002" s="26" t="s">
        <v>3123</v>
      </c>
      <c r="T1002" s="12"/>
      <c r="U1002" s="12">
        <v>3.08</v>
      </c>
      <c r="V1002" s="12"/>
      <c r="W1002" s="12"/>
      <c r="X1002" s="12"/>
      <c r="Y1002" s="12"/>
      <c r="Z1002" s="12"/>
      <c r="AA1002" s="12"/>
    </row>
    <row r="1003" spans="1:27" ht="78" customHeight="1" x14ac:dyDescent="0.2">
      <c r="A1003" s="11" t="s">
        <v>3005</v>
      </c>
      <c r="B1003" s="12" t="s">
        <v>3120</v>
      </c>
      <c r="C1003" s="26" t="s">
        <v>59</v>
      </c>
      <c r="D1003" s="12"/>
      <c r="E1003" s="12" t="s">
        <v>2993</v>
      </c>
      <c r="F1003" s="12" t="s">
        <v>72</v>
      </c>
      <c r="G1003" s="12"/>
      <c r="H1003" s="17" t="s">
        <v>239</v>
      </c>
      <c r="I1003" s="17" t="s">
        <v>74</v>
      </c>
      <c r="J1003" s="61" t="s">
        <v>3124</v>
      </c>
      <c r="K1003" s="12"/>
      <c r="L1003" s="12"/>
      <c r="M1003" s="12"/>
      <c r="N1003" s="12"/>
      <c r="O1003" s="30" t="str">
        <f t="shared" si="143"/>
        <v>http://www.twu.edu/finaid/scholarships.asp</v>
      </c>
      <c r="P1003" s="26" t="s">
        <v>3122</v>
      </c>
      <c r="Q1003" s="31">
        <v>0.75</v>
      </c>
      <c r="R1003" s="26" t="s">
        <v>534</v>
      </c>
      <c r="S1003" s="26" t="s">
        <v>3123</v>
      </c>
      <c r="T1003" s="12"/>
      <c r="U1003" s="12">
        <v>3.08</v>
      </c>
      <c r="V1003" s="12"/>
      <c r="W1003" s="12"/>
      <c r="X1003" s="12"/>
      <c r="Y1003" s="12"/>
      <c r="Z1003" s="12"/>
      <c r="AA1003" s="12"/>
    </row>
    <row r="1004" spans="1:27" ht="221.25" customHeight="1" x14ac:dyDescent="0.2">
      <c r="A1004" s="23" t="s">
        <v>3005</v>
      </c>
      <c r="B1004" s="14" t="s">
        <v>3125</v>
      </c>
      <c r="C1004" s="14" t="s">
        <v>101</v>
      </c>
      <c r="D1004" s="17" t="s">
        <v>2112</v>
      </c>
      <c r="E1004" s="14" t="s">
        <v>60</v>
      </c>
      <c r="F1004" s="14" t="s">
        <v>72</v>
      </c>
      <c r="G1004" s="12"/>
      <c r="H1004" s="17" t="s">
        <v>3126</v>
      </c>
      <c r="I1004" s="17" t="s">
        <v>74</v>
      </c>
      <c r="J1004" s="14" t="s">
        <v>3127</v>
      </c>
      <c r="K1004" s="12"/>
      <c r="L1004" s="12"/>
      <c r="M1004" s="12"/>
      <c r="N1004" s="12"/>
      <c r="O1004" s="19" t="s">
        <v>3128</v>
      </c>
      <c r="P1004" s="33">
        <v>39560</v>
      </c>
      <c r="Q1004" s="25">
        <v>0.48</v>
      </c>
      <c r="R1004" s="14" t="s">
        <v>452</v>
      </c>
      <c r="S1004" s="14" t="s">
        <v>3129</v>
      </c>
      <c r="T1004" s="12"/>
      <c r="U1004" s="12">
        <v>3.51</v>
      </c>
      <c r="V1004" s="12"/>
      <c r="W1004" s="12"/>
      <c r="X1004" s="12"/>
      <c r="Y1004" s="12"/>
      <c r="Z1004" s="12"/>
      <c r="AA1004" s="12"/>
    </row>
    <row r="1005" spans="1:27" ht="158.25" customHeight="1" x14ac:dyDescent="0.2">
      <c r="A1005" s="23" t="s">
        <v>3005</v>
      </c>
      <c r="B1005" s="14" t="s">
        <v>3125</v>
      </c>
      <c r="C1005" s="14" t="s">
        <v>101</v>
      </c>
      <c r="D1005" s="12"/>
      <c r="E1005" s="14" t="s">
        <v>60</v>
      </c>
      <c r="F1005" s="14" t="s">
        <v>72</v>
      </c>
      <c r="G1005" s="12"/>
      <c r="H1005" s="17" t="s">
        <v>837</v>
      </c>
      <c r="I1005" s="17">
        <v>20</v>
      </c>
      <c r="J1005" s="14" t="s">
        <v>3130</v>
      </c>
      <c r="K1005" s="17">
        <v>30</v>
      </c>
      <c r="L1005" s="17">
        <v>1410</v>
      </c>
      <c r="M1005" s="17" t="s">
        <v>197</v>
      </c>
      <c r="N1005" s="17" t="s">
        <v>3131</v>
      </c>
      <c r="O1005" s="30" t="str">
        <f>HYPERLINK("https://new.trinity.edu/admissions-aid/financial-aid/academic-merit-scholarships-first-year-students","https://new.trinity.edu/admissions-aid/financial-aid/academic-merit-scholarships-first-year-students")</f>
        <v>https://new.trinity.edu/admissions-aid/financial-aid/academic-merit-scholarships-first-year-students</v>
      </c>
      <c r="P1005" s="33">
        <v>39560</v>
      </c>
      <c r="Q1005" s="25">
        <v>0.48</v>
      </c>
      <c r="R1005" s="14" t="s">
        <v>452</v>
      </c>
      <c r="S1005" s="14" t="s">
        <v>3129</v>
      </c>
      <c r="T1005" s="12"/>
      <c r="U1005" s="12">
        <v>3.51</v>
      </c>
      <c r="V1005" s="12"/>
      <c r="W1005" s="12"/>
      <c r="X1005" s="12"/>
      <c r="Y1005" s="12"/>
      <c r="Z1005" s="12"/>
      <c r="AA1005" s="12"/>
    </row>
    <row r="1006" spans="1:27" ht="111" customHeight="1" x14ac:dyDescent="0.2">
      <c r="A1006" s="23" t="s">
        <v>3005</v>
      </c>
      <c r="B1006" s="14" t="s">
        <v>3132</v>
      </c>
      <c r="C1006" s="14" t="s">
        <v>101</v>
      </c>
      <c r="D1006" s="12"/>
      <c r="E1006" s="14" t="s">
        <v>60</v>
      </c>
      <c r="F1006" s="14" t="s">
        <v>92</v>
      </c>
      <c r="G1006" s="12"/>
      <c r="H1006" s="17" t="s">
        <v>93</v>
      </c>
      <c r="I1006" s="17" t="s">
        <v>63</v>
      </c>
      <c r="J1006" s="14" t="s">
        <v>3133</v>
      </c>
      <c r="K1006" s="12"/>
      <c r="L1006" s="12"/>
      <c r="M1006" s="12"/>
      <c r="N1006" s="12"/>
      <c r="O1006" s="30" t="str">
        <f>HYPERLINK("http://udallas.edu/admissions/undergrad/scholarships/index.php","http://udallas.edu/admissions/undergrad/scholarships/index.php")</f>
        <v>http://udallas.edu/admissions/undergrad/scholarships/index.php</v>
      </c>
      <c r="P1006" s="33">
        <v>37230</v>
      </c>
      <c r="Q1006" s="25">
        <v>0.64</v>
      </c>
      <c r="R1006" s="14" t="s">
        <v>96</v>
      </c>
      <c r="S1006" s="14" t="s">
        <v>3134</v>
      </c>
      <c r="T1006" s="12"/>
      <c r="U1006" s="12">
        <v>3.82</v>
      </c>
      <c r="V1006" s="12"/>
      <c r="W1006" s="12"/>
      <c r="X1006" s="12"/>
      <c r="Y1006" s="12"/>
      <c r="Z1006" s="12"/>
      <c r="AA1006" s="12"/>
    </row>
    <row r="1007" spans="1:27" ht="169" x14ac:dyDescent="0.2">
      <c r="A1007" s="23" t="s">
        <v>3005</v>
      </c>
      <c r="B1007" s="14" t="s">
        <v>3135</v>
      </c>
      <c r="C1007" s="14" t="s">
        <v>59</v>
      </c>
      <c r="D1007" s="12"/>
      <c r="E1007" s="14" t="s">
        <v>88</v>
      </c>
      <c r="F1007" s="14" t="s">
        <v>145</v>
      </c>
      <c r="G1007" s="12"/>
      <c r="H1007" s="17" t="s">
        <v>157</v>
      </c>
      <c r="I1007" s="17" t="s">
        <v>74</v>
      </c>
      <c r="J1007" s="56" t="s">
        <v>3136</v>
      </c>
      <c r="K1007" s="12"/>
      <c r="L1007" s="12"/>
      <c r="M1007" s="12"/>
      <c r="N1007" s="12"/>
      <c r="O1007" s="30" t="str">
        <f>HYPERLINK("http://www.uh.edu/financial/undergraduate/types-aid/scholarships/#freshmen","http://www.uh.edu/financial/undergraduate/types-aid/scholarships/#freshmen")</f>
        <v>http://www.uh.edu/financial/undergraduate/types-aid/scholarships/#freshmen</v>
      </c>
      <c r="P1007" s="14" t="s">
        <v>3137</v>
      </c>
      <c r="Q1007" s="58">
        <v>0.6</v>
      </c>
      <c r="R1007" s="14" t="s">
        <v>266</v>
      </c>
      <c r="S1007" s="14" t="s">
        <v>3138</v>
      </c>
      <c r="T1007" s="12"/>
      <c r="U1007" s="12" t="s">
        <v>81</v>
      </c>
      <c r="V1007" s="12"/>
      <c r="W1007" s="12"/>
      <c r="X1007" s="12"/>
      <c r="Y1007" s="12"/>
      <c r="Z1007" s="12"/>
      <c r="AA1007" s="12"/>
    </row>
    <row r="1008" spans="1:27" ht="174" customHeight="1" x14ac:dyDescent="0.2">
      <c r="A1008" s="23" t="s">
        <v>3005</v>
      </c>
      <c r="B1008" s="14" t="s">
        <v>3135</v>
      </c>
      <c r="C1008" s="14" t="s">
        <v>59</v>
      </c>
      <c r="D1008" s="12"/>
      <c r="E1008" s="14" t="s">
        <v>88</v>
      </c>
      <c r="F1008" s="14" t="s">
        <v>72</v>
      </c>
      <c r="G1008" s="12"/>
      <c r="H1008" s="17" t="s">
        <v>553</v>
      </c>
      <c r="I1008" s="17" t="s">
        <v>74</v>
      </c>
      <c r="J1008" s="14" t="s">
        <v>3139</v>
      </c>
      <c r="K1008" s="24"/>
      <c r="L1008" s="24"/>
      <c r="M1008" s="14"/>
      <c r="N1008" s="12"/>
      <c r="O1008" s="30" t="str">
        <f>HYPERLINK("http://www.uh.edu/tieronescholars/history/","http://www.uh.edu/tieronescholars/history/")</f>
        <v>http://www.uh.edu/tieronescholars/history/</v>
      </c>
      <c r="P1008" s="14" t="s">
        <v>3137</v>
      </c>
      <c r="Q1008" s="58">
        <v>0.6</v>
      </c>
      <c r="R1008" s="14" t="s">
        <v>266</v>
      </c>
      <c r="S1008" s="14" t="s">
        <v>3138</v>
      </c>
      <c r="T1008" s="12"/>
      <c r="U1008" s="12" t="s">
        <v>81</v>
      </c>
      <c r="V1008" s="12"/>
      <c r="W1008" s="12"/>
      <c r="X1008" s="12"/>
      <c r="Y1008" s="12"/>
      <c r="Z1008" s="12"/>
      <c r="AA1008" s="12"/>
    </row>
    <row r="1009" spans="1:27" ht="158.25" customHeight="1" x14ac:dyDescent="0.2">
      <c r="A1009" s="23" t="s">
        <v>3005</v>
      </c>
      <c r="B1009" s="14" t="s">
        <v>3135</v>
      </c>
      <c r="C1009" s="14" t="s">
        <v>59</v>
      </c>
      <c r="D1009" s="12"/>
      <c r="E1009" s="14" t="s">
        <v>724</v>
      </c>
      <c r="F1009" s="14" t="s">
        <v>92</v>
      </c>
      <c r="G1009" s="12"/>
      <c r="H1009" s="17" t="s">
        <v>93</v>
      </c>
      <c r="I1009" s="17" t="s">
        <v>63</v>
      </c>
      <c r="J1009" s="14" t="s">
        <v>3140</v>
      </c>
      <c r="K1009" s="12"/>
      <c r="L1009" s="12"/>
      <c r="M1009" s="12"/>
      <c r="N1009" s="12"/>
      <c r="O1009" s="30" t="str">
        <f>HYPERLINK("http://www.uh.edu/financial/undergraduate/types-aid/scholarships/#freshmen","http://www.uh.edu/financial/undergraduate/types-aid/scholarships/#freshmen")</f>
        <v>http://www.uh.edu/financial/undergraduate/types-aid/scholarships/#freshmen</v>
      </c>
      <c r="P1009" s="14" t="s">
        <v>3137</v>
      </c>
      <c r="Q1009" s="58">
        <v>0.6</v>
      </c>
      <c r="R1009" s="14" t="s">
        <v>266</v>
      </c>
      <c r="S1009" s="14" t="s">
        <v>3138</v>
      </c>
      <c r="T1009" s="12"/>
      <c r="U1009" s="12" t="s">
        <v>81</v>
      </c>
      <c r="V1009" s="12"/>
      <c r="W1009" s="12"/>
      <c r="X1009" s="12"/>
      <c r="Y1009" s="12"/>
      <c r="Z1009" s="12"/>
      <c r="AA1009" s="12"/>
    </row>
    <row r="1010" spans="1:27" ht="181.5" customHeight="1" x14ac:dyDescent="0.2">
      <c r="A1010" s="11" t="s">
        <v>3005</v>
      </c>
      <c r="B1010" s="12" t="s">
        <v>3141</v>
      </c>
      <c r="C1010" s="26" t="s">
        <v>59</v>
      </c>
      <c r="D1010" s="12"/>
      <c r="E1010" s="12" t="s">
        <v>724</v>
      </c>
      <c r="F1010" s="12" t="s">
        <v>680</v>
      </c>
      <c r="G1010" s="12"/>
      <c r="H1010" s="17" t="s">
        <v>93</v>
      </c>
      <c r="I1010" s="17" t="s">
        <v>63</v>
      </c>
      <c r="J1010" s="61" t="s">
        <v>3142</v>
      </c>
      <c r="K1010" s="12"/>
      <c r="L1010" s="12"/>
      <c r="M1010" s="12"/>
      <c r="N1010" s="12"/>
      <c r="O1010" s="30" t="str">
        <f>HYPERLINK("http://financialaid.unt.edu/scholarships/university-funded-scholarships/unt-meritorious-scholarship-national-merit-finalists","http://financialaid.unt.edu/scholarships/university-funded-scholarships/unt-meritorious-scholarship-national-merit-finalists")</f>
        <v>http://financialaid.unt.edu/scholarships/university-funded-scholarships/unt-meritorious-scholarship-national-merit-finalists</v>
      </c>
      <c r="P1010" s="26" t="s">
        <v>3143</v>
      </c>
      <c r="Q1010" s="31">
        <v>0.7</v>
      </c>
      <c r="R1010" s="26" t="s">
        <v>126</v>
      </c>
      <c r="S1010" s="26" t="s">
        <v>3144</v>
      </c>
      <c r="T1010" s="12"/>
      <c r="U1010" s="12" t="s">
        <v>81</v>
      </c>
      <c r="V1010" s="12"/>
      <c r="W1010" s="12"/>
      <c r="X1010" s="12"/>
      <c r="Y1010" s="12"/>
      <c r="Z1010" s="12"/>
      <c r="AA1010" s="12"/>
    </row>
    <row r="1011" spans="1:27" ht="174" customHeight="1" x14ac:dyDescent="0.2">
      <c r="A1011" s="23" t="s">
        <v>3005</v>
      </c>
      <c r="B1011" s="14" t="s">
        <v>1706</v>
      </c>
      <c r="C1011" s="14" t="s">
        <v>101</v>
      </c>
      <c r="D1011" s="12"/>
      <c r="E1011" s="14" t="s">
        <v>60</v>
      </c>
      <c r="F1011" s="14" t="s">
        <v>72</v>
      </c>
      <c r="G1011" s="12"/>
      <c r="H1011" s="17" t="s">
        <v>3145</v>
      </c>
      <c r="I1011" s="17" t="s">
        <v>74</v>
      </c>
      <c r="J1011" s="14" t="s">
        <v>3146</v>
      </c>
      <c r="K1011" s="12"/>
      <c r="L1011" s="12"/>
      <c r="M1011" s="12"/>
      <c r="N1011" s="12"/>
      <c r="O1011" s="30" t="str">
        <f>HYPERLINK("http://www.stthom.edu/Admissions/Scholarships_and_Financial_Aid/Scholarships/Freshmen_Scholarships.aqf?Page_ID=100041","http://www.stthom.edu/Admissions/Scholarships_and_Financial_Aid/Scholarships/Freshmen_Scholarships.aqf?Page_ID=100041")</f>
        <v>http://www.stthom.edu/Admissions/Scholarships_and_Financial_Aid/Scholarships/Freshmen_Scholarships.aqf?Page_ID=100041</v>
      </c>
      <c r="P1011" s="33">
        <v>32100</v>
      </c>
      <c r="Q1011" s="58">
        <v>0.79</v>
      </c>
      <c r="R1011" s="14" t="s">
        <v>142</v>
      </c>
      <c r="S1011" s="14" t="s">
        <v>3147</v>
      </c>
      <c r="T1011" s="12"/>
      <c r="U1011" s="12">
        <v>3.55</v>
      </c>
      <c r="V1011" s="12"/>
      <c r="W1011" s="12"/>
      <c r="X1011" s="12"/>
      <c r="Y1011" s="12"/>
      <c r="Z1011" s="12"/>
      <c r="AA1011" s="12"/>
    </row>
    <row r="1012" spans="1:27" ht="125.25" customHeight="1" x14ac:dyDescent="0.2">
      <c r="A1012" s="11" t="s">
        <v>3005</v>
      </c>
      <c r="B1012" s="12" t="s">
        <v>3148</v>
      </c>
      <c r="C1012" s="26" t="s">
        <v>59</v>
      </c>
      <c r="D1012" s="26"/>
      <c r="E1012" s="12" t="s">
        <v>789</v>
      </c>
      <c r="F1012" s="12" t="s">
        <v>92</v>
      </c>
      <c r="G1012" s="12"/>
      <c r="H1012" s="17" t="s">
        <v>93</v>
      </c>
      <c r="I1012" s="17" t="s">
        <v>63</v>
      </c>
      <c r="J1012" s="61" t="s">
        <v>3149</v>
      </c>
      <c r="K1012" s="24"/>
      <c r="L1012" s="24"/>
      <c r="M1012" s="26"/>
      <c r="N1012" s="26"/>
      <c r="O1012" s="163" t="str">
        <f>HYPERLINK("http://honors.utdallas.edu/nmsp","http://honors.utdallas.edu/nmsp")</f>
        <v>http://honors.utdallas.edu/nmsp</v>
      </c>
      <c r="P1012" s="26" t="s">
        <v>3150</v>
      </c>
      <c r="Q1012" s="31">
        <v>0.61</v>
      </c>
      <c r="R1012" s="26" t="s">
        <v>231</v>
      </c>
      <c r="S1012" s="26" t="s">
        <v>3151</v>
      </c>
      <c r="T1012" s="12"/>
      <c r="U1012" s="12" t="s">
        <v>81</v>
      </c>
      <c r="V1012" s="12"/>
      <c r="W1012" s="12"/>
      <c r="X1012" s="12"/>
      <c r="Y1012" s="12"/>
      <c r="Z1012" s="12"/>
      <c r="AA1012" s="12"/>
    </row>
    <row r="1013" spans="1:27" ht="111" customHeight="1" x14ac:dyDescent="0.2">
      <c r="A1013" s="23" t="s">
        <v>3005</v>
      </c>
      <c r="B1013" s="14" t="s">
        <v>3152</v>
      </c>
      <c r="C1013" s="14" t="s">
        <v>59</v>
      </c>
      <c r="D1013" s="12"/>
      <c r="E1013" s="14" t="s">
        <v>990</v>
      </c>
      <c r="F1013" s="14" t="s">
        <v>92</v>
      </c>
      <c r="G1013" s="12"/>
      <c r="H1013" s="17" t="s">
        <v>93</v>
      </c>
      <c r="I1013" s="17" t="s">
        <v>63</v>
      </c>
      <c r="J1013" s="14" t="s">
        <v>3153</v>
      </c>
      <c r="K1013" s="12"/>
      <c r="L1013" s="12"/>
      <c r="M1013" s="12"/>
      <c r="N1013" s="12"/>
      <c r="O1013" s="30" t="str">
        <f t="shared" ref="O1013:O1014" si="144">HYPERLINK("http://www.uttyler.edu/scholarships/new-freshman-student.php","http://www.uttyler.edu/scholarships/new-freshman-student.php")</f>
        <v>http://www.uttyler.edu/scholarships/new-freshman-student.php</v>
      </c>
      <c r="P1013" s="14" t="s">
        <v>3154</v>
      </c>
      <c r="Q1013" s="25">
        <v>0.64</v>
      </c>
      <c r="R1013" s="14" t="s">
        <v>124</v>
      </c>
      <c r="S1013" s="14" t="s">
        <v>3155</v>
      </c>
      <c r="T1013" s="12"/>
      <c r="U1013" s="12">
        <v>3.38</v>
      </c>
      <c r="V1013" s="12"/>
      <c r="W1013" s="12"/>
      <c r="X1013" s="12"/>
      <c r="Y1013" s="12"/>
      <c r="Z1013" s="12"/>
      <c r="AA1013" s="12"/>
    </row>
    <row r="1014" spans="1:27" ht="105.75" customHeight="1" x14ac:dyDescent="0.2">
      <c r="A1014" s="39" t="s">
        <v>3005</v>
      </c>
      <c r="B1014" s="40" t="s">
        <v>3152</v>
      </c>
      <c r="C1014" s="40" t="s">
        <v>59</v>
      </c>
      <c r="D1014" s="40"/>
      <c r="E1014" s="40" t="s">
        <v>88</v>
      </c>
      <c r="F1014" s="40" t="s">
        <v>92</v>
      </c>
      <c r="G1014" s="40"/>
      <c r="H1014" s="69" t="s">
        <v>93</v>
      </c>
      <c r="I1014" s="69" t="s">
        <v>63</v>
      </c>
      <c r="J1014" s="40" t="s">
        <v>3156</v>
      </c>
      <c r="K1014" s="40"/>
      <c r="L1014" s="40"/>
      <c r="M1014" s="40"/>
      <c r="N1014" s="40"/>
      <c r="O1014" s="30" t="str">
        <f t="shared" si="144"/>
        <v>http://www.uttyler.edu/scholarships/new-freshman-student.php</v>
      </c>
      <c r="P1014" s="40" t="s">
        <v>3154</v>
      </c>
      <c r="Q1014" s="42">
        <v>0.64</v>
      </c>
      <c r="R1014" s="40" t="s">
        <v>124</v>
      </c>
      <c r="S1014" s="40" t="s">
        <v>3155</v>
      </c>
      <c r="T1014" s="40"/>
      <c r="U1014" s="40">
        <v>3.38</v>
      </c>
      <c r="V1014" s="40"/>
      <c r="W1014" s="40"/>
      <c r="X1014" s="40"/>
      <c r="Y1014" s="40"/>
      <c r="Z1014" s="40"/>
      <c r="AA1014" s="40"/>
    </row>
    <row r="1015" spans="1:27" ht="189.75" customHeight="1" x14ac:dyDescent="0.2">
      <c r="A1015" s="23" t="s">
        <v>3005</v>
      </c>
      <c r="B1015" s="14" t="s">
        <v>3157</v>
      </c>
      <c r="C1015" s="14" t="s">
        <v>59</v>
      </c>
      <c r="D1015" s="12"/>
      <c r="E1015" s="14" t="s">
        <v>111</v>
      </c>
      <c r="F1015" s="14" t="s">
        <v>72</v>
      </c>
      <c r="G1015" s="12"/>
      <c r="H1015" s="17" t="s">
        <v>3158</v>
      </c>
      <c r="I1015" s="17" t="s">
        <v>74</v>
      </c>
      <c r="J1015" s="14" t="s">
        <v>3159</v>
      </c>
      <c r="K1015" s="12"/>
      <c r="L1015" s="12"/>
      <c r="M1015" s="12"/>
      <c r="N1015" s="12"/>
      <c r="O1015" s="19" t="s">
        <v>3160</v>
      </c>
      <c r="P1015" s="14" t="s">
        <v>3161</v>
      </c>
      <c r="Q1015" s="58">
        <v>0.39</v>
      </c>
      <c r="R1015" s="14" t="s">
        <v>379</v>
      </c>
      <c r="S1015" s="14" t="s">
        <v>3162</v>
      </c>
      <c r="T1015" s="12"/>
      <c r="U1015" s="12" t="s">
        <v>81</v>
      </c>
      <c r="V1015" s="12"/>
      <c r="W1015" s="12"/>
      <c r="X1015" s="12"/>
      <c r="Y1015" s="12"/>
      <c r="Z1015" s="12"/>
      <c r="AA1015" s="12"/>
    </row>
    <row r="1016" spans="1:27" ht="158.25" customHeight="1" x14ac:dyDescent="0.2">
      <c r="A1016" s="23" t="s">
        <v>3005</v>
      </c>
      <c r="B1016" s="14" t="s">
        <v>3163</v>
      </c>
      <c r="C1016" s="14" t="s">
        <v>59</v>
      </c>
      <c r="D1016" s="12"/>
      <c r="E1016" s="14" t="s">
        <v>88</v>
      </c>
      <c r="F1016" s="14" t="s">
        <v>72</v>
      </c>
      <c r="G1016" s="12"/>
      <c r="H1016" s="17" t="s">
        <v>1583</v>
      </c>
      <c r="I1016" s="17" t="s">
        <v>74</v>
      </c>
      <c r="J1016" s="14" t="s">
        <v>3164</v>
      </c>
      <c r="K1016" s="12">
        <v>30</v>
      </c>
      <c r="L1016" s="17">
        <v>1470</v>
      </c>
      <c r="M1016" s="17" t="s">
        <v>76</v>
      </c>
      <c r="N1016" s="12"/>
      <c r="O1016" s="30" t="str">
        <f t="shared" ref="O1016:O1017" si="145">HYPERLINK("http://aes.utdallas.edu/prospective-freshmen/awards","http://aes.utdallas.edu/prospective-freshmen/awards")</f>
        <v>http://aes.utdallas.edu/prospective-freshmen/awards</v>
      </c>
      <c r="P1016" s="14" t="s">
        <v>3150</v>
      </c>
      <c r="Q1016" s="25">
        <v>0.61</v>
      </c>
      <c r="R1016" s="26" t="s">
        <v>231</v>
      </c>
      <c r="S1016" s="26" t="s">
        <v>3151</v>
      </c>
      <c r="T1016" s="12"/>
      <c r="U1016" s="12" t="s">
        <v>81</v>
      </c>
      <c r="V1016" s="12"/>
      <c r="W1016" s="12"/>
      <c r="X1016" s="12"/>
      <c r="Y1016" s="12"/>
      <c r="Z1016" s="12"/>
      <c r="AA1016" s="12"/>
    </row>
    <row r="1017" spans="1:27" ht="142.5" customHeight="1" x14ac:dyDescent="0.2">
      <c r="A1017" s="23" t="s">
        <v>3005</v>
      </c>
      <c r="B1017" s="14" t="s">
        <v>3163</v>
      </c>
      <c r="C1017" s="14" t="s">
        <v>59</v>
      </c>
      <c r="D1017" s="12"/>
      <c r="E1017" s="14" t="s">
        <v>88</v>
      </c>
      <c r="F1017" s="14" t="s">
        <v>72</v>
      </c>
      <c r="G1017" s="12"/>
      <c r="H1017" s="17" t="s">
        <v>1583</v>
      </c>
      <c r="I1017" s="17" t="s">
        <v>74</v>
      </c>
      <c r="J1017" s="14" t="s">
        <v>3165</v>
      </c>
      <c r="K1017" s="12">
        <v>34</v>
      </c>
      <c r="L1017" s="17">
        <v>1540</v>
      </c>
      <c r="M1017" s="17" t="s">
        <v>76</v>
      </c>
      <c r="N1017" s="12"/>
      <c r="O1017" s="30" t="str">
        <f t="shared" si="145"/>
        <v>http://aes.utdallas.edu/prospective-freshmen/awards</v>
      </c>
      <c r="P1017" s="14" t="s">
        <v>3150</v>
      </c>
      <c r="Q1017" s="25">
        <v>0.61</v>
      </c>
      <c r="R1017" s="26" t="s">
        <v>231</v>
      </c>
      <c r="S1017" s="26" t="s">
        <v>3151</v>
      </c>
      <c r="T1017" s="12"/>
      <c r="U1017" s="12" t="s">
        <v>81</v>
      </c>
      <c r="V1017" s="12"/>
      <c r="W1017" s="12"/>
      <c r="X1017" s="12"/>
      <c r="Y1017" s="12"/>
      <c r="Z1017" s="12"/>
      <c r="AA1017" s="12"/>
    </row>
    <row r="1018" spans="1:27" ht="237" customHeight="1" x14ac:dyDescent="0.2">
      <c r="A1018" s="23" t="s">
        <v>3005</v>
      </c>
      <c r="B1018" s="14" t="s">
        <v>3163</v>
      </c>
      <c r="C1018" s="14" t="s">
        <v>59</v>
      </c>
      <c r="D1018" s="12"/>
      <c r="E1018" s="14" t="s">
        <v>724</v>
      </c>
      <c r="F1018" s="14" t="s">
        <v>72</v>
      </c>
      <c r="G1018" s="12" t="s">
        <v>3047</v>
      </c>
      <c r="H1018" s="17" t="s">
        <v>3166</v>
      </c>
      <c r="I1018" s="17" t="s">
        <v>74</v>
      </c>
      <c r="J1018" s="14" t="s">
        <v>3167</v>
      </c>
      <c r="K1018" s="12">
        <v>33</v>
      </c>
      <c r="L1018" s="17">
        <v>1490</v>
      </c>
      <c r="M1018" s="17" t="s">
        <v>76</v>
      </c>
      <c r="N1018" s="12"/>
      <c r="O1018" s="163" t="str">
        <f>HYPERLINK("https://www.utd.edu/mcdermott/","https://www.utd.edu/mcdermott/")</f>
        <v>https://www.utd.edu/mcdermott/</v>
      </c>
      <c r="P1018" s="14" t="s">
        <v>3150</v>
      </c>
      <c r="Q1018" s="25">
        <v>0.61</v>
      </c>
      <c r="R1018" s="26" t="s">
        <v>231</v>
      </c>
      <c r="S1018" s="26" t="s">
        <v>3151</v>
      </c>
      <c r="T1018" s="12"/>
      <c r="U1018" s="12" t="s">
        <v>81</v>
      </c>
      <c r="V1018" s="12"/>
      <c r="W1018" s="12"/>
      <c r="X1018" s="12"/>
      <c r="Y1018" s="12"/>
      <c r="Z1018" s="12"/>
      <c r="AA1018" s="12"/>
    </row>
    <row r="1019" spans="1:27" ht="221.25" customHeight="1" x14ac:dyDescent="0.2">
      <c r="A1019" s="23" t="s">
        <v>3168</v>
      </c>
      <c r="B1019" s="14" t="s">
        <v>3169</v>
      </c>
      <c r="C1019" s="14" t="s">
        <v>101</v>
      </c>
      <c r="D1019" s="12"/>
      <c r="E1019" s="14" t="s">
        <v>789</v>
      </c>
      <c r="F1019" s="14" t="s">
        <v>72</v>
      </c>
      <c r="G1019" s="12"/>
      <c r="H1019" s="17" t="s">
        <v>3170</v>
      </c>
      <c r="I1019" s="17">
        <v>50</v>
      </c>
      <c r="J1019" s="14" t="s">
        <v>3171</v>
      </c>
      <c r="K1019" s="12"/>
      <c r="L1019" s="12"/>
      <c r="M1019" s="12"/>
      <c r="N1019" s="12"/>
      <c r="O1019" s="30" t="str">
        <f>HYPERLINK("https://admissions.byu.edu/scholarships","https://admissions.byu.edu/scholarships")</f>
        <v>https://admissions.byu.edu/scholarships</v>
      </c>
      <c r="P1019" s="33">
        <v>5300</v>
      </c>
      <c r="Q1019" s="58">
        <v>0.48</v>
      </c>
      <c r="R1019" s="14" t="s">
        <v>616</v>
      </c>
      <c r="S1019" s="14" t="s">
        <v>3172</v>
      </c>
      <c r="T1019" s="12"/>
      <c r="U1019" s="12">
        <v>3.83</v>
      </c>
      <c r="V1019" s="12"/>
      <c r="W1019" s="12"/>
      <c r="X1019" s="12"/>
      <c r="Y1019" s="12"/>
      <c r="Z1019" s="12"/>
      <c r="AA1019" s="12"/>
    </row>
    <row r="1020" spans="1:27" ht="111" customHeight="1" x14ac:dyDescent="0.2">
      <c r="A1020" s="23" t="s">
        <v>3168</v>
      </c>
      <c r="B1020" s="14" t="s">
        <v>3173</v>
      </c>
      <c r="C1020" s="14" t="s">
        <v>59</v>
      </c>
      <c r="D1020" s="14" t="s">
        <v>794</v>
      </c>
      <c r="E1020" s="14" t="s">
        <v>177</v>
      </c>
      <c r="F1020" s="16" t="s">
        <v>72</v>
      </c>
      <c r="G1020" s="12"/>
      <c r="H1020" s="17" t="s">
        <v>62</v>
      </c>
      <c r="I1020" s="17" t="s">
        <v>74</v>
      </c>
      <c r="J1020" s="14" t="s">
        <v>3174</v>
      </c>
      <c r="K1020" s="12"/>
      <c r="L1020" s="12"/>
      <c r="M1020" s="12"/>
      <c r="N1020" s="12"/>
      <c r="O1020" s="30" t="str">
        <f t="shared" ref="O1020:O1021" si="146">HYPERLINK("http://www.suu.edu/finaid/scholarships.html","http://www.suu.edu/finaid/scholarships.html")</f>
        <v>http://www.suu.edu/finaid/scholarships.html</v>
      </c>
      <c r="P1020" s="14" t="s">
        <v>3175</v>
      </c>
      <c r="Q1020" s="25">
        <v>0.72</v>
      </c>
      <c r="R1020" s="14" t="s">
        <v>973</v>
      </c>
      <c r="S1020" s="14" t="s">
        <v>3176</v>
      </c>
      <c r="T1020" s="12"/>
      <c r="U1020" s="12">
        <v>3.5</v>
      </c>
      <c r="V1020" s="12"/>
      <c r="W1020" s="12"/>
      <c r="X1020" s="12"/>
      <c r="Y1020" s="12"/>
      <c r="Z1020" s="12"/>
      <c r="AA1020" s="12"/>
    </row>
    <row r="1021" spans="1:27" ht="111" customHeight="1" x14ac:dyDescent="0.2">
      <c r="A1021" s="23" t="s">
        <v>3168</v>
      </c>
      <c r="B1021" s="14" t="s">
        <v>3173</v>
      </c>
      <c r="C1021" s="14" t="s">
        <v>59</v>
      </c>
      <c r="D1021" s="14" t="s">
        <v>2874</v>
      </c>
      <c r="E1021" s="14" t="s">
        <v>60</v>
      </c>
      <c r="F1021" s="16" t="s">
        <v>72</v>
      </c>
      <c r="G1021" s="12"/>
      <c r="H1021" s="17" t="s">
        <v>62</v>
      </c>
      <c r="I1021" s="17" t="s">
        <v>74</v>
      </c>
      <c r="J1021" s="14" t="s">
        <v>3177</v>
      </c>
      <c r="K1021" s="12"/>
      <c r="L1021" s="12"/>
      <c r="M1021" s="12"/>
      <c r="N1021" s="12"/>
      <c r="O1021" s="30" t="str">
        <f t="shared" si="146"/>
        <v>http://www.suu.edu/finaid/scholarships.html</v>
      </c>
      <c r="P1021" s="14" t="s">
        <v>3175</v>
      </c>
      <c r="Q1021" s="25">
        <v>0.72</v>
      </c>
      <c r="R1021" s="14" t="s">
        <v>973</v>
      </c>
      <c r="S1021" s="14" t="s">
        <v>3176</v>
      </c>
      <c r="T1021" s="12"/>
      <c r="U1021" s="12">
        <v>3.5</v>
      </c>
      <c r="V1021" s="12"/>
      <c r="W1021" s="12"/>
      <c r="X1021" s="12"/>
      <c r="Y1021" s="12"/>
      <c r="Z1021" s="12"/>
      <c r="AA1021" s="12"/>
    </row>
    <row r="1022" spans="1:27" ht="111" customHeight="1" x14ac:dyDescent="0.2">
      <c r="A1022" s="23" t="s">
        <v>3168</v>
      </c>
      <c r="B1022" s="14" t="s">
        <v>3178</v>
      </c>
      <c r="C1022" s="14" t="s">
        <v>59</v>
      </c>
      <c r="D1022" s="14" t="s">
        <v>334</v>
      </c>
      <c r="E1022" s="14" t="s">
        <v>60</v>
      </c>
      <c r="F1022" s="14" t="s">
        <v>72</v>
      </c>
      <c r="G1022" s="12"/>
      <c r="H1022" s="17" t="s">
        <v>62</v>
      </c>
      <c r="I1022" s="17" t="s">
        <v>74</v>
      </c>
      <c r="J1022" s="16" t="s">
        <v>3179</v>
      </c>
      <c r="K1022" s="12"/>
      <c r="L1022" s="12"/>
      <c r="M1022" s="12"/>
      <c r="N1022" s="12"/>
      <c r="O1022" s="19" t="s">
        <v>3180</v>
      </c>
      <c r="P1022" s="14" t="s">
        <v>3181</v>
      </c>
      <c r="Q1022" s="25">
        <v>0.81</v>
      </c>
      <c r="R1022" s="14" t="s">
        <v>364</v>
      </c>
      <c r="S1022" s="14" t="s">
        <v>3182</v>
      </c>
      <c r="T1022" s="12"/>
      <c r="U1022" s="12">
        <v>3.59</v>
      </c>
      <c r="V1022" s="12"/>
      <c r="W1022" s="12"/>
      <c r="X1022" s="12"/>
      <c r="Y1022" s="12"/>
      <c r="Z1022" s="12"/>
      <c r="AA1022" s="12"/>
    </row>
    <row r="1023" spans="1:27" ht="111" customHeight="1" x14ac:dyDescent="0.2">
      <c r="A1023" s="23" t="s">
        <v>3168</v>
      </c>
      <c r="B1023" s="14" t="s">
        <v>3178</v>
      </c>
      <c r="C1023" s="14" t="s">
        <v>59</v>
      </c>
      <c r="D1023" s="14" t="s">
        <v>98</v>
      </c>
      <c r="E1023" s="14" t="s">
        <v>88</v>
      </c>
      <c r="F1023" s="14" t="s">
        <v>72</v>
      </c>
      <c r="G1023" s="12"/>
      <c r="H1023" s="17" t="s">
        <v>62</v>
      </c>
      <c r="I1023" s="17" t="s">
        <v>74</v>
      </c>
      <c r="J1023" s="14" t="s">
        <v>3183</v>
      </c>
      <c r="K1023" s="12"/>
      <c r="L1023" s="12"/>
      <c r="M1023" s="12"/>
      <c r="N1023" s="12"/>
      <c r="O1023" s="19" t="s">
        <v>3184</v>
      </c>
      <c r="P1023" s="14" t="s">
        <v>3181</v>
      </c>
      <c r="Q1023" s="25">
        <v>0.81</v>
      </c>
      <c r="R1023" s="14" t="s">
        <v>364</v>
      </c>
      <c r="S1023" s="14" t="s">
        <v>3182</v>
      </c>
      <c r="T1023" s="12"/>
      <c r="U1023" s="12">
        <v>3.59</v>
      </c>
      <c r="V1023" s="12"/>
      <c r="W1023" s="12"/>
      <c r="X1023" s="12"/>
      <c r="Y1023" s="12"/>
      <c r="Z1023" s="12"/>
      <c r="AA1023" s="12"/>
    </row>
    <row r="1024" spans="1:27" ht="111" customHeight="1" x14ac:dyDescent="0.2">
      <c r="A1024" s="23" t="s">
        <v>3168</v>
      </c>
      <c r="B1024" s="14" t="s">
        <v>3178</v>
      </c>
      <c r="C1024" s="14" t="s">
        <v>59</v>
      </c>
      <c r="D1024" s="14" t="s">
        <v>334</v>
      </c>
      <c r="E1024" s="14" t="s">
        <v>60</v>
      </c>
      <c r="F1024" s="14" t="s">
        <v>72</v>
      </c>
      <c r="G1024" s="12"/>
      <c r="H1024" s="17" t="s">
        <v>62</v>
      </c>
      <c r="I1024" s="17" t="s">
        <v>74</v>
      </c>
      <c r="J1024" s="14" t="s">
        <v>3185</v>
      </c>
      <c r="K1024" s="12"/>
      <c r="L1024" s="12"/>
      <c r="M1024" s="12"/>
      <c r="N1024" s="12"/>
      <c r="O1024" s="19" t="s">
        <v>3184</v>
      </c>
      <c r="P1024" s="14" t="s">
        <v>3181</v>
      </c>
      <c r="Q1024" s="25">
        <v>0.81</v>
      </c>
      <c r="R1024" s="14" t="s">
        <v>364</v>
      </c>
      <c r="S1024" s="14" t="s">
        <v>3182</v>
      </c>
      <c r="T1024" s="12"/>
      <c r="U1024" s="12">
        <v>3.59</v>
      </c>
      <c r="V1024" s="12"/>
      <c r="W1024" s="12"/>
      <c r="X1024" s="12"/>
      <c r="Y1024" s="12"/>
      <c r="Z1024" s="12"/>
      <c r="AA1024" s="12"/>
    </row>
    <row r="1025" spans="1:27" ht="189.75" customHeight="1" x14ac:dyDescent="0.2">
      <c r="A1025" s="23" t="s">
        <v>3168</v>
      </c>
      <c r="B1025" s="14" t="s">
        <v>3178</v>
      </c>
      <c r="C1025" s="14" t="s">
        <v>59</v>
      </c>
      <c r="D1025" s="14" t="s">
        <v>98</v>
      </c>
      <c r="E1025" s="14" t="s">
        <v>88</v>
      </c>
      <c r="F1025" s="14" t="s">
        <v>92</v>
      </c>
      <c r="G1025" s="12"/>
      <c r="H1025" s="17" t="s">
        <v>3186</v>
      </c>
      <c r="I1025" s="17" t="s">
        <v>74</v>
      </c>
      <c r="J1025" s="14" t="s">
        <v>3187</v>
      </c>
      <c r="K1025" s="12"/>
      <c r="L1025" s="12"/>
      <c r="M1025" s="12"/>
      <c r="N1025" s="12"/>
      <c r="O1025" s="19" t="s">
        <v>3188</v>
      </c>
      <c r="P1025" s="14" t="s">
        <v>3181</v>
      </c>
      <c r="Q1025" s="25">
        <v>0.81</v>
      </c>
      <c r="R1025" s="14" t="s">
        <v>364</v>
      </c>
      <c r="S1025" s="14" t="s">
        <v>3182</v>
      </c>
      <c r="T1025" s="12"/>
      <c r="U1025" s="12">
        <v>3.59</v>
      </c>
      <c r="V1025" s="12"/>
      <c r="W1025" s="12"/>
      <c r="X1025" s="12"/>
      <c r="Y1025" s="12"/>
      <c r="Z1025" s="12"/>
      <c r="AA1025" s="12"/>
    </row>
    <row r="1026" spans="1:27" ht="78" customHeight="1" x14ac:dyDescent="0.2">
      <c r="A1026" s="11" t="s">
        <v>3168</v>
      </c>
      <c r="B1026" s="12" t="s">
        <v>3189</v>
      </c>
      <c r="C1026" s="26" t="s">
        <v>59</v>
      </c>
      <c r="D1026" s="26"/>
      <c r="E1026" s="12" t="s">
        <v>60</v>
      </c>
      <c r="F1026" s="11" t="s">
        <v>61</v>
      </c>
      <c r="G1026" s="12"/>
      <c r="H1026" s="17" t="s">
        <v>62</v>
      </c>
      <c r="I1026" s="17" t="s">
        <v>63</v>
      </c>
      <c r="J1026" s="181" t="s">
        <v>3190</v>
      </c>
      <c r="K1026" s="12"/>
      <c r="L1026" s="12"/>
      <c r="M1026" s="12"/>
      <c r="N1026" s="12"/>
      <c r="O1026" s="30" t="str">
        <f>HYPERLINK("http://www.usu.edu/admissions/scholarships/nonres-freshmen.cfm","http://www.usu.edu/admissions/scholarships/nonres-freshmen.cfm")</f>
        <v>http://www.usu.edu/admissions/scholarships/nonres-freshmen.cfm</v>
      </c>
      <c r="P1026" s="26" t="s">
        <v>3191</v>
      </c>
      <c r="Q1026" s="31">
        <v>0.97</v>
      </c>
      <c r="R1026" s="26" t="s">
        <v>973</v>
      </c>
      <c r="S1026" s="26" t="s">
        <v>3192</v>
      </c>
      <c r="T1026" s="12"/>
      <c r="U1026" s="12">
        <v>3.51</v>
      </c>
      <c r="V1026" s="12"/>
      <c r="W1026" s="12"/>
      <c r="X1026" s="12"/>
      <c r="Y1026" s="12"/>
      <c r="Z1026" s="12"/>
      <c r="AA1026" s="12"/>
    </row>
    <row r="1027" spans="1:27" ht="78" customHeight="1" x14ac:dyDescent="0.2">
      <c r="A1027" s="11" t="s">
        <v>3168</v>
      </c>
      <c r="B1027" s="12" t="s">
        <v>3189</v>
      </c>
      <c r="C1027" s="26" t="s">
        <v>59</v>
      </c>
      <c r="D1027" s="26"/>
      <c r="E1027" s="12" t="s">
        <v>3193</v>
      </c>
      <c r="F1027" s="11" t="s">
        <v>61</v>
      </c>
      <c r="G1027" s="12"/>
      <c r="H1027" s="17" t="s">
        <v>62</v>
      </c>
      <c r="I1027" s="17" t="s">
        <v>63</v>
      </c>
      <c r="J1027" s="181" t="s">
        <v>3194</v>
      </c>
      <c r="K1027" s="12"/>
      <c r="L1027" s="12"/>
      <c r="M1027" s="12"/>
      <c r="N1027" s="12"/>
      <c r="O1027" s="30" t="str">
        <f>HYPERLINK("http://www.usu.edu/admissions/scholarships/res-freshmen.cfm","http://www.usu.edu/admissions/scholarships/res-freshmen.cfm")</f>
        <v>http://www.usu.edu/admissions/scholarships/res-freshmen.cfm</v>
      </c>
      <c r="P1027" s="26" t="s">
        <v>3191</v>
      </c>
      <c r="Q1027" s="31">
        <v>0.97</v>
      </c>
      <c r="R1027" s="26" t="s">
        <v>973</v>
      </c>
      <c r="S1027" s="26" t="s">
        <v>3192</v>
      </c>
      <c r="T1027" s="12"/>
      <c r="U1027" s="12">
        <v>3.51</v>
      </c>
      <c r="V1027" s="12"/>
      <c r="W1027" s="12"/>
      <c r="X1027" s="12"/>
      <c r="Y1027" s="12"/>
      <c r="Z1027" s="12"/>
      <c r="AA1027" s="12"/>
    </row>
    <row r="1028" spans="1:27" ht="78" customHeight="1" x14ac:dyDescent="0.2">
      <c r="A1028" s="11" t="s">
        <v>3168</v>
      </c>
      <c r="B1028" s="12" t="s">
        <v>3195</v>
      </c>
      <c r="C1028" s="26" t="s">
        <v>59</v>
      </c>
      <c r="D1028" s="29" t="s">
        <v>794</v>
      </c>
      <c r="E1028" s="17" t="s">
        <v>60</v>
      </c>
      <c r="F1028" s="11" t="s">
        <v>61</v>
      </c>
      <c r="G1028" s="12"/>
      <c r="H1028" s="17" t="s">
        <v>62</v>
      </c>
      <c r="I1028" s="17" t="s">
        <v>63</v>
      </c>
      <c r="J1028" s="61" t="s">
        <v>1351</v>
      </c>
      <c r="K1028" s="17">
        <v>30</v>
      </c>
      <c r="L1028" s="17">
        <v>1400</v>
      </c>
      <c r="M1028" s="17" t="s">
        <v>76</v>
      </c>
      <c r="N1028" s="17">
        <v>3.9</v>
      </c>
      <c r="O1028" s="19" t="s">
        <v>3196</v>
      </c>
      <c r="P1028" s="26" t="s">
        <v>3197</v>
      </c>
      <c r="Q1028" s="31">
        <v>1</v>
      </c>
      <c r="R1028" s="26" t="s">
        <v>442</v>
      </c>
      <c r="S1028" s="26" t="s">
        <v>2889</v>
      </c>
      <c r="T1028" s="12"/>
      <c r="U1028" s="12">
        <v>3.31</v>
      </c>
      <c r="V1028" s="12"/>
      <c r="W1028" s="12"/>
      <c r="X1028" s="12"/>
      <c r="Y1028" s="12"/>
      <c r="Z1028" s="12"/>
      <c r="AA1028" s="12"/>
    </row>
    <row r="1029" spans="1:27" ht="78" customHeight="1" x14ac:dyDescent="0.2">
      <c r="A1029" s="149" t="s">
        <v>3168</v>
      </c>
      <c r="B1029" s="112" t="s">
        <v>3195</v>
      </c>
      <c r="C1029" s="150" t="s">
        <v>59</v>
      </c>
      <c r="D1029" s="150" t="s">
        <v>2874</v>
      </c>
      <c r="E1029" s="112" t="s">
        <v>60</v>
      </c>
      <c r="F1029" s="149" t="s">
        <v>61</v>
      </c>
      <c r="G1029" s="112"/>
      <c r="H1029" s="17" t="s">
        <v>62</v>
      </c>
      <c r="I1029" s="17" t="s">
        <v>63</v>
      </c>
      <c r="J1029" s="228" t="s">
        <v>1351</v>
      </c>
      <c r="K1029" s="117">
        <v>30</v>
      </c>
      <c r="L1029" s="117">
        <v>1400</v>
      </c>
      <c r="M1029" s="117" t="s">
        <v>76</v>
      </c>
      <c r="N1029" s="117">
        <v>3.9</v>
      </c>
      <c r="O1029" s="121" t="s">
        <v>3198</v>
      </c>
      <c r="P1029" s="150" t="s">
        <v>3197</v>
      </c>
      <c r="Q1029" s="151">
        <v>1</v>
      </c>
      <c r="R1029" s="150" t="s">
        <v>442</v>
      </c>
      <c r="S1029" s="150" t="s">
        <v>2889</v>
      </c>
      <c r="T1029" s="112"/>
      <c r="U1029" s="112">
        <v>3.31</v>
      </c>
      <c r="V1029" s="112"/>
      <c r="W1029" s="112"/>
      <c r="X1029" s="112"/>
      <c r="Y1029" s="112"/>
      <c r="Z1029" s="112"/>
      <c r="AA1029" s="112"/>
    </row>
    <row r="1030" spans="1:27" ht="189.75" customHeight="1" x14ac:dyDescent="0.2">
      <c r="A1030" s="23" t="s">
        <v>3168</v>
      </c>
      <c r="B1030" s="14" t="s">
        <v>3199</v>
      </c>
      <c r="C1030" s="14" t="s">
        <v>59</v>
      </c>
      <c r="D1030" s="12" t="s">
        <v>194</v>
      </c>
      <c r="E1030" s="14" t="s">
        <v>60</v>
      </c>
      <c r="F1030" s="14" t="s">
        <v>145</v>
      </c>
      <c r="G1030" s="12"/>
      <c r="H1030" s="17" t="s">
        <v>157</v>
      </c>
      <c r="I1030" s="17" t="s">
        <v>74</v>
      </c>
      <c r="J1030" s="14" t="s">
        <v>3200</v>
      </c>
      <c r="K1030" s="12"/>
      <c r="L1030" s="12"/>
      <c r="M1030" s="12"/>
      <c r="N1030" s="12"/>
      <c r="O1030" s="30" t="str">
        <f t="shared" ref="O1030:O1031" si="147">HYPERLINK("http://www.weber.edu/FinancialAid/resident.html","http://www.weber.edu/FinancialAid/resident.html")</f>
        <v>http://www.weber.edu/FinancialAid/resident.html</v>
      </c>
      <c r="P1030" s="14" t="s">
        <v>3201</v>
      </c>
      <c r="Q1030" s="58">
        <v>1</v>
      </c>
      <c r="R1030" s="14" t="s">
        <v>259</v>
      </c>
      <c r="S1030" s="14" t="s">
        <v>2889</v>
      </c>
      <c r="T1030" s="12"/>
      <c r="U1030" s="12">
        <v>3.29</v>
      </c>
      <c r="V1030" s="12"/>
      <c r="W1030" s="12"/>
      <c r="X1030" s="12"/>
      <c r="Y1030" s="12"/>
      <c r="Z1030" s="12"/>
      <c r="AA1030" s="12"/>
    </row>
    <row r="1031" spans="1:27" ht="205.5" customHeight="1" x14ac:dyDescent="0.2">
      <c r="A1031" s="23" t="s">
        <v>3168</v>
      </c>
      <c r="B1031" s="14" t="s">
        <v>3199</v>
      </c>
      <c r="C1031" s="14" t="s">
        <v>59</v>
      </c>
      <c r="D1031" s="14" t="s">
        <v>194</v>
      </c>
      <c r="E1031" s="14" t="s">
        <v>60</v>
      </c>
      <c r="F1031" s="14" t="s">
        <v>72</v>
      </c>
      <c r="G1031" s="12"/>
      <c r="H1031" s="17" t="s">
        <v>3202</v>
      </c>
      <c r="I1031" s="17" t="s">
        <v>74</v>
      </c>
      <c r="J1031" s="14" t="s">
        <v>3203</v>
      </c>
      <c r="K1031" s="12"/>
      <c r="L1031" s="12"/>
      <c r="M1031" s="12"/>
      <c r="N1031" s="12"/>
      <c r="O1031" s="30" t="str">
        <f t="shared" si="147"/>
        <v>http://www.weber.edu/FinancialAid/resident.html</v>
      </c>
      <c r="P1031" s="14" t="s">
        <v>3201</v>
      </c>
      <c r="Q1031" s="58">
        <v>1</v>
      </c>
      <c r="R1031" s="14" t="s">
        <v>259</v>
      </c>
      <c r="S1031" s="14" t="s">
        <v>2889</v>
      </c>
      <c r="T1031" s="12"/>
      <c r="U1031" s="12">
        <v>3.29</v>
      </c>
      <c r="V1031" s="12"/>
      <c r="W1031" s="12"/>
      <c r="X1031" s="12"/>
      <c r="Y1031" s="12"/>
      <c r="Z1031" s="12"/>
      <c r="AA1031" s="12"/>
    </row>
    <row r="1032" spans="1:27" ht="208" x14ac:dyDescent="0.2">
      <c r="A1032" s="23" t="s">
        <v>3168</v>
      </c>
      <c r="B1032" s="14" t="s">
        <v>1787</v>
      </c>
      <c r="C1032" s="14" t="s">
        <v>101</v>
      </c>
      <c r="D1032" s="12"/>
      <c r="E1032" s="16" t="s">
        <v>111</v>
      </c>
      <c r="F1032" s="16" t="s">
        <v>145</v>
      </c>
      <c r="G1032" s="12"/>
      <c r="H1032" s="17" t="s">
        <v>157</v>
      </c>
      <c r="I1032" s="17" t="s">
        <v>74</v>
      </c>
      <c r="J1032" s="16" t="s">
        <v>3204</v>
      </c>
      <c r="K1032" s="12"/>
      <c r="L1032" s="12"/>
      <c r="M1032" s="12"/>
      <c r="N1032" s="12"/>
      <c r="O1032" s="30" t="str">
        <f t="shared" ref="O1032:O1033" si="148">HYPERLINK("https://www.westminstercollege.edu/about/resources/financial-aid/scholarships","https://www.westminstercollege.edu/about/resources/financial-aid/scholarships")</f>
        <v>https://www.westminstercollege.edu/about/resources/financial-aid/scholarships</v>
      </c>
      <c r="P1032" s="33">
        <v>32104</v>
      </c>
      <c r="Q1032" s="25">
        <v>0.96</v>
      </c>
      <c r="R1032" s="14" t="s">
        <v>142</v>
      </c>
      <c r="S1032" s="14" t="s">
        <v>3205</v>
      </c>
      <c r="T1032" s="12"/>
      <c r="U1032" s="12">
        <v>3.55</v>
      </c>
      <c r="V1032" s="12"/>
      <c r="W1032" s="12"/>
      <c r="X1032" s="12"/>
      <c r="Y1032" s="12"/>
      <c r="Z1032" s="12"/>
      <c r="AA1032" s="12"/>
    </row>
    <row r="1033" spans="1:27" ht="240" x14ac:dyDescent="0.2">
      <c r="A1033" s="23" t="s">
        <v>3168</v>
      </c>
      <c r="B1033" s="14" t="s">
        <v>1787</v>
      </c>
      <c r="C1033" s="14" t="s">
        <v>101</v>
      </c>
      <c r="D1033" s="12"/>
      <c r="E1033" s="14" t="s">
        <v>60</v>
      </c>
      <c r="F1033" s="14" t="s">
        <v>72</v>
      </c>
      <c r="G1033" s="12"/>
      <c r="H1033" s="17" t="s">
        <v>3206</v>
      </c>
      <c r="I1033" s="17">
        <v>1</v>
      </c>
      <c r="J1033" s="14" t="s">
        <v>3207</v>
      </c>
      <c r="K1033" s="12"/>
      <c r="L1033" s="12"/>
      <c r="M1033" s="12"/>
      <c r="N1033" s="12"/>
      <c r="O1033" s="30" t="str">
        <f t="shared" si="148"/>
        <v>https://www.westminstercollege.edu/about/resources/financial-aid/scholarships</v>
      </c>
      <c r="P1033" s="33">
        <v>32104</v>
      </c>
      <c r="Q1033" s="25">
        <v>0.96</v>
      </c>
      <c r="R1033" s="14" t="s">
        <v>142</v>
      </c>
      <c r="S1033" s="14" t="s">
        <v>3205</v>
      </c>
      <c r="T1033" s="12"/>
      <c r="U1033" s="12">
        <v>3.55</v>
      </c>
      <c r="V1033" s="12"/>
      <c r="W1033" s="12"/>
      <c r="X1033" s="12"/>
      <c r="Y1033" s="12"/>
      <c r="Z1033" s="12"/>
      <c r="AA1033" s="12"/>
    </row>
    <row r="1034" spans="1:27" ht="174" customHeight="1" x14ac:dyDescent="0.2">
      <c r="A1034" s="23" t="s">
        <v>3208</v>
      </c>
      <c r="B1034" s="14" t="s">
        <v>3209</v>
      </c>
      <c r="C1034" s="14" t="s">
        <v>101</v>
      </c>
      <c r="D1034" s="12"/>
      <c r="E1034" s="14" t="s">
        <v>60</v>
      </c>
      <c r="F1034" s="14" t="s">
        <v>72</v>
      </c>
      <c r="G1034" s="12"/>
      <c r="H1034" s="17" t="s">
        <v>1529</v>
      </c>
      <c r="I1034" s="17">
        <v>2</v>
      </c>
      <c r="J1034" s="14" t="s">
        <v>3210</v>
      </c>
      <c r="K1034" s="24"/>
      <c r="L1034" s="24"/>
      <c r="M1034" s="12"/>
      <c r="N1034" s="24"/>
      <c r="O1034" s="19" t="s">
        <v>3211</v>
      </c>
      <c r="P1034" s="33">
        <v>24380</v>
      </c>
      <c r="Q1034" s="58">
        <v>0.98</v>
      </c>
      <c r="R1034" s="14" t="s">
        <v>155</v>
      </c>
      <c r="S1034" s="14" t="s">
        <v>3212</v>
      </c>
      <c r="T1034" s="12"/>
      <c r="U1034" s="12">
        <v>3.1</v>
      </c>
      <c r="V1034" s="12"/>
      <c r="W1034" s="12"/>
      <c r="X1034" s="12"/>
      <c r="Y1034" s="12"/>
      <c r="Z1034" s="12"/>
      <c r="AA1034" s="12"/>
    </row>
    <row r="1035" spans="1:27" ht="237" customHeight="1" x14ac:dyDescent="0.2">
      <c r="A1035" s="23" t="s">
        <v>3208</v>
      </c>
      <c r="B1035" s="14" t="s">
        <v>3213</v>
      </c>
      <c r="C1035" s="14" t="s">
        <v>101</v>
      </c>
      <c r="D1035" s="12"/>
      <c r="E1035" s="16" t="s">
        <v>3214</v>
      </c>
      <c r="F1035" s="14" t="s">
        <v>72</v>
      </c>
      <c r="G1035" s="12"/>
      <c r="H1035" s="17" t="s">
        <v>3215</v>
      </c>
      <c r="I1035" s="17" t="s">
        <v>74</v>
      </c>
      <c r="J1035" s="16" t="s">
        <v>3216</v>
      </c>
      <c r="K1035" s="12"/>
      <c r="L1035" s="12"/>
      <c r="M1035" s="12"/>
      <c r="N1035" s="12"/>
      <c r="O1035" s="30" t="str">
        <f>HYPERLINK("https://www.bridgewater.edu/admissions-aid/tuition-and-financial-aid/financial-aid","https://www.bridgewater.edu/admissions-aid/tuition-and-financial-aid/financial-aid")</f>
        <v>https://www.bridgewater.edu/admissions-aid/tuition-and-financial-aid/financial-aid</v>
      </c>
      <c r="P1035" s="33">
        <v>32590</v>
      </c>
      <c r="Q1035" s="25">
        <v>0.49</v>
      </c>
      <c r="R1035" s="52" t="s">
        <v>973</v>
      </c>
      <c r="S1035" s="34" t="s">
        <v>3217</v>
      </c>
      <c r="T1035" s="12"/>
      <c r="U1035" s="12" t="s">
        <v>3218</v>
      </c>
      <c r="V1035" s="12"/>
      <c r="W1035" s="12"/>
      <c r="X1035" s="12"/>
      <c r="Y1035" s="12"/>
      <c r="Z1035" s="12"/>
      <c r="AA1035" s="12"/>
    </row>
    <row r="1036" spans="1:27" ht="260.25" customHeight="1" x14ac:dyDescent="0.2">
      <c r="A1036" s="11" t="s">
        <v>3208</v>
      </c>
      <c r="B1036" s="12" t="s">
        <v>3219</v>
      </c>
      <c r="C1036" s="26" t="s">
        <v>59</v>
      </c>
      <c r="D1036" s="12"/>
      <c r="E1036" s="12" t="s">
        <v>757</v>
      </c>
      <c r="F1036" s="11" t="s">
        <v>72</v>
      </c>
      <c r="G1036" s="12"/>
      <c r="H1036" s="17" t="s">
        <v>3220</v>
      </c>
      <c r="I1036" s="17" t="s">
        <v>74</v>
      </c>
      <c r="J1036" s="176" t="s">
        <v>3221</v>
      </c>
      <c r="K1036" s="12"/>
      <c r="L1036" s="12"/>
      <c r="M1036" s="12"/>
      <c r="N1036" s="12"/>
      <c r="O1036" s="30" t="str">
        <f>HYPERLINK("http://www.wm.edu/as/1693scholars/index.php","http://www.wm.edu/as/1693scholars/index.php")</f>
        <v>http://www.wm.edu/as/1693scholars/index.php</v>
      </c>
      <c r="P1036" s="26" t="s">
        <v>3222</v>
      </c>
      <c r="Q1036" s="31">
        <v>0.34</v>
      </c>
      <c r="R1036" s="26" t="s">
        <v>523</v>
      </c>
      <c r="S1036" s="26" t="s">
        <v>3223</v>
      </c>
      <c r="T1036" s="12"/>
      <c r="U1036" s="12" t="s">
        <v>3224</v>
      </c>
      <c r="V1036" s="12"/>
      <c r="W1036" s="12"/>
      <c r="X1036" s="12"/>
      <c r="Y1036" s="12"/>
      <c r="Z1036" s="12"/>
      <c r="AA1036" s="12"/>
    </row>
    <row r="1037" spans="1:27" ht="78" x14ac:dyDescent="0.2">
      <c r="A1037" s="23" t="s">
        <v>3208</v>
      </c>
      <c r="B1037" s="14" t="s">
        <v>3225</v>
      </c>
      <c r="C1037" s="14" t="s">
        <v>101</v>
      </c>
      <c r="D1037" s="12"/>
      <c r="E1037" s="16" t="s">
        <v>60</v>
      </c>
      <c r="F1037" s="14" t="s">
        <v>72</v>
      </c>
      <c r="G1037" s="12"/>
      <c r="H1037" s="17" t="s">
        <v>1123</v>
      </c>
      <c r="I1037" s="17" t="s">
        <v>74</v>
      </c>
      <c r="J1037" s="16" t="s">
        <v>3226</v>
      </c>
      <c r="K1037" s="12"/>
      <c r="L1037" s="12"/>
      <c r="M1037" s="12"/>
      <c r="N1037" s="12"/>
      <c r="O1037" s="19" t="s">
        <v>3227</v>
      </c>
      <c r="P1037" s="33">
        <v>34200</v>
      </c>
      <c r="Q1037" s="25">
        <v>0.65</v>
      </c>
      <c r="R1037" s="34" t="s">
        <v>442</v>
      </c>
      <c r="S1037" s="34" t="s">
        <v>3228</v>
      </c>
      <c r="T1037" s="12"/>
      <c r="U1037" s="12">
        <v>3.4</v>
      </c>
      <c r="V1037" s="12"/>
      <c r="W1037" s="12"/>
      <c r="X1037" s="12"/>
      <c r="Y1037" s="12"/>
      <c r="Z1037" s="12"/>
      <c r="AA1037" s="12"/>
    </row>
    <row r="1038" spans="1:27" ht="205.5" customHeight="1" x14ac:dyDescent="0.2">
      <c r="A1038" s="23" t="s">
        <v>3208</v>
      </c>
      <c r="B1038" s="14" t="s">
        <v>3229</v>
      </c>
      <c r="C1038" s="14" t="s">
        <v>59</v>
      </c>
      <c r="D1038" s="12"/>
      <c r="E1038" s="14" t="s">
        <v>60</v>
      </c>
      <c r="F1038" s="14" t="s">
        <v>72</v>
      </c>
      <c r="G1038" s="12"/>
      <c r="H1038" s="17" t="s">
        <v>3230</v>
      </c>
      <c r="I1038" s="17" t="s">
        <v>1450</v>
      </c>
      <c r="J1038" s="14" t="s">
        <v>3231</v>
      </c>
      <c r="K1038" s="12"/>
      <c r="L1038" s="12"/>
      <c r="M1038" s="12"/>
      <c r="N1038" s="12"/>
      <c r="O1038" s="30" t="str">
        <f>HYPERLINK("https://honorscollege.gmu.edu/admissions/university-scholars","https://honorscollege.gmu.edu/admissions/university-scholars")</f>
        <v>https://honorscollege.gmu.edu/admissions/university-scholars</v>
      </c>
      <c r="P1038" s="14" t="s">
        <v>3232</v>
      </c>
      <c r="Q1038" s="58">
        <v>0.8</v>
      </c>
      <c r="R1038" s="14" t="s">
        <v>105</v>
      </c>
      <c r="S1038" s="14" t="s">
        <v>3233</v>
      </c>
      <c r="T1038" s="12"/>
      <c r="U1038" s="12">
        <v>3.66</v>
      </c>
      <c r="V1038" s="12"/>
      <c r="W1038" s="12"/>
      <c r="X1038" s="12"/>
      <c r="Y1038" s="12"/>
      <c r="Z1038" s="12"/>
      <c r="AA1038" s="12"/>
    </row>
    <row r="1039" spans="1:27" ht="265" x14ac:dyDescent="0.2">
      <c r="A1039" s="11" t="s">
        <v>3208</v>
      </c>
      <c r="B1039" s="12" t="s">
        <v>3234</v>
      </c>
      <c r="C1039" s="26" t="s">
        <v>101</v>
      </c>
      <c r="D1039" s="12"/>
      <c r="E1039" s="12" t="s">
        <v>136</v>
      </c>
      <c r="F1039" s="12" t="s">
        <v>72</v>
      </c>
      <c r="G1039" s="12"/>
      <c r="H1039" s="17" t="s">
        <v>62</v>
      </c>
      <c r="I1039" s="17" t="s">
        <v>74</v>
      </c>
      <c r="J1039" s="32" t="s">
        <v>3235</v>
      </c>
      <c r="K1039" s="76">
        <v>22</v>
      </c>
      <c r="L1039" s="229">
        <v>1100</v>
      </c>
      <c r="M1039" s="29" t="s">
        <v>76</v>
      </c>
      <c r="N1039" s="26">
        <v>3</v>
      </c>
      <c r="O1039" s="30" t="str">
        <f>HYPERLINK("http://admissions.hamptonu.edu/page/Scholarship-Information","http://admissions.hamptonu.edu/page/Scholarship-Information")</f>
        <v>http://admissions.hamptonu.edu/page/Scholarship-Information</v>
      </c>
      <c r="P1039" s="38">
        <v>23992</v>
      </c>
      <c r="Q1039" s="31">
        <v>0.69</v>
      </c>
      <c r="R1039" s="26" t="s">
        <v>385</v>
      </c>
      <c r="S1039" s="26" t="s">
        <v>3236</v>
      </c>
      <c r="T1039" s="12"/>
      <c r="U1039" s="12">
        <v>3.22</v>
      </c>
      <c r="V1039" s="12"/>
      <c r="W1039" s="12"/>
      <c r="X1039" s="12"/>
      <c r="Y1039" s="12"/>
      <c r="Z1039" s="12"/>
      <c r="AA1039" s="12"/>
    </row>
    <row r="1040" spans="1:27" ht="75.75" customHeight="1" x14ac:dyDescent="0.2">
      <c r="A1040" s="230" t="s">
        <v>3208</v>
      </c>
      <c r="B1040" s="231" t="s">
        <v>3237</v>
      </c>
      <c r="C1040" s="231" t="s">
        <v>101</v>
      </c>
      <c r="D1040" s="232"/>
      <c r="E1040" s="231" t="s">
        <v>177</v>
      </c>
      <c r="F1040" s="231" t="s">
        <v>72</v>
      </c>
      <c r="G1040" s="232"/>
      <c r="H1040" s="233" t="s">
        <v>1123</v>
      </c>
      <c r="I1040" s="233" t="s">
        <v>74</v>
      </c>
      <c r="J1040" s="231" t="s">
        <v>3238</v>
      </c>
      <c r="K1040" s="234"/>
      <c r="L1040" s="234"/>
      <c r="M1040" s="231"/>
      <c r="N1040" s="234"/>
      <c r="O1040" s="235" t="str">
        <f t="shared" ref="O1040:O1041" si="149">HYPERLINK("https://www.hollins.edu/admission/undergraduate-financial-aid-scholarships/scholarships-awards/","https://www.hollins.edu/admission/undergraduate-financial-aid-scholarships/scholarships-awards/")</f>
        <v>https://www.hollins.edu/admission/undergraduate-financial-aid-scholarships/scholarships-awards/</v>
      </c>
      <c r="P1040" s="236">
        <v>36835</v>
      </c>
      <c r="Q1040" s="237">
        <v>0.61</v>
      </c>
      <c r="R1040" s="238" t="s">
        <v>3239</v>
      </c>
      <c r="S1040" s="238" t="s">
        <v>3240</v>
      </c>
      <c r="T1040" s="232"/>
      <c r="U1040" s="232">
        <v>3.6</v>
      </c>
      <c r="V1040" s="232"/>
      <c r="W1040" s="232"/>
      <c r="X1040" s="232"/>
      <c r="Y1040" s="232"/>
      <c r="Z1040" s="239"/>
      <c r="AA1040" s="12"/>
    </row>
    <row r="1041" spans="1:27" ht="241" x14ac:dyDescent="0.2">
      <c r="A1041" s="230" t="s">
        <v>3208</v>
      </c>
      <c r="B1041" s="231" t="s">
        <v>3237</v>
      </c>
      <c r="C1041" s="231" t="s">
        <v>101</v>
      </c>
      <c r="D1041" s="232"/>
      <c r="E1041" s="231" t="s">
        <v>177</v>
      </c>
      <c r="F1041" s="231" t="s">
        <v>72</v>
      </c>
      <c r="G1041" s="232"/>
      <c r="H1041" s="233" t="s">
        <v>3241</v>
      </c>
      <c r="I1041" s="233" t="s">
        <v>74</v>
      </c>
      <c r="J1041" s="240" t="s">
        <v>3242</v>
      </c>
      <c r="K1041" s="232"/>
      <c r="L1041" s="232"/>
      <c r="M1041" s="232"/>
      <c r="N1041" s="232"/>
      <c r="O1041" s="235" t="str">
        <f t="shared" si="149"/>
        <v>https://www.hollins.edu/admission/undergraduate-financial-aid-scholarships/scholarships-awards/</v>
      </c>
      <c r="P1041" s="236">
        <v>36835</v>
      </c>
      <c r="Q1041" s="237">
        <v>0.61</v>
      </c>
      <c r="R1041" s="238" t="s">
        <v>3239</v>
      </c>
      <c r="S1041" s="238" t="s">
        <v>3240</v>
      </c>
      <c r="T1041" s="232"/>
      <c r="U1041" s="232">
        <v>3.6</v>
      </c>
      <c r="V1041" s="232"/>
      <c r="W1041" s="232"/>
      <c r="X1041" s="232"/>
      <c r="Y1041" s="232"/>
      <c r="Z1041" s="239"/>
      <c r="AA1041" s="12"/>
    </row>
    <row r="1042" spans="1:27" ht="270.75" customHeight="1" x14ac:dyDescent="0.2">
      <c r="A1042" s="241" t="s">
        <v>3208</v>
      </c>
      <c r="B1042" s="242" t="s">
        <v>3243</v>
      </c>
      <c r="C1042" s="242" t="s">
        <v>59</v>
      </c>
      <c r="D1042" s="243"/>
      <c r="E1042" s="242" t="s">
        <v>1928</v>
      </c>
      <c r="F1042" s="242" t="s">
        <v>72</v>
      </c>
      <c r="G1042" s="244"/>
      <c r="H1042" s="245" t="s">
        <v>3244</v>
      </c>
      <c r="I1042" s="245" t="s">
        <v>74</v>
      </c>
      <c r="J1042" s="246" t="s">
        <v>3245</v>
      </c>
      <c r="K1042" s="247">
        <v>27</v>
      </c>
      <c r="L1042" s="248">
        <v>1250</v>
      </c>
      <c r="M1042" s="249" t="s">
        <v>76</v>
      </c>
      <c r="N1042" s="248">
        <v>3.6</v>
      </c>
      <c r="O1042" s="250" t="str">
        <f>HYPERLINK("http://www.jmu.edu/admissions/apply/scholarships-ding.shtml","http://www.jmu.edu/admissions/apply/scholarships-ding.shtml")</f>
        <v>http://www.jmu.edu/admissions/apply/scholarships-ding.shtml</v>
      </c>
      <c r="P1042" s="251" t="s">
        <v>3246</v>
      </c>
      <c r="Q1042" s="252">
        <v>0.73</v>
      </c>
      <c r="R1042" s="242" t="s">
        <v>1733</v>
      </c>
      <c r="S1042" s="242" t="s">
        <v>3247</v>
      </c>
      <c r="T1042" s="244"/>
      <c r="U1042" s="243" t="s">
        <v>81</v>
      </c>
      <c r="V1042" s="244"/>
      <c r="W1042" s="244"/>
      <c r="X1042" s="244"/>
      <c r="Y1042" s="244"/>
      <c r="Z1042" s="81"/>
      <c r="AA1042" s="12"/>
    </row>
    <row r="1043" spans="1:27" ht="231.75" customHeight="1" x14ac:dyDescent="0.2">
      <c r="A1043" s="253" t="s">
        <v>3208</v>
      </c>
      <c r="B1043" s="254" t="s">
        <v>3243</v>
      </c>
      <c r="C1043" s="254" t="s">
        <v>59</v>
      </c>
      <c r="D1043" s="12"/>
      <c r="E1043" s="254" t="s">
        <v>2423</v>
      </c>
      <c r="F1043" s="254" t="s">
        <v>72</v>
      </c>
      <c r="G1043" s="81"/>
      <c r="H1043" s="16" t="s">
        <v>239</v>
      </c>
      <c r="I1043" s="16">
        <v>350</v>
      </c>
      <c r="J1043" s="81" t="s">
        <v>3248</v>
      </c>
      <c r="K1043" s="254"/>
      <c r="L1043" s="254"/>
      <c r="M1043" s="254"/>
      <c r="N1043" s="254"/>
      <c r="O1043" s="30" t="str">
        <f>HYPERLINK("http://www.jmu.edu/admissions/apply/scholarships-mas.shtml","http://www.jmu.edu/admissions/apply/scholarships-mas.shtml")</f>
        <v>http://www.jmu.edu/admissions/apply/scholarships-mas.shtml</v>
      </c>
      <c r="P1043" s="255" t="s">
        <v>3246</v>
      </c>
      <c r="Q1043" s="256">
        <v>0.73</v>
      </c>
      <c r="R1043" s="254" t="s">
        <v>1733</v>
      </c>
      <c r="S1043" s="254" t="s">
        <v>3247</v>
      </c>
      <c r="T1043" s="81"/>
      <c r="U1043" s="12" t="s">
        <v>81</v>
      </c>
      <c r="V1043" s="81"/>
      <c r="W1043" s="81"/>
      <c r="X1043" s="81"/>
      <c r="Y1043" s="81"/>
      <c r="Z1043" s="81"/>
      <c r="AA1043" s="12"/>
    </row>
    <row r="1044" spans="1:27" ht="280" x14ac:dyDescent="0.2">
      <c r="A1044" s="253" t="s">
        <v>3208</v>
      </c>
      <c r="B1044" s="254" t="s">
        <v>3243</v>
      </c>
      <c r="C1044" s="254" t="s">
        <v>59</v>
      </c>
      <c r="D1044" s="12"/>
      <c r="E1044" s="254" t="s">
        <v>3249</v>
      </c>
      <c r="F1044" s="254" t="s">
        <v>72</v>
      </c>
      <c r="G1044" s="81"/>
      <c r="H1044" s="16" t="s">
        <v>3250</v>
      </c>
      <c r="I1044" s="16" t="s">
        <v>74</v>
      </c>
      <c r="J1044" s="81" t="s">
        <v>3251</v>
      </c>
      <c r="K1044" s="257"/>
      <c r="L1044" s="257"/>
      <c r="M1044" s="254"/>
      <c r="N1044" s="258">
        <v>3.75</v>
      </c>
      <c r="O1044" s="30" t="str">
        <f>HYPERLINK("http://www.jmu.edu/admissions/apply/scholarships-stem.shtml","http://www.jmu.edu/admissions/apply/scholarships-stem.shtml")</f>
        <v>http://www.jmu.edu/admissions/apply/scholarships-stem.shtml</v>
      </c>
      <c r="P1044" s="255" t="s">
        <v>3246</v>
      </c>
      <c r="Q1044" s="256">
        <v>0.73</v>
      </c>
      <c r="R1044" s="254" t="s">
        <v>1733</v>
      </c>
      <c r="S1044" s="254" t="s">
        <v>3247</v>
      </c>
      <c r="T1044" s="81"/>
      <c r="U1044" s="12" t="s">
        <v>81</v>
      </c>
      <c r="V1044" s="81"/>
      <c r="W1044" s="81"/>
      <c r="X1044" s="81"/>
      <c r="Y1044" s="81"/>
      <c r="Z1044" s="81"/>
      <c r="AA1044" s="12"/>
    </row>
    <row r="1045" spans="1:27" ht="111" customHeight="1" x14ac:dyDescent="0.2">
      <c r="A1045" s="23" t="s">
        <v>3208</v>
      </c>
      <c r="B1045" s="14" t="s">
        <v>3252</v>
      </c>
      <c r="C1045" s="14" t="s">
        <v>101</v>
      </c>
      <c r="D1045" s="12"/>
      <c r="E1045" s="14" t="s">
        <v>60</v>
      </c>
      <c r="F1045" s="14" t="s">
        <v>61</v>
      </c>
      <c r="G1045" s="12"/>
      <c r="H1045" s="17" t="s">
        <v>62</v>
      </c>
      <c r="I1045" s="17" t="s">
        <v>63</v>
      </c>
      <c r="J1045" s="14" t="s">
        <v>3253</v>
      </c>
      <c r="K1045" s="24">
        <v>35</v>
      </c>
      <c r="L1045" s="24">
        <v>1560</v>
      </c>
      <c r="M1045" s="16" t="s">
        <v>76</v>
      </c>
      <c r="N1045" s="24">
        <v>3.8</v>
      </c>
      <c r="O1045" s="30" t="str">
        <f t="shared" ref="O1045:O1047" si="150">HYPERLINK("http://www.liberty.edu/financeadmin/financialaid/index.cfm?PID=298","http://www.liberty.edu/financeadmin/financialaid/index.cfm?PID=298")</f>
        <v>http://www.liberty.edu/financeadmin/financialaid/index.cfm?PID=298</v>
      </c>
      <c r="P1045" s="33">
        <v>23020</v>
      </c>
      <c r="Q1045" s="25">
        <v>0.21</v>
      </c>
      <c r="R1045" s="14" t="s">
        <v>973</v>
      </c>
      <c r="S1045" s="14" t="s">
        <v>3254</v>
      </c>
      <c r="T1045" s="12"/>
      <c r="U1045" s="12">
        <v>3.48</v>
      </c>
      <c r="V1045" s="12"/>
      <c r="W1045" s="12"/>
      <c r="X1045" s="12"/>
      <c r="Y1045" s="12"/>
      <c r="Z1045" s="12"/>
      <c r="AA1045" s="12"/>
    </row>
    <row r="1046" spans="1:27" ht="158.25" customHeight="1" x14ac:dyDescent="0.2">
      <c r="A1046" s="23" t="s">
        <v>3208</v>
      </c>
      <c r="B1046" s="14" t="s">
        <v>3252</v>
      </c>
      <c r="C1046" s="14" t="s">
        <v>101</v>
      </c>
      <c r="D1046" s="12"/>
      <c r="E1046" s="14" t="s">
        <v>3255</v>
      </c>
      <c r="F1046" s="14" t="s">
        <v>313</v>
      </c>
      <c r="G1046" s="12"/>
      <c r="H1046" s="17" t="s">
        <v>1978</v>
      </c>
      <c r="I1046" s="17" t="s">
        <v>63</v>
      </c>
      <c r="J1046" s="14" t="s">
        <v>3256</v>
      </c>
      <c r="K1046" s="12"/>
      <c r="L1046" s="12"/>
      <c r="M1046" s="12"/>
      <c r="N1046" s="12"/>
      <c r="O1046" s="30" t="str">
        <f t="shared" si="150"/>
        <v>http://www.liberty.edu/financeadmin/financialaid/index.cfm?PID=298</v>
      </c>
      <c r="P1046" s="33">
        <v>23020</v>
      </c>
      <c r="Q1046" s="25">
        <v>0.21</v>
      </c>
      <c r="R1046" s="14" t="s">
        <v>973</v>
      </c>
      <c r="S1046" s="14" t="s">
        <v>3254</v>
      </c>
      <c r="T1046" s="12"/>
      <c r="U1046" s="12">
        <v>3.48</v>
      </c>
      <c r="V1046" s="12"/>
      <c r="W1046" s="12"/>
      <c r="X1046" s="12"/>
      <c r="Y1046" s="12"/>
      <c r="Z1046" s="12"/>
      <c r="AA1046" s="12"/>
    </row>
    <row r="1047" spans="1:27" ht="142.5" customHeight="1" x14ac:dyDescent="0.2">
      <c r="A1047" s="23" t="s">
        <v>3208</v>
      </c>
      <c r="B1047" s="14" t="s">
        <v>3252</v>
      </c>
      <c r="C1047" s="14" t="s">
        <v>101</v>
      </c>
      <c r="D1047" s="12"/>
      <c r="E1047" s="16" t="s">
        <v>191</v>
      </c>
      <c r="F1047" s="14" t="s">
        <v>92</v>
      </c>
      <c r="G1047" s="12"/>
      <c r="H1047" s="17" t="s">
        <v>93</v>
      </c>
      <c r="I1047" s="17" t="s">
        <v>63</v>
      </c>
      <c r="J1047" s="16" t="s">
        <v>3257</v>
      </c>
      <c r="K1047" s="12"/>
      <c r="L1047" s="12"/>
      <c r="M1047" s="12"/>
      <c r="N1047" s="12"/>
      <c r="O1047" s="30" t="str">
        <f t="shared" si="150"/>
        <v>http://www.liberty.edu/financeadmin/financialaid/index.cfm?PID=298</v>
      </c>
      <c r="P1047" s="33">
        <v>23020</v>
      </c>
      <c r="Q1047" s="25">
        <v>0.21</v>
      </c>
      <c r="R1047" s="14" t="s">
        <v>973</v>
      </c>
      <c r="S1047" s="14" t="s">
        <v>3254</v>
      </c>
      <c r="T1047" s="12"/>
      <c r="U1047" s="12">
        <v>3.48</v>
      </c>
      <c r="V1047" s="12"/>
      <c r="W1047" s="12"/>
      <c r="X1047" s="12"/>
      <c r="Y1047" s="12"/>
      <c r="Z1047" s="12"/>
      <c r="AA1047" s="12"/>
    </row>
    <row r="1048" spans="1:27" ht="128" x14ac:dyDescent="0.2">
      <c r="A1048" s="23" t="s">
        <v>3208</v>
      </c>
      <c r="B1048" s="14" t="s">
        <v>3258</v>
      </c>
      <c r="C1048" s="14" t="s">
        <v>101</v>
      </c>
      <c r="D1048" s="12"/>
      <c r="E1048" s="14" t="s">
        <v>88</v>
      </c>
      <c r="F1048" s="16" t="s">
        <v>72</v>
      </c>
      <c r="G1048" s="12"/>
      <c r="H1048" s="191" t="s">
        <v>3259</v>
      </c>
      <c r="I1048" s="191" t="s">
        <v>74</v>
      </c>
      <c r="J1048" s="205" t="s">
        <v>3260</v>
      </c>
      <c r="K1048" s="12"/>
      <c r="L1048" s="12"/>
      <c r="M1048" s="12"/>
      <c r="N1048" s="12"/>
      <c r="O1048" s="30" t="str">
        <f t="shared" ref="O1048:O1050" si="151">HYPERLINK("http://www.rmc.edu/prospective-students/paying-for-college/scholarships-and-aid/freshmen#pres","http://www.rmc.edu/prospective-students/paying-for-college/scholarships-and-aid/freshmen#pres")</f>
        <v>http://www.rmc.edu/prospective-students/paying-for-college/scholarships-and-aid/freshmen#pres</v>
      </c>
      <c r="P1048" s="33">
        <v>38730</v>
      </c>
      <c r="Q1048" s="25">
        <v>0.6</v>
      </c>
      <c r="R1048" s="34" t="s">
        <v>142</v>
      </c>
      <c r="S1048" s="34" t="s">
        <v>3261</v>
      </c>
      <c r="T1048" s="12"/>
      <c r="U1048" s="12">
        <v>3.66</v>
      </c>
      <c r="V1048" s="12"/>
      <c r="W1048" s="12"/>
      <c r="X1048" s="12"/>
      <c r="Y1048" s="12"/>
      <c r="Z1048" s="12"/>
      <c r="AA1048" s="12"/>
    </row>
    <row r="1049" spans="1:27" ht="193" x14ac:dyDescent="0.2">
      <c r="A1049" s="23" t="s">
        <v>3208</v>
      </c>
      <c r="B1049" s="14" t="s">
        <v>3258</v>
      </c>
      <c r="C1049" s="14" t="s">
        <v>101</v>
      </c>
      <c r="D1049" s="12"/>
      <c r="E1049" s="14" t="s">
        <v>88</v>
      </c>
      <c r="F1049" s="14" t="s">
        <v>145</v>
      </c>
      <c r="G1049" s="12"/>
      <c r="H1049" s="191" t="s">
        <v>157</v>
      </c>
      <c r="I1049" s="191" t="s">
        <v>74</v>
      </c>
      <c r="J1049" s="259" t="s">
        <v>3262</v>
      </c>
      <c r="K1049" s="12"/>
      <c r="L1049" s="12"/>
      <c r="M1049" s="12"/>
      <c r="N1049" s="12"/>
      <c r="O1049" s="30" t="str">
        <f t="shared" si="151"/>
        <v>http://www.rmc.edu/prospective-students/paying-for-college/scholarships-and-aid/freshmen#pres</v>
      </c>
      <c r="P1049" s="33">
        <v>38730</v>
      </c>
      <c r="Q1049" s="25">
        <v>0.6</v>
      </c>
      <c r="R1049" s="34" t="s">
        <v>142</v>
      </c>
      <c r="S1049" s="34" t="s">
        <v>3261</v>
      </c>
      <c r="T1049" s="12"/>
      <c r="U1049" s="12">
        <v>3.66</v>
      </c>
      <c r="V1049" s="12"/>
      <c r="W1049" s="12"/>
      <c r="X1049" s="12"/>
      <c r="Y1049" s="12"/>
      <c r="Z1049" s="12"/>
      <c r="AA1049" s="12"/>
    </row>
    <row r="1050" spans="1:27" ht="193" x14ac:dyDescent="0.2">
      <c r="A1050" s="23" t="s">
        <v>3208</v>
      </c>
      <c r="B1050" s="14" t="s">
        <v>3258</v>
      </c>
      <c r="C1050" s="14" t="s">
        <v>101</v>
      </c>
      <c r="D1050" s="12"/>
      <c r="E1050" s="14" t="s">
        <v>885</v>
      </c>
      <c r="F1050" s="14" t="s">
        <v>72</v>
      </c>
      <c r="G1050" s="12"/>
      <c r="H1050" s="191" t="s">
        <v>3263</v>
      </c>
      <c r="I1050" s="191" t="s">
        <v>74</v>
      </c>
      <c r="J1050" s="260" t="s">
        <v>3264</v>
      </c>
      <c r="K1050" s="12"/>
      <c r="L1050" s="12"/>
      <c r="M1050" s="12"/>
      <c r="N1050" s="12"/>
      <c r="O1050" s="30" t="str">
        <f t="shared" si="151"/>
        <v>http://www.rmc.edu/prospective-students/paying-for-college/scholarships-and-aid/freshmen#pres</v>
      </c>
      <c r="P1050" s="33">
        <v>38730</v>
      </c>
      <c r="Q1050" s="25">
        <v>0.6</v>
      </c>
      <c r="R1050" s="34" t="s">
        <v>142</v>
      </c>
      <c r="S1050" s="34" t="s">
        <v>3261</v>
      </c>
      <c r="T1050" s="12"/>
      <c r="U1050" s="12">
        <v>3.66</v>
      </c>
      <c r="V1050" s="12"/>
      <c r="W1050" s="12"/>
      <c r="X1050" s="12"/>
      <c r="Y1050" s="12"/>
      <c r="Z1050" s="12"/>
      <c r="AA1050" s="12"/>
    </row>
    <row r="1051" spans="1:27" ht="221.25" customHeight="1" x14ac:dyDescent="0.2">
      <c r="A1051" s="20" t="s">
        <v>3208</v>
      </c>
      <c r="B1051" s="20" t="s">
        <v>3265</v>
      </c>
      <c r="C1051" s="261" t="s">
        <v>101</v>
      </c>
      <c r="D1051" s="20"/>
      <c r="E1051" s="20" t="s">
        <v>789</v>
      </c>
      <c r="F1051" s="142" t="s">
        <v>72</v>
      </c>
      <c r="G1051" s="12"/>
      <c r="H1051" s="191" t="s">
        <v>3266</v>
      </c>
      <c r="I1051" s="191" t="s">
        <v>74</v>
      </c>
      <c r="J1051" s="131" t="s">
        <v>3267</v>
      </c>
      <c r="K1051" s="20"/>
      <c r="L1051" s="20"/>
      <c r="M1051" s="20"/>
      <c r="N1051" s="20"/>
      <c r="O1051" s="133" t="s">
        <v>3268</v>
      </c>
      <c r="P1051" s="134">
        <v>16700</v>
      </c>
      <c r="Q1051" s="21">
        <v>0.86</v>
      </c>
      <c r="R1051" s="20" t="s">
        <v>2947</v>
      </c>
      <c r="S1051" s="135" t="s">
        <v>3269</v>
      </c>
      <c r="T1051" s="12"/>
      <c r="U1051" s="12"/>
      <c r="V1051" s="12"/>
      <c r="W1051" s="12"/>
      <c r="X1051" s="12"/>
      <c r="Y1051" s="12"/>
      <c r="Z1051" s="12"/>
      <c r="AA1051" s="12"/>
    </row>
    <row r="1052" spans="1:27" ht="221.25" customHeight="1" x14ac:dyDescent="0.2">
      <c r="A1052" s="20" t="s">
        <v>3208</v>
      </c>
      <c r="B1052" s="20" t="s">
        <v>3265</v>
      </c>
      <c r="C1052" s="261" t="s">
        <v>101</v>
      </c>
      <c r="D1052" s="20"/>
      <c r="E1052" s="20" t="s">
        <v>789</v>
      </c>
      <c r="F1052" s="142" t="s">
        <v>72</v>
      </c>
      <c r="G1052" s="12"/>
      <c r="H1052" s="191" t="s">
        <v>3270</v>
      </c>
      <c r="I1052" s="191" t="s">
        <v>74</v>
      </c>
      <c r="J1052" s="262" t="s">
        <v>3271</v>
      </c>
      <c r="K1052" s="193"/>
      <c r="L1052" s="193"/>
      <c r="M1052" s="193"/>
      <c r="N1052" s="193"/>
      <c r="O1052" s="133" t="s">
        <v>3268</v>
      </c>
      <c r="P1052" s="134">
        <v>16700</v>
      </c>
      <c r="Q1052" s="21">
        <v>0.86</v>
      </c>
      <c r="R1052" s="20" t="s">
        <v>3272</v>
      </c>
      <c r="S1052" s="135" t="s">
        <v>3269</v>
      </c>
      <c r="T1052" s="12"/>
      <c r="U1052" s="12"/>
      <c r="V1052" s="12"/>
      <c r="W1052" s="12"/>
      <c r="X1052" s="12"/>
      <c r="Y1052" s="12"/>
      <c r="Z1052" s="12"/>
      <c r="AA1052" s="12"/>
    </row>
    <row r="1053" spans="1:27" ht="221.25" customHeight="1" x14ac:dyDescent="0.2">
      <c r="A1053" s="83" t="s">
        <v>3208</v>
      </c>
      <c r="B1053" s="205" t="s">
        <v>3265</v>
      </c>
      <c r="C1053" s="205" t="s">
        <v>101</v>
      </c>
      <c r="D1053" s="193"/>
      <c r="E1053" s="205" t="s">
        <v>3273</v>
      </c>
      <c r="F1053" s="205" t="s">
        <v>72</v>
      </c>
      <c r="G1053" s="12"/>
      <c r="H1053" s="191"/>
      <c r="I1053" s="191" t="s">
        <v>74</v>
      </c>
      <c r="J1053" s="263" t="s">
        <v>3274</v>
      </c>
      <c r="K1053" s="193"/>
      <c r="L1053" s="193"/>
      <c r="M1053" s="193"/>
      <c r="N1053" s="193"/>
      <c r="O1053" s="264" t="s">
        <v>3275</v>
      </c>
      <c r="P1053" s="134">
        <v>16700</v>
      </c>
      <c r="Q1053" s="21">
        <v>0.86</v>
      </c>
      <c r="R1053" s="20" t="s">
        <v>3276</v>
      </c>
      <c r="S1053" s="135" t="s">
        <v>3269</v>
      </c>
      <c r="T1053" s="12"/>
      <c r="U1053" s="12"/>
      <c r="V1053" s="12"/>
      <c r="W1053" s="12"/>
      <c r="X1053" s="12"/>
      <c r="Y1053" s="12"/>
      <c r="Z1053" s="12"/>
      <c r="AA1053" s="12"/>
    </row>
    <row r="1054" spans="1:27" ht="221.25" customHeight="1" x14ac:dyDescent="0.2">
      <c r="A1054" s="83" t="s">
        <v>3208</v>
      </c>
      <c r="B1054" s="205" t="s">
        <v>3265</v>
      </c>
      <c r="C1054" s="205" t="s">
        <v>101</v>
      </c>
      <c r="D1054" s="193"/>
      <c r="E1054" s="205" t="s">
        <v>60</v>
      </c>
      <c r="F1054" s="205" t="s">
        <v>92</v>
      </c>
      <c r="G1054" s="12"/>
      <c r="H1054" s="191" t="s">
        <v>93</v>
      </c>
      <c r="I1054" s="191" t="s">
        <v>63</v>
      </c>
      <c r="J1054" s="205" t="s">
        <v>3277</v>
      </c>
      <c r="K1054" s="193"/>
      <c r="L1054" s="193"/>
      <c r="M1054" s="193"/>
      <c r="N1054" s="193"/>
      <c r="O1054" s="264" t="s">
        <v>3275</v>
      </c>
      <c r="P1054" s="134">
        <v>16700</v>
      </c>
      <c r="Q1054" s="21">
        <v>0.86</v>
      </c>
      <c r="R1054" s="20" t="s">
        <v>3278</v>
      </c>
      <c r="S1054" s="135" t="s">
        <v>3269</v>
      </c>
      <c r="T1054" s="12"/>
      <c r="U1054" s="12"/>
      <c r="V1054" s="12"/>
      <c r="W1054" s="12"/>
      <c r="X1054" s="12"/>
      <c r="Y1054" s="12"/>
      <c r="Z1054" s="12"/>
      <c r="AA1054" s="12"/>
    </row>
    <row r="1055" spans="1:27" ht="221.25" customHeight="1" x14ac:dyDescent="0.2">
      <c r="A1055" s="23" t="s">
        <v>3208</v>
      </c>
      <c r="B1055" s="14" t="s">
        <v>3279</v>
      </c>
      <c r="C1055" s="14" t="s">
        <v>101</v>
      </c>
      <c r="D1055" s="12"/>
      <c r="E1055" s="14" t="s">
        <v>177</v>
      </c>
      <c r="F1055" s="14" t="s">
        <v>72</v>
      </c>
      <c r="G1055" s="12"/>
      <c r="H1055" s="191" t="s">
        <v>239</v>
      </c>
      <c r="I1055" s="191" t="s">
        <v>3280</v>
      </c>
      <c r="J1055" s="86" t="s">
        <v>3281</v>
      </c>
      <c r="K1055" s="12"/>
      <c r="L1055" s="12"/>
      <c r="M1055" s="12"/>
      <c r="N1055" s="12"/>
      <c r="O1055" s="30" t="str">
        <f>HYPERLINK("http://www.roanoke.edu/admissions/apply_for_special_programs/scholarship_competition/scholarship_competition_awards","http://www.roanoke.edu/admissions/apply_for_special_programs/scholarship_competition/scholarship_competition_awards")</f>
        <v>http://www.roanoke.edu/admissions/apply_for_special_programs/scholarship_competition/scholarship_competition_awards</v>
      </c>
      <c r="P1055" s="33">
        <v>41304</v>
      </c>
      <c r="Q1055" s="25">
        <v>0.72</v>
      </c>
      <c r="R1055" s="34" t="s">
        <v>182</v>
      </c>
      <c r="S1055" s="34" t="s">
        <v>3282</v>
      </c>
      <c r="T1055" s="12"/>
      <c r="U1055" s="12" t="s">
        <v>3283</v>
      </c>
      <c r="V1055" s="12"/>
      <c r="W1055" s="12"/>
      <c r="X1055" s="12"/>
      <c r="Y1055" s="12"/>
      <c r="Z1055" s="12"/>
      <c r="AA1055" s="12"/>
    </row>
    <row r="1056" spans="1:27" ht="126.75" customHeight="1" x14ac:dyDescent="0.2">
      <c r="A1056" s="23" t="s">
        <v>3208</v>
      </c>
      <c r="B1056" s="14" t="s">
        <v>3284</v>
      </c>
      <c r="C1056" s="14" t="s">
        <v>101</v>
      </c>
      <c r="D1056" s="12"/>
      <c r="E1056" s="14" t="s">
        <v>789</v>
      </c>
      <c r="F1056" s="14" t="s">
        <v>145</v>
      </c>
      <c r="G1056" s="12"/>
      <c r="H1056" s="17" t="s">
        <v>157</v>
      </c>
      <c r="I1056" s="17" t="s">
        <v>74</v>
      </c>
      <c r="J1056" s="14" t="s">
        <v>3285</v>
      </c>
      <c r="K1056" s="12"/>
      <c r="L1056" s="12"/>
      <c r="M1056" s="12"/>
      <c r="N1056" s="12"/>
      <c r="O1056" s="30" t="str">
        <f t="shared" ref="O1056:O1057" si="152">HYPERLINK("http://financialaid.richmond.edu/prospective/merit-based/scholarships.html","http://financialaid.richmond.edu/prospective/merit-based/scholarships.html")</f>
        <v>http://financialaid.richmond.edu/prospective/merit-based/scholarships.html</v>
      </c>
      <c r="P1056" s="33">
        <v>49420</v>
      </c>
      <c r="Q1056" s="25">
        <v>0.31</v>
      </c>
      <c r="R1056" s="34" t="s">
        <v>1357</v>
      </c>
      <c r="S1056" s="34" t="s">
        <v>3286</v>
      </c>
      <c r="T1056" s="12"/>
      <c r="U1056" s="12" t="s">
        <v>81</v>
      </c>
      <c r="V1056" s="12"/>
      <c r="W1056" s="12"/>
      <c r="X1056" s="12"/>
      <c r="Y1056" s="12"/>
      <c r="Z1056" s="12"/>
      <c r="AA1056" s="12"/>
    </row>
    <row r="1057" spans="1:27" ht="181" x14ac:dyDescent="0.2">
      <c r="A1057" s="23" t="s">
        <v>3208</v>
      </c>
      <c r="B1057" s="14" t="s">
        <v>3284</v>
      </c>
      <c r="C1057" s="14" t="s">
        <v>101</v>
      </c>
      <c r="D1057" s="12"/>
      <c r="E1057" s="14" t="s">
        <v>2700</v>
      </c>
      <c r="F1057" s="14" t="s">
        <v>72</v>
      </c>
      <c r="G1057" s="12"/>
      <c r="H1057" s="17" t="s">
        <v>3287</v>
      </c>
      <c r="I1057" s="17" t="s">
        <v>74</v>
      </c>
      <c r="J1057" s="56" t="s">
        <v>3288</v>
      </c>
      <c r="K1057" s="12"/>
      <c r="L1057" s="12"/>
      <c r="M1057" s="12"/>
      <c r="N1057" s="12"/>
      <c r="O1057" s="30" t="str">
        <f t="shared" si="152"/>
        <v>http://financialaid.richmond.edu/prospective/merit-based/scholarships.html</v>
      </c>
      <c r="P1057" s="33">
        <v>49420</v>
      </c>
      <c r="Q1057" s="25">
        <v>0.31</v>
      </c>
      <c r="R1057" s="34" t="s">
        <v>1357</v>
      </c>
      <c r="S1057" s="34" t="s">
        <v>3286</v>
      </c>
      <c r="T1057" s="12"/>
      <c r="U1057" s="12" t="s">
        <v>81</v>
      </c>
      <c r="V1057" s="12"/>
      <c r="W1057" s="12"/>
      <c r="X1057" s="12"/>
      <c r="Y1057" s="12"/>
      <c r="Z1057" s="12"/>
      <c r="AA1057" s="12"/>
    </row>
    <row r="1058" spans="1:27" ht="260.25" customHeight="1" x14ac:dyDescent="0.2">
      <c r="A1058" s="11" t="s">
        <v>3208</v>
      </c>
      <c r="B1058" s="12" t="s">
        <v>3289</v>
      </c>
      <c r="C1058" s="26" t="s">
        <v>59</v>
      </c>
      <c r="D1058" s="26"/>
      <c r="E1058" s="12" t="s">
        <v>82</v>
      </c>
      <c r="F1058" s="12" t="s">
        <v>72</v>
      </c>
      <c r="G1058" s="12"/>
      <c r="H1058" s="17" t="s">
        <v>3290</v>
      </c>
      <c r="I1058" s="17" t="s">
        <v>74</v>
      </c>
      <c r="J1058" s="32" t="s">
        <v>3291</v>
      </c>
      <c r="K1058" s="12"/>
      <c r="L1058" s="12"/>
      <c r="M1058" s="12"/>
      <c r="N1058" s="12"/>
      <c r="O1058" s="30" t="str">
        <f>HYPERLINK("http://www.jeffersonscholars.org/scholarship","http://www.jeffersonscholars.org/scholarship")</f>
        <v>http://www.jeffersonscholars.org/scholarship</v>
      </c>
      <c r="P1058" s="26" t="s">
        <v>3292</v>
      </c>
      <c r="Q1058" s="31">
        <v>0.3</v>
      </c>
      <c r="R1058" s="26" t="s">
        <v>398</v>
      </c>
      <c r="S1058" s="26" t="s">
        <v>3293</v>
      </c>
      <c r="T1058" s="12"/>
      <c r="U1058" s="12" t="s">
        <v>3294</v>
      </c>
      <c r="V1058" s="12"/>
      <c r="W1058" s="12"/>
      <c r="X1058" s="12"/>
      <c r="Y1058" s="12"/>
      <c r="Z1058" s="12"/>
      <c r="AA1058" s="12"/>
    </row>
    <row r="1059" spans="1:27" ht="111" customHeight="1" x14ac:dyDescent="0.2">
      <c r="A1059" s="23" t="s">
        <v>3208</v>
      </c>
      <c r="B1059" s="14" t="s">
        <v>3295</v>
      </c>
      <c r="C1059" s="14" t="s">
        <v>59</v>
      </c>
      <c r="D1059" s="12"/>
      <c r="E1059" s="16" t="s">
        <v>985</v>
      </c>
      <c r="F1059" s="16" t="s">
        <v>72</v>
      </c>
      <c r="G1059" s="12"/>
      <c r="H1059" s="17" t="s">
        <v>239</v>
      </c>
      <c r="I1059" s="17" t="s">
        <v>74</v>
      </c>
      <c r="J1059" s="16" t="s">
        <v>1351</v>
      </c>
      <c r="K1059" s="12"/>
      <c r="L1059" s="12"/>
      <c r="M1059" s="12"/>
      <c r="N1059" s="12"/>
      <c r="O1059" s="30" t="str">
        <f t="shared" ref="O1059:O1062" si="153">HYPERLINK("https://www.ugrad.vcu.edu/apply/scholarships.html","https://www.ugrad.vcu.edu/apply/scholarships.html")</f>
        <v>https://www.ugrad.vcu.edu/apply/scholarships.html</v>
      </c>
      <c r="P1059" s="14" t="s">
        <v>3296</v>
      </c>
      <c r="Q1059" s="25">
        <v>0.72</v>
      </c>
      <c r="R1059" s="14" t="s">
        <v>182</v>
      </c>
      <c r="S1059" s="14" t="s">
        <v>3297</v>
      </c>
      <c r="T1059" s="12"/>
      <c r="U1059" s="12">
        <v>3.64</v>
      </c>
      <c r="V1059" s="12"/>
      <c r="W1059" s="12"/>
      <c r="X1059" s="12"/>
      <c r="Y1059" s="12"/>
      <c r="Z1059" s="12"/>
      <c r="AA1059" s="12"/>
    </row>
    <row r="1060" spans="1:27" ht="111" customHeight="1" x14ac:dyDescent="0.2">
      <c r="A1060" s="23" t="s">
        <v>3208</v>
      </c>
      <c r="B1060" s="14" t="s">
        <v>3295</v>
      </c>
      <c r="C1060" s="14" t="s">
        <v>59</v>
      </c>
      <c r="D1060" s="12"/>
      <c r="E1060" s="16" t="s">
        <v>1007</v>
      </c>
      <c r="F1060" s="16" t="s">
        <v>72</v>
      </c>
      <c r="G1060" s="12"/>
      <c r="H1060" s="17" t="s">
        <v>239</v>
      </c>
      <c r="I1060" s="17" t="s">
        <v>74</v>
      </c>
      <c r="J1060" s="16" t="s">
        <v>3298</v>
      </c>
      <c r="K1060" s="12"/>
      <c r="L1060" s="12"/>
      <c r="M1060" s="12"/>
      <c r="N1060" s="12"/>
      <c r="O1060" s="30" t="str">
        <f t="shared" si="153"/>
        <v>https://www.ugrad.vcu.edu/apply/scholarships.html</v>
      </c>
      <c r="P1060" s="14" t="s">
        <v>3296</v>
      </c>
      <c r="Q1060" s="25">
        <v>0.72</v>
      </c>
      <c r="R1060" s="14" t="s">
        <v>182</v>
      </c>
      <c r="S1060" s="14" t="s">
        <v>3297</v>
      </c>
      <c r="T1060" s="12"/>
      <c r="U1060" s="12">
        <v>3.64</v>
      </c>
      <c r="V1060" s="12"/>
      <c r="W1060" s="12"/>
      <c r="X1060" s="12"/>
      <c r="Y1060" s="12"/>
      <c r="Z1060" s="12"/>
      <c r="AA1060" s="12"/>
    </row>
    <row r="1061" spans="1:27" ht="111" customHeight="1" x14ac:dyDescent="0.2">
      <c r="A1061" s="23" t="s">
        <v>3208</v>
      </c>
      <c r="B1061" s="14" t="s">
        <v>3295</v>
      </c>
      <c r="C1061" s="14" t="s">
        <v>59</v>
      </c>
      <c r="D1061" s="12"/>
      <c r="E1061" s="16" t="s">
        <v>1007</v>
      </c>
      <c r="F1061" s="14" t="s">
        <v>72</v>
      </c>
      <c r="G1061" s="12"/>
      <c r="H1061" s="17" t="s">
        <v>239</v>
      </c>
      <c r="I1061" s="17" t="s">
        <v>74</v>
      </c>
      <c r="J1061" s="16" t="s">
        <v>3299</v>
      </c>
      <c r="K1061" s="12"/>
      <c r="L1061" s="12"/>
      <c r="M1061" s="12"/>
      <c r="N1061" s="12"/>
      <c r="O1061" s="30" t="str">
        <f t="shared" si="153"/>
        <v>https://www.ugrad.vcu.edu/apply/scholarships.html</v>
      </c>
      <c r="P1061" s="14" t="s">
        <v>3296</v>
      </c>
      <c r="Q1061" s="25">
        <v>0.72</v>
      </c>
      <c r="R1061" s="14" t="s">
        <v>182</v>
      </c>
      <c r="S1061" s="14" t="s">
        <v>3297</v>
      </c>
      <c r="T1061" s="12"/>
      <c r="U1061" s="12">
        <v>3.64</v>
      </c>
      <c r="V1061" s="12"/>
      <c r="W1061" s="12"/>
      <c r="X1061" s="12"/>
      <c r="Y1061" s="12"/>
      <c r="Z1061" s="12"/>
      <c r="AA1061" s="12"/>
    </row>
    <row r="1062" spans="1:27" ht="111" customHeight="1" x14ac:dyDescent="0.2">
      <c r="A1062" s="23" t="s">
        <v>3208</v>
      </c>
      <c r="B1062" s="14" t="s">
        <v>3295</v>
      </c>
      <c r="C1062" s="14" t="s">
        <v>59</v>
      </c>
      <c r="D1062" s="12"/>
      <c r="E1062" s="14" t="s">
        <v>82</v>
      </c>
      <c r="F1062" s="14" t="s">
        <v>72</v>
      </c>
      <c r="G1062" s="12"/>
      <c r="H1062" s="17" t="s">
        <v>239</v>
      </c>
      <c r="I1062" s="17" t="s">
        <v>3300</v>
      </c>
      <c r="J1062" s="14" t="s">
        <v>3301</v>
      </c>
      <c r="K1062" s="12"/>
      <c r="L1062" s="12"/>
      <c r="M1062" s="12"/>
      <c r="N1062" s="12"/>
      <c r="O1062" s="30" t="str">
        <f t="shared" si="153"/>
        <v>https://www.ugrad.vcu.edu/apply/scholarships.html</v>
      </c>
      <c r="P1062" s="14" t="s">
        <v>3296</v>
      </c>
      <c r="Q1062" s="25">
        <v>0.72</v>
      </c>
      <c r="R1062" s="14" t="s">
        <v>182</v>
      </c>
      <c r="S1062" s="14" t="s">
        <v>3297</v>
      </c>
      <c r="T1062" s="12"/>
      <c r="U1062" s="12">
        <v>3.64</v>
      </c>
      <c r="V1062" s="12"/>
      <c r="W1062" s="12"/>
      <c r="X1062" s="12"/>
      <c r="Y1062" s="12"/>
      <c r="Z1062" s="12"/>
      <c r="AA1062" s="12"/>
    </row>
    <row r="1063" spans="1:27" ht="193" x14ac:dyDescent="0.2">
      <c r="A1063" s="23" t="s">
        <v>3208</v>
      </c>
      <c r="B1063" s="14" t="s">
        <v>3302</v>
      </c>
      <c r="C1063" s="14" t="s">
        <v>59</v>
      </c>
      <c r="D1063" s="12"/>
      <c r="E1063" s="14" t="s">
        <v>3303</v>
      </c>
      <c r="F1063" s="14" t="s">
        <v>72</v>
      </c>
      <c r="G1063" s="12"/>
      <c r="H1063" s="17" t="s">
        <v>326</v>
      </c>
      <c r="I1063" s="17" t="s">
        <v>74</v>
      </c>
      <c r="J1063" s="122" t="s">
        <v>3304</v>
      </c>
      <c r="K1063" s="24">
        <v>31</v>
      </c>
      <c r="L1063" s="24">
        <v>1350</v>
      </c>
      <c r="M1063" s="16" t="s">
        <v>76</v>
      </c>
      <c r="N1063" s="24">
        <v>3.7</v>
      </c>
      <c r="O1063" s="30" t="str">
        <f>HYPERLINK("http://www.vmi.edu/academics/scholarships/","http://www.vmi.edu/academics/scholarships/")</f>
        <v>http://www.vmi.edu/academics/scholarships/</v>
      </c>
      <c r="P1063" s="14" t="s">
        <v>3305</v>
      </c>
      <c r="Q1063" s="25">
        <v>0.53</v>
      </c>
      <c r="R1063" s="34" t="s">
        <v>1733</v>
      </c>
      <c r="S1063" s="34" t="s">
        <v>3306</v>
      </c>
      <c r="T1063" s="12"/>
      <c r="U1063" s="12">
        <v>3.63</v>
      </c>
      <c r="V1063" s="12"/>
      <c r="W1063" s="12"/>
      <c r="X1063" s="12"/>
      <c r="Y1063" s="12"/>
      <c r="Z1063" s="12"/>
      <c r="AA1063" s="12"/>
    </row>
    <row r="1064" spans="1:27" ht="142.5" customHeight="1" x14ac:dyDescent="0.2">
      <c r="A1064" s="23" t="s">
        <v>3208</v>
      </c>
      <c r="B1064" s="14" t="s">
        <v>3307</v>
      </c>
      <c r="C1064" s="14" t="s">
        <v>59</v>
      </c>
      <c r="D1064" s="12"/>
      <c r="E1064" s="16" t="s">
        <v>88</v>
      </c>
      <c r="F1064" s="16" t="s">
        <v>145</v>
      </c>
      <c r="G1064" s="12"/>
      <c r="H1064" s="17" t="s">
        <v>157</v>
      </c>
      <c r="I1064" s="17" t="s">
        <v>74</v>
      </c>
      <c r="J1064" s="16" t="s">
        <v>3308</v>
      </c>
      <c r="K1064" s="12"/>
      <c r="L1064" s="12"/>
      <c r="M1064" s="12"/>
      <c r="N1064" s="12"/>
      <c r="O1064" s="19" t="s">
        <v>3309</v>
      </c>
      <c r="P1064" s="14" t="s">
        <v>3310</v>
      </c>
      <c r="Q1064" s="25">
        <v>0.73</v>
      </c>
      <c r="R1064" s="14" t="s">
        <v>109</v>
      </c>
      <c r="S1064" s="14" t="s">
        <v>3311</v>
      </c>
      <c r="T1064" s="12"/>
      <c r="U1064" s="12" t="s">
        <v>81</v>
      </c>
      <c r="V1064" s="12"/>
      <c r="W1064" s="12"/>
      <c r="X1064" s="12"/>
      <c r="Y1064" s="12"/>
      <c r="Z1064" s="12"/>
      <c r="AA1064" s="12"/>
    </row>
    <row r="1065" spans="1:27" ht="142.5" customHeight="1" x14ac:dyDescent="0.2">
      <c r="A1065" s="23" t="s">
        <v>3208</v>
      </c>
      <c r="B1065" s="14" t="s">
        <v>3307</v>
      </c>
      <c r="C1065" s="14" t="s">
        <v>59</v>
      </c>
      <c r="D1065" s="12"/>
      <c r="E1065" s="14" t="s">
        <v>191</v>
      </c>
      <c r="F1065" s="14" t="s">
        <v>72</v>
      </c>
      <c r="G1065" s="12"/>
      <c r="H1065" s="17" t="s">
        <v>3312</v>
      </c>
      <c r="I1065" s="17" t="s">
        <v>74</v>
      </c>
      <c r="J1065" s="14" t="s">
        <v>3313</v>
      </c>
      <c r="K1065" s="12"/>
      <c r="L1065" s="12"/>
      <c r="M1065" s="12"/>
      <c r="N1065" s="12"/>
      <c r="O1065" s="30" t="str">
        <f t="shared" ref="O1065:O1068" si="154">HYPERLINK("http://www.honorscollege.vt.edu/recruitment.html","http://www.honorscollege.vt.edu/recruitment.html")</f>
        <v>http://www.honorscollege.vt.edu/recruitment.html</v>
      </c>
      <c r="P1065" s="14" t="s">
        <v>3310</v>
      </c>
      <c r="Q1065" s="25">
        <v>0.73</v>
      </c>
      <c r="R1065" s="14" t="s">
        <v>109</v>
      </c>
      <c r="S1065" s="14" t="s">
        <v>3311</v>
      </c>
      <c r="T1065" s="12"/>
      <c r="U1065" s="12" t="s">
        <v>81</v>
      </c>
      <c r="V1065" s="12"/>
      <c r="W1065" s="12"/>
      <c r="X1065" s="12"/>
      <c r="Y1065" s="12"/>
      <c r="Z1065" s="12"/>
      <c r="AA1065" s="12"/>
    </row>
    <row r="1066" spans="1:27" ht="142.5" customHeight="1" x14ac:dyDescent="0.2">
      <c r="A1066" s="23" t="s">
        <v>3208</v>
      </c>
      <c r="B1066" s="14" t="s">
        <v>3307</v>
      </c>
      <c r="C1066" s="14" t="s">
        <v>59</v>
      </c>
      <c r="D1066" s="12"/>
      <c r="E1066" s="14" t="s">
        <v>191</v>
      </c>
      <c r="F1066" s="14" t="s">
        <v>72</v>
      </c>
      <c r="G1066" s="12"/>
      <c r="H1066" s="17" t="s">
        <v>3314</v>
      </c>
      <c r="I1066" s="17" t="s">
        <v>74</v>
      </c>
      <c r="J1066" s="14" t="s">
        <v>3315</v>
      </c>
      <c r="K1066" s="12"/>
      <c r="L1066" s="12"/>
      <c r="M1066" s="12"/>
      <c r="N1066" s="12"/>
      <c r="O1066" s="30" t="str">
        <f t="shared" si="154"/>
        <v>http://www.honorscollege.vt.edu/recruitment.html</v>
      </c>
      <c r="P1066" s="14" t="s">
        <v>3310</v>
      </c>
      <c r="Q1066" s="25">
        <v>0.73</v>
      </c>
      <c r="R1066" s="14" t="s">
        <v>109</v>
      </c>
      <c r="S1066" s="14" t="s">
        <v>3311</v>
      </c>
      <c r="T1066" s="12"/>
      <c r="U1066" s="12" t="s">
        <v>81</v>
      </c>
      <c r="V1066" s="12"/>
      <c r="W1066" s="12"/>
      <c r="X1066" s="12"/>
      <c r="Y1066" s="12"/>
      <c r="Z1066" s="12"/>
      <c r="AA1066" s="12"/>
    </row>
    <row r="1067" spans="1:27" ht="111" customHeight="1" x14ac:dyDescent="0.2">
      <c r="A1067" s="23" t="s">
        <v>3208</v>
      </c>
      <c r="B1067" s="14" t="s">
        <v>3307</v>
      </c>
      <c r="C1067" s="14" t="s">
        <v>59</v>
      </c>
      <c r="D1067" s="12"/>
      <c r="E1067" s="14" t="s">
        <v>191</v>
      </c>
      <c r="F1067" s="14" t="s">
        <v>72</v>
      </c>
      <c r="G1067" s="12"/>
      <c r="H1067" s="17" t="s">
        <v>239</v>
      </c>
      <c r="I1067" s="17" t="s">
        <v>74</v>
      </c>
      <c r="J1067" s="14" t="s">
        <v>3316</v>
      </c>
      <c r="K1067" s="12"/>
      <c r="L1067" s="12"/>
      <c r="M1067" s="12"/>
      <c r="N1067" s="12"/>
      <c r="O1067" s="30" t="str">
        <f t="shared" si="154"/>
        <v>http://www.honorscollege.vt.edu/recruitment.html</v>
      </c>
      <c r="P1067" s="14" t="s">
        <v>3310</v>
      </c>
      <c r="Q1067" s="25">
        <v>0.73</v>
      </c>
      <c r="R1067" s="14" t="s">
        <v>109</v>
      </c>
      <c r="S1067" s="14" t="s">
        <v>3311</v>
      </c>
      <c r="T1067" s="12"/>
      <c r="U1067" s="12" t="s">
        <v>81</v>
      </c>
      <c r="V1067" s="12"/>
      <c r="W1067" s="12"/>
      <c r="X1067" s="12"/>
      <c r="Y1067" s="12"/>
      <c r="Z1067" s="12"/>
      <c r="AA1067" s="12"/>
    </row>
    <row r="1068" spans="1:27" ht="174" customHeight="1" x14ac:dyDescent="0.2">
      <c r="A1068" s="23" t="s">
        <v>3208</v>
      </c>
      <c r="B1068" s="14" t="s">
        <v>3307</v>
      </c>
      <c r="C1068" s="14" t="s">
        <v>59</v>
      </c>
      <c r="D1068" s="12"/>
      <c r="E1068" s="14" t="s">
        <v>990</v>
      </c>
      <c r="F1068" s="14" t="s">
        <v>72</v>
      </c>
      <c r="G1068" s="12"/>
      <c r="H1068" s="17" t="s">
        <v>1453</v>
      </c>
      <c r="I1068" s="17" t="s">
        <v>74</v>
      </c>
      <c r="J1068" s="14" t="s">
        <v>3317</v>
      </c>
      <c r="K1068" s="12"/>
      <c r="L1068" s="12"/>
      <c r="M1068" s="12"/>
      <c r="N1068" s="12"/>
      <c r="O1068" s="30" t="str">
        <f t="shared" si="154"/>
        <v>http://www.honorscollege.vt.edu/recruitment.html</v>
      </c>
      <c r="P1068" s="14" t="s">
        <v>3310</v>
      </c>
      <c r="Q1068" s="25">
        <v>0.73</v>
      </c>
      <c r="R1068" s="14" t="s">
        <v>109</v>
      </c>
      <c r="S1068" s="14" t="s">
        <v>3311</v>
      </c>
      <c r="T1068" s="12"/>
      <c r="U1068" s="12" t="s">
        <v>81</v>
      </c>
      <c r="V1068" s="12"/>
      <c r="W1068" s="12"/>
      <c r="X1068" s="12"/>
      <c r="Y1068" s="12"/>
      <c r="Z1068" s="12"/>
      <c r="AA1068" s="12"/>
    </row>
    <row r="1069" spans="1:27" ht="282" customHeight="1" x14ac:dyDescent="0.2">
      <c r="A1069" s="23" t="s">
        <v>3208</v>
      </c>
      <c r="B1069" s="14" t="s">
        <v>3318</v>
      </c>
      <c r="C1069" s="14" t="s">
        <v>101</v>
      </c>
      <c r="D1069" s="12"/>
      <c r="E1069" s="14" t="s">
        <v>990</v>
      </c>
      <c r="F1069" s="14" t="s">
        <v>72</v>
      </c>
      <c r="G1069" s="12"/>
      <c r="H1069" s="17" t="s">
        <v>239</v>
      </c>
      <c r="I1069" s="17" t="s">
        <v>3319</v>
      </c>
      <c r="J1069" s="81" t="s">
        <v>3320</v>
      </c>
      <c r="K1069" s="12"/>
      <c r="L1069" s="12"/>
      <c r="M1069" s="12"/>
      <c r="N1069" s="12"/>
      <c r="O1069" s="30" t="str">
        <f>HYPERLINK("http://www.wlu.edu/johnson-program/the-johnson-scholarship","http://www.wlu.edu/johnson-program/the-johnson-scholarship")</f>
        <v>http://www.wlu.edu/johnson-program/the-johnson-scholarship</v>
      </c>
      <c r="P1069" s="33">
        <v>48267</v>
      </c>
      <c r="Q1069" s="25">
        <v>0.24</v>
      </c>
      <c r="R1069" s="34" t="s">
        <v>497</v>
      </c>
      <c r="S1069" s="34" t="s">
        <v>3321</v>
      </c>
      <c r="T1069" s="12"/>
      <c r="U1069" s="12" t="s">
        <v>81</v>
      </c>
      <c r="V1069" s="12"/>
      <c r="W1069" s="12"/>
      <c r="X1069" s="12"/>
      <c r="Y1069" s="12"/>
      <c r="Z1069" s="12"/>
      <c r="AA1069" s="12"/>
    </row>
    <row r="1070" spans="1:27" ht="241" x14ac:dyDescent="0.2">
      <c r="A1070" s="23" t="s">
        <v>3208</v>
      </c>
      <c r="B1070" s="14" t="s">
        <v>3318</v>
      </c>
      <c r="C1070" s="14" t="s">
        <v>101</v>
      </c>
      <c r="D1070" s="12"/>
      <c r="E1070" s="14" t="s">
        <v>60</v>
      </c>
      <c r="F1070" s="14" t="s">
        <v>72</v>
      </c>
      <c r="G1070" s="12"/>
      <c r="H1070" s="17" t="s">
        <v>3322</v>
      </c>
      <c r="I1070" s="17" t="s">
        <v>74</v>
      </c>
      <c r="J1070" s="56" t="s">
        <v>3323</v>
      </c>
      <c r="K1070" s="12"/>
      <c r="L1070" s="12"/>
      <c r="M1070" s="12"/>
      <c r="N1070" s="12"/>
      <c r="O1070" s="30" t="str">
        <f>HYPERLINK("http://www.wlu.edu/johnson-program/the-johnson-scholarship/other-scholarship-opportunities","http://www.wlu.edu/johnson-program/the-johnson-scholarship/other-scholarship-opportunities")</f>
        <v>http://www.wlu.edu/johnson-program/the-johnson-scholarship/other-scholarship-opportunities</v>
      </c>
      <c r="P1070" s="33">
        <v>48267</v>
      </c>
      <c r="Q1070" s="25">
        <v>0.24</v>
      </c>
      <c r="R1070" s="34" t="s">
        <v>497</v>
      </c>
      <c r="S1070" s="34" t="s">
        <v>3321</v>
      </c>
      <c r="T1070" s="12"/>
      <c r="U1070" s="12" t="s">
        <v>81</v>
      </c>
      <c r="V1070" s="12"/>
      <c r="W1070" s="12"/>
      <c r="X1070" s="12"/>
      <c r="Y1070" s="12"/>
      <c r="Z1070" s="12"/>
      <c r="AA1070" s="12"/>
    </row>
    <row r="1071" spans="1:27" ht="180.75" customHeight="1" x14ac:dyDescent="0.2">
      <c r="A1071" s="23" t="s">
        <v>3208</v>
      </c>
      <c r="B1071" s="14" t="s">
        <v>3318</v>
      </c>
      <c r="C1071" s="14" t="s">
        <v>101</v>
      </c>
      <c r="D1071" s="17" t="s">
        <v>3324</v>
      </c>
      <c r="E1071" s="14" t="s">
        <v>60</v>
      </c>
      <c r="F1071" s="14" t="s">
        <v>72</v>
      </c>
      <c r="G1071" s="14"/>
      <c r="H1071" s="16" t="s">
        <v>3325</v>
      </c>
      <c r="I1071" s="16" t="s">
        <v>74</v>
      </c>
      <c r="J1071" s="40" t="s">
        <v>3326</v>
      </c>
      <c r="K1071" s="12"/>
      <c r="L1071" s="12"/>
      <c r="M1071" s="12"/>
      <c r="N1071" s="12"/>
      <c r="O1071" s="30" t="str">
        <f>HYPERLINK("https://www.wlu.edu/admissions/scholarships-and-aid/scholarships/other-scholarship-opportunities#New%20Orleans%20Honor%20Scholarship","https://www.wlu.edu/admissions/scholarships-and-aid/scholarships/other-scholarship-opportunities#New%20Orleans%20Honor%20Scholarship")</f>
        <v>https://www.wlu.edu/admissions/scholarships-and-aid/scholarships/other-scholarship-opportunities#New%20Orleans%20Honor%20Scholarship</v>
      </c>
      <c r="P1071" s="33">
        <v>48267</v>
      </c>
      <c r="Q1071" s="25">
        <v>0.24</v>
      </c>
      <c r="R1071" s="34" t="s">
        <v>497</v>
      </c>
      <c r="S1071" s="34" t="s">
        <v>3321</v>
      </c>
      <c r="T1071" s="12"/>
      <c r="U1071" s="12" t="s">
        <v>81</v>
      </c>
      <c r="V1071" s="12"/>
      <c r="W1071" s="12"/>
      <c r="X1071" s="12"/>
      <c r="Y1071" s="12"/>
      <c r="Z1071" s="12"/>
      <c r="AA1071" s="12"/>
    </row>
    <row r="1072" spans="1:27" ht="150.75" customHeight="1" x14ac:dyDescent="0.2">
      <c r="A1072" s="23" t="s">
        <v>3208</v>
      </c>
      <c r="B1072" s="14" t="s">
        <v>3318</v>
      </c>
      <c r="C1072" s="14" t="s">
        <v>101</v>
      </c>
      <c r="D1072" s="17" t="s">
        <v>3327</v>
      </c>
      <c r="E1072" s="14" t="s">
        <v>60</v>
      </c>
      <c r="F1072" s="14" t="s">
        <v>72</v>
      </c>
      <c r="G1072" s="14"/>
      <c r="H1072" s="16" t="s">
        <v>3325</v>
      </c>
      <c r="I1072" s="16" t="s">
        <v>74</v>
      </c>
      <c r="J1072" s="40" t="s">
        <v>3328</v>
      </c>
      <c r="K1072" s="12"/>
      <c r="L1072" s="12"/>
      <c r="M1072" s="12"/>
      <c r="N1072" s="12"/>
      <c r="O1072" s="30" t="str">
        <f>HYPERLINK("https://www.wlu.edu/admissions/scholarships-and-aid/scholarships/other-scholarship-opportunities#Houston%20Honor%20Scholarship","https://www.wlu.edu/admissions/scholarships-and-aid/scholarships/other-scholarship-opportunities#Houston%20Honor%20Scholarship")</f>
        <v>https://www.wlu.edu/admissions/scholarships-and-aid/scholarships/other-scholarship-opportunities#Houston%20Honor%20Scholarship</v>
      </c>
      <c r="P1072" s="33">
        <v>48267</v>
      </c>
      <c r="Q1072" s="25">
        <v>0.24</v>
      </c>
      <c r="R1072" s="34" t="s">
        <v>497</v>
      </c>
      <c r="S1072" s="34" t="s">
        <v>3321</v>
      </c>
      <c r="T1072" s="12"/>
      <c r="U1072" s="12" t="s">
        <v>81</v>
      </c>
      <c r="V1072" s="12"/>
      <c r="W1072" s="12"/>
      <c r="X1072" s="12"/>
      <c r="Y1072" s="12"/>
      <c r="Z1072" s="12"/>
      <c r="AA1072" s="12"/>
    </row>
    <row r="1073" spans="1:27" ht="150.75" customHeight="1" x14ac:dyDescent="0.2">
      <c r="A1073" s="23" t="s">
        <v>3208</v>
      </c>
      <c r="B1073" s="14" t="s">
        <v>3318</v>
      </c>
      <c r="C1073" s="14" t="s">
        <v>101</v>
      </c>
      <c r="D1073" s="17" t="s">
        <v>3329</v>
      </c>
      <c r="E1073" s="14" t="s">
        <v>60</v>
      </c>
      <c r="F1073" s="14" t="s">
        <v>72</v>
      </c>
      <c r="G1073" s="14"/>
      <c r="H1073" s="16" t="s">
        <v>3325</v>
      </c>
      <c r="I1073" s="16" t="s">
        <v>74</v>
      </c>
      <c r="J1073" s="40" t="s">
        <v>3330</v>
      </c>
      <c r="K1073" s="12"/>
      <c r="L1073" s="12"/>
      <c r="M1073" s="12"/>
      <c r="N1073" s="12"/>
      <c r="O1073" s="30" t="str">
        <f>HYPERLINK("https://www.wlu.edu/admissions/scholarships-and-aid/scholarships/other-scholarship-opportunities#Dallas%20Honor%20Scholarship","https://www.wlu.edu/admissions/scholarships-and-aid/scholarships/other-scholarship-opportunities#Dallas%20Honor%20Scholarship")</f>
        <v>https://www.wlu.edu/admissions/scholarships-and-aid/scholarships/other-scholarship-opportunities#Dallas%20Honor%20Scholarship</v>
      </c>
      <c r="P1073" s="33">
        <v>48267</v>
      </c>
      <c r="Q1073" s="25">
        <v>0.24</v>
      </c>
      <c r="R1073" s="34" t="s">
        <v>497</v>
      </c>
      <c r="S1073" s="34" t="s">
        <v>3321</v>
      </c>
      <c r="T1073" s="12"/>
      <c r="U1073" s="12" t="s">
        <v>81</v>
      </c>
      <c r="V1073" s="12"/>
      <c r="W1073" s="12"/>
      <c r="X1073" s="12"/>
      <c r="Y1073" s="12"/>
      <c r="Z1073" s="12"/>
      <c r="AA1073" s="12"/>
    </row>
    <row r="1074" spans="1:27" ht="165.75" customHeight="1" x14ac:dyDescent="0.2">
      <c r="A1074" s="23" t="s">
        <v>3208</v>
      </c>
      <c r="B1074" s="14" t="s">
        <v>3318</v>
      </c>
      <c r="C1074" s="14" t="s">
        <v>101</v>
      </c>
      <c r="D1074" s="17" t="s">
        <v>3331</v>
      </c>
      <c r="E1074" s="14" t="s">
        <v>60</v>
      </c>
      <c r="F1074" s="14" t="s">
        <v>72</v>
      </c>
      <c r="G1074" s="14"/>
      <c r="H1074" s="16" t="s">
        <v>3325</v>
      </c>
      <c r="I1074" s="16" t="s">
        <v>74</v>
      </c>
      <c r="J1074" s="40" t="s">
        <v>3332</v>
      </c>
      <c r="K1074" s="12"/>
      <c r="L1074" s="12"/>
      <c r="M1074" s="12"/>
      <c r="N1074" s="12"/>
      <c r="O1074" s="30" t="str">
        <f>HYPERLINK("https://www.wlu.edu/admissions/scholarships-and-aid/scholarships/other-scholarship-opportunities#Darnell%20W.%20Boyd%20Jr.%20Memorial%20Honor%20Scholarship","https://www.wlu.edu/admissions/scholarships-and-aid/scholarships/other-scholarship-opportunities#Darnell%20W.%20Boyd%20Jr.%20Memorial%20Honor%20Scholarship")</f>
        <v>https://www.wlu.edu/admissions/scholarships-and-aid/scholarships/other-scholarship-opportunities#Darnell%20W.%20Boyd%20Jr.%20Memorial%20Honor%20Scholarship</v>
      </c>
      <c r="P1074" s="33">
        <v>48267</v>
      </c>
      <c r="Q1074" s="25">
        <v>0.24</v>
      </c>
      <c r="R1074" s="34" t="s">
        <v>497</v>
      </c>
      <c r="S1074" s="34" t="s">
        <v>3321</v>
      </c>
      <c r="T1074" s="12"/>
      <c r="U1074" s="12" t="s">
        <v>81</v>
      </c>
      <c r="V1074" s="12"/>
      <c r="W1074" s="12"/>
      <c r="X1074" s="12"/>
      <c r="Y1074" s="12"/>
      <c r="Z1074" s="12"/>
      <c r="AA1074" s="12"/>
    </row>
    <row r="1075" spans="1:27" ht="252.75" customHeight="1" x14ac:dyDescent="0.2">
      <c r="A1075" s="23" t="s">
        <v>3333</v>
      </c>
      <c r="B1075" s="14" t="s">
        <v>3334</v>
      </c>
      <c r="C1075" s="14" t="s">
        <v>59</v>
      </c>
      <c r="D1075" s="14"/>
      <c r="E1075" s="14" t="s">
        <v>177</v>
      </c>
      <c r="F1075" s="14" t="s">
        <v>313</v>
      </c>
      <c r="G1075" s="12"/>
      <c r="H1075" s="17" t="s">
        <v>1978</v>
      </c>
      <c r="I1075" s="17" t="s">
        <v>74</v>
      </c>
      <c r="J1075" s="14" t="s">
        <v>3335</v>
      </c>
      <c r="K1075" s="12"/>
      <c r="L1075" s="12"/>
      <c r="M1075" s="12"/>
      <c r="N1075" s="12"/>
      <c r="O1075" s="30" t="str">
        <f>HYPERLINK("http://www.castleton.edu/admissions/scholarships-financial-aid/types-of-aid/scholarships/scholarships-for-first-year-applicants/","http://www.castleton.edu/admissions/scholarships-financial-aid/types-of-aid/scholarships/scholarships-for-first-year-applicants/")</f>
        <v>http://www.castleton.edu/admissions/scholarships-financial-aid/types-of-aid/scholarships/scholarships-for-first-year-applicants/</v>
      </c>
      <c r="P1075" s="14" t="s">
        <v>3336</v>
      </c>
      <c r="Q1075" s="25">
        <v>0.78</v>
      </c>
      <c r="R1075" s="52" t="s">
        <v>113</v>
      </c>
      <c r="S1075" s="34" t="s">
        <v>3337</v>
      </c>
      <c r="T1075" s="12"/>
      <c r="U1075" s="12">
        <v>3</v>
      </c>
      <c r="V1075" s="12"/>
      <c r="W1075" s="12"/>
      <c r="X1075" s="12"/>
      <c r="Y1075" s="12"/>
      <c r="Z1075" s="12"/>
      <c r="AA1075" s="12"/>
    </row>
    <row r="1076" spans="1:27" ht="205.5" customHeight="1" x14ac:dyDescent="0.2">
      <c r="A1076" s="23" t="s">
        <v>3333</v>
      </c>
      <c r="B1076" s="14" t="s">
        <v>3338</v>
      </c>
      <c r="C1076" s="14" t="s">
        <v>101</v>
      </c>
      <c r="D1076" s="12"/>
      <c r="E1076" s="14" t="s">
        <v>60</v>
      </c>
      <c r="F1076" s="14" t="s">
        <v>72</v>
      </c>
      <c r="G1076" s="12"/>
      <c r="H1076" s="17" t="s">
        <v>3339</v>
      </c>
      <c r="I1076" s="17" t="s">
        <v>74</v>
      </c>
      <c r="J1076" s="16" t="s">
        <v>3340</v>
      </c>
      <c r="K1076" s="12"/>
      <c r="L1076" s="12"/>
      <c r="M1076" s="12"/>
      <c r="N1076" s="12"/>
      <c r="O1076" s="19" t="s">
        <v>3341</v>
      </c>
      <c r="P1076" s="33">
        <v>37002</v>
      </c>
      <c r="Q1076" s="25">
        <v>0.66</v>
      </c>
      <c r="R1076" s="52" t="s">
        <v>259</v>
      </c>
      <c r="S1076" s="34" t="s">
        <v>3342</v>
      </c>
      <c r="T1076" s="12"/>
      <c r="U1076" s="12">
        <v>3.04</v>
      </c>
      <c r="V1076" s="12"/>
      <c r="W1076" s="12"/>
      <c r="X1076" s="12"/>
      <c r="Y1076" s="12"/>
      <c r="Z1076" s="12"/>
      <c r="AA1076" s="12"/>
    </row>
    <row r="1077" spans="1:27" ht="126.75" customHeight="1" x14ac:dyDescent="0.2">
      <c r="A1077" s="23" t="s">
        <v>3333</v>
      </c>
      <c r="B1077" s="14" t="s">
        <v>3338</v>
      </c>
      <c r="C1077" s="14" t="s">
        <v>101</v>
      </c>
      <c r="D1077" s="17"/>
      <c r="E1077" s="16" t="s">
        <v>111</v>
      </c>
      <c r="F1077" s="14" t="s">
        <v>72</v>
      </c>
      <c r="G1077" s="12"/>
      <c r="H1077" s="17" t="s">
        <v>3343</v>
      </c>
      <c r="I1077" s="17" t="s">
        <v>74</v>
      </c>
      <c r="J1077" s="16" t="s">
        <v>3344</v>
      </c>
      <c r="K1077" s="12"/>
      <c r="L1077" s="12"/>
      <c r="M1077" s="12"/>
      <c r="N1077" s="12"/>
      <c r="O1077" s="19" t="s">
        <v>3341</v>
      </c>
      <c r="P1077" s="33">
        <v>37002</v>
      </c>
      <c r="Q1077" s="25">
        <v>0.66</v>
      </c>
      <c r="R1077" s="52" t="s">
        <v>259</v>
      </c>
      <c r="S1077" s="34" t="s">
        <v>3342</v>
      </c>
      <c r="T1077" s="12"/>
      <c r="U1077" s="12">
        <v>3.04</v>
      </c>
      <c r="V1077" s="12"/>
      <c r="W1077" s="12"/>
      <c r="X1077" s="12"/>
      <c r="Y1077" s="12"/>
      <c r="Z1077" s="12"/>
      <c r="AA1077" s="12"/>
    </row>
    <row r="1078" spans="1:27" ht="241" x14ac:dyDescent="0.2">
      <c r="A1078" s="23" t="s">
        <v>3333</v>
      </c>
      <c r="B1078" s="14" t="s">
        <v>3345</v>
      </c>
      <c r="C1078" s="14" t="s">
        <v>101</v>
      </c>
      <c r="D1078" s="17" t="s">
        <v>194</v>
      </c>
      <c r="E1078" s="14" t="s">
        <v>177</v>
      </c>
      <c r="F1078" s="14" t="s">
        <v>72</v>
      </c>
      <c r="G1078" s="12"/>
      <c r="H1078" s="17" t="s">
        <v>3346</v>
      </c>
      <c r="I1078" s="17" t="s">
        <v>74</v>
      </c>
      <c r="J1078" s="122" t="s">
        <v>3347</v>
      </c>
      <c r="K1078" s="24">
        <v>27</v>
      </c>
      <c r="L1078" s="18">
        <v>1300</v>
      </c>
      <c r="M1078" s="16" t="s">
        <v>76</v>
      </c>
      <c r="N1078" s="12"/>
      <c r="O1078" s="30" t="str">
        <f>HYPERLINK("http://www.smcvt.edu/admissions/financial-aid-and-tuition/loans-grants-scholarships.aspx#tab1","http://www.smcvt.edu/admissions/financial-aid-and-tuition/loans-grants-scholarships.aspx#tab1")</f>
        <v>http://www.smcvt.edu/admissions/financial-aid-and-tuition/loans-grants-scholarships.aspx#tab1</v>
      </c>
      <c r="P1078" s="33">
        <v>41975</v>
      </c>
      <c r="Q1078" s="25">
        <v>0.76</v>
      </c>
      <c r="R1078" s="34" t="s">
        <v>714</v>
      </c>
      <c r="S1078" s="34" t="s">
        <v>3348</v>
      </c>
      <c r="T1078" s="12"/>
      <c r="U1078" s="12">
        <v>3.51</v>
      </c>
      <c r="V1078" s="12"/>
      <c r="W1078" s="12"/>
      <c r="X1078" s="12"/>
      <c r="Y1078" s="12"/>
      <c r="Z1078" s="12"/>
      <c r="AA1078" s="12"/>
    </row>
    <row r="1079" spans="1:27" ht="111" customHeight="1" x14ac:dyDescent="0.2">
      <c r="A1079" s="23" t="s">
        <v>3333</v>
      </c>
      <c r="B1079" s="14" t="s">
        <v>3349</v>
      </c>
      <c r="C1079" s="14" t="s">
        <v>59</v>
      </c>
      <c r="D1079" s="14"/>
      <c r="E1079" s="14" t="s">
        <v>60</v>
      </c>
      <c r="F1079" s="14" t="s">
        <v>145</v>
      </c>
      <c r="G1079" s="12"/>
      <c r="H1079" s="17" t="s">
        <v>157</v>
      </c>
      <c r="I1079" s="17" t="s">
        <v>74</v>
      </c>
      <c r="J1079" s="14" t="s">
        <v>3350</v>
      </c>
      <c r="K1079" s="12"/>
      <c r="L1079" s="12"/>
      <c r="M1079" s="12"/>
      <c r="N1079" s="12"/>
      <c r="O1079" s="30" t="str">
        <f t="shared" ref="O1079:O1081" si="155">HYPERLINK("http://www.uvm.edu/~stdfinsv/?Page=prospect_ug_schols_instate.html","http://www.uvm.edu/~stdfinsv/?Page=prospect_ug_schols_instate.html")</f>
        <v>http://www.uvm.edu/~stdfinsv/?Page=prospect_ug_schols_instate.html</v>
      </c>
      <c r="P1079" s="14" t="s">
        <v>3351</v>
      </c>
      <c r="Q1079" s="25">
        <v>0.71</v>
      </c>
      <c r="R1079" s="14" t="s">
        <v>426</v>
      </c>
      <c r="S1079" s="14" t="s">
        <v>3352</v>
      </c>
      <c r="T1079" s="12"/>
      <c r="U1079" s="12">
        <v>3.53</v>
      </c>
      <c r="V1079" s="12"/>
      <c r="W1079" s="12"/>
      <c r="X1079" s="12"/>
      <c r="Y1079" s="12"/>
      <c r="Z1079" s="12"/>
      <c r="AA1079" s="12"/>
    </row>
    <row r="1080" spans="1:27" ht="111" customHeight="1" x14ac:dyDescent="0.2">
      <c r="A1080" s="23" t="s">
        <v>3333</v>
      </c>
      <c r="B1080" s="14" t="s">
        <v>3349</v>
      </c>
      <c r="C1080" s="14" t="s">
        <v>59</v>
      </c>
      <c r="D1080" s="14"/>
      <c r="E1080" s="14" t="s">
        <v>60</v>
      </c>
      <c r="F1080" s="14" t="s">
        <v>145</v>
      </c>
      <c r="G1080" s="12"/>
      <c r="H1080" s="17" t="s">
        <v>157</v>
      </c>
      <c r="I1080" s="17" t="s">
        <v>74</v>
      </c>
      <c r="J1080" s="14" t="s">
        <v>3353</v>
      </c>
      <c r="K1080" s="12"/>
      <c r="L1080" s="12"/>
      <c r="M1080" s="12"/>
      <c r="N1080" s="12"/>
      <c r="O1080" s="30" t="str">
        <f t="shared" si="155"/>
        <v>http://www.uvm.edu/~stdfinsv/?Page=prospect_ug_schols_instate.html</v>
      </c>
      <c r="P1080" s="14" t="s">
        <v>3351</v>
      </c>
      <c r="Q1080" s="25">
        <v>0.71</v>
      </c>
      <c r="R1080" s="14" t="s">
        <v>426</v>
      </c>
      <c r="S1080" s="14" t="s">
        <v>3352</v>
      </c>
      <c r="T1080" s="12"/>
      <c r="U1080" s="12">
        <v>3.53</v>
      </c>
      <c r="V1080" s="12"/>
      <c r="W1080" s="12"/>
      <c r="X1080" s="12"/>
      <c r="Y1080" s="12"/>
      <c r="Z1080" s="12"/>
      <c r="AA1080" s="12"/>
    </row>
    <row r="1081" spans="1:27" ht="205.5" customHeight="1" x14ac:dyDescent="0.2">
      <c r="A1081" s="109" t="s">
        <v>3333</v>
      </c>
      <c r="B1081" s="110" t="s">
        <v>3349</v>
      </c>
      <c r="C1081" s="110" t="s">
        <v>59</v>
      </c>
      <c r="D1081" s="128" t="s">
        <v>3354</v>
      </c>
      <c r="E1081" s="110" t="s">
        <v>177</v>
      </c>
      <c r="F1081" s="110" t="s">
        <v>72</v>
      </c>
      <c r="G1081" s="112"/>
      <c r="H1081" s="117" t="s">
        <v>239</v>
      </c>
      <c r="I1081" s="117" t="s">
        <v>74</v>
      </c>
      <c r="J1081" s="110" t="s">
        <v>3355</v>
      </c>
      <c r="K1081" s="112"/>
      <c r="L1081" s="112"/>
      <c r="M1081" s="112"/>
      <c r="N1081" s="112"/>
      <c r="O1081" s="113" t="str">
        <f t="shared" si="155"/>
        <v>http://www.uvm.edu/~stdfinsv/?Page=prospect_ug_schols_instate.html</v>
      </c>
      <c r="P1081" s="110" t="s">
        <v>3351</v>
      </c>
      <c r="Q1081" s="114">
        <v>0.71</v>
      </c>
      <c r="R1081" s="110" t="s">
        <v>426</v>
      </c>
      <c r="S1081" s="110" t="s">
        <v>3352</v>
      </c>
      <c r="T1081" s="112"/>
      <c r="U1081" s="112">
        <v>3.53</v>
      </c>
      <c r="V1081" s="112"/>
      <c r="W1081" s="112"/>
      <c r="X1081" s="112"/>
      <c r="Y1081" s="112"/>
      <c r="Z1081" s="112"/>
      <c r="AA1081" s="112"/>
    </row>
    <row r="1082" spans="1:27" ht="221.25" customHeight="1" x14ac:dyDescent="0.2">
      <c r="A1082" s="23" t="s">
        <v>3356</v>
      </c>
      <c r="B1082" s="14" t="s">
        <v>3357</v>
      </c>
      <c r="C1082" s="14" t="s">
        <v>59</v>
      </c>
      <c r="D1082" s="12"/>
      <c r="E1082" s="14" t="s">
        <v>60</v>
      </c>
      <c r="F1082" s="14" t="s">
        <v>145</v>
      </c>
      <c r="G1082" s="12"/>
      <c r="H1082" s="17" t="s">
        <v>157</v>
      </c>
      <c r="I1082" s="17" t="s">
        <v>74</v>
      </c>
      <c r="J1082" s="14" t="s">
        <v>3358</v>
      </c>
      <c r="K1082" s="12">
        <v>19</v>
      </c>
      <c r="L1082" s="12">
        <v>1050</v>
      </c>
      <c r="M1082" s="17" t="s">
        <v>76</v>
      </c>
      <c r="N1082" s="12">
        <v>2.5</v>
      </c>
      <c r="O1082" s="30" t="str">
        <f>HYPERLINK("http://www.ewu.edu/admissions/financial-aid/scholarships/majorprogram-specific-options","http://www.ewu.edu/admissions/financial-aid/scholarships/majorprogram-specific-options")</f>
        <v>http://www.ewu.edu/admissions/financial-aid/scholarships/majorprogram-specific-options</v>
      </c>
      <c r="P1082" s="14" t="s">
        <v>3359</v>
      </c>
      <c r="Q1082" s="25">
        <v>0.74399999999999999</v>
      </c>
      <c r="R1082" s="14" t="s">
        <v>550</v>
      </c>
      <c r="S1082" s="14" t="s">
        <v>3360</v>
      </c>
      <c r="T1082" s="12"/>
      <c r="U1082" s="12">
        <v>3.21</v>
      </c>
      <c r="V1082" s="12"/>
      <c r="W1082" s="12"/>
      <c r="X1082" s="12"/>
      <c r="Y1082" s="12"/>
      <c r="Z1082" s="12"/>
      <c r="AA1082" s="12"/>
    </row>
    <row r="1083" spans="1:27" ht="105.75" customHeight="1" x14ac:dyDescent="0.2">
      <c r="A1083" s="39" t="s">
        <v>3356</v>
      </c>
      <c r="B1083" s="40" t="s">
        <v>3361</v>
      </c>
      <c r="C1083" s="40" t="s">
        <v>59</v>
      </c>
      <c r="D1083" s="40"/>
      <c r="E1083" s="69" t="s">
        <v>3362</v>
      </c>
      <c r="F1083" s="69" t="s">
        <v>72</v>
      </c>
      <c r="G1083" s="40"/>
      <c r="H1083" s="69" t="s">
        <v>1905</v>
      </c>
      <c r="I1083" s="69" t="s">
        <v>74</v>
      </c>
      <c r="J1083" s="265" t="s">
        <v>3363</v>
      </c>
      <c r="K1083" s="40"/>
      <c r="L1083" s="40"/>
      <c r="M1083" s="40"/>
      <c r="N1083" s="40"/>
      <c r="O1083" s="19" t="s">
        <v>3364</v>
      </c>
      <c r="P1083" s="40" t="s">
        <v>3365</v>
      </c>
      <c r="Q1083" s="42">
        <v>0.98</v>
      </c>
      <c r="R1083" s="40" t="s">
        <v>126</v>
      </c>
      <c r="S1083" s="40" t="s">
        <v>3366</v>
      </c>
      <c r="T1083" s="40"/>
      <c r="U1083" s="40">
        <v>3.04</v>
      </c>
      <c r="V1083" s="40"/>
      <c r="W1083" s="40"/>
      <c r="X1083" s="40"/>
      <c r="Y1083" s="40"/>
      <c r="Z1083" s="40"/>
      <c r="AA1083" s="40"/>
    </row>
    <row r="1084" spans="1:27" ht="105.75" customHeight="1" x14ac:dyDescent="0.2">
      <c r="A1084" s="39" t="s">
        <v>3356</v>
      </c>
      <c r="B1084" s="40" t="s">
        <v>3361</v>
      </c>
      <c r="C1084" s="40" t="s">
        <v>59</v>
      </c>
      <c r="D1084" s="40"/>
      <c r="E1084" s="40" t="s">
        <v>60</v>
      </c>
      <c r="F1084" s="40" t="s">
        <v>92</v>
      </c>
      <c r="G1084" s="40"/>
      <c r="H1084" s="69" t="s">
        <v>3367</v>
      </c>
      <c r="I1084" s="69" t="s">
        <v>74</v>
      </c>
      <c r="J1084" s="69" t="s">
        <v>3368</v>
      </c>
      <c r="K1084" s="40"/>
      <c r="L1084" s="40"/>
      <c r="M1084" s="40"/>
      <c r="N1084" s="40"/>
      <c r="O1084" s="19" t="s">
        <v>3364</v>
      </c>
      <c r="P1084" s="40" t="s">
        <v>3365</v>
      </c>
      <c r="Q1084" s="42">
        <v>0.98</v>
      </c>
      <c r="R1084" s="40" t="s">
        <v>126</v>
      </c>
      <c r="S1084" s="40" t="s">
        <v>3366</v>
      </c>
      <c r="T1084" s="40"/>
      <c r="U1084" s="40">
        <v>3.04</v>
      </c>
      <c r="V1084" s="40"/>
      <c r="W1084" s="40"/>
      <c r="X1084" s="40"/>
      <c r="Y1084" s="40"/>
      <c r="Z1084" s="40"/>
      <c r="AA1084" s="40"/>
    </row>
    <row r="1085" spans="1:27" ht="111" customHeight="1" x14ac:dyDescent="0.2">
      <c r="A1085" s="23" t="s">
        <v>3356</v>
      </c>
      <c r="B1085" s="14" t="s">
        <v>3369</v>
      </c>
      <c r="C1085" s="14" t="s">
        <v>101</v>
      </c>
      <c r="D1085" s="12"/>
      <c r="E1085" s="14" t="s">
        <v>191</v>
      </c>
      <c r="F1085" s="16" t="s">
        <v>145</v>
      </c>
      <c r="G1085" s="12"/>
      <c r="H1085" s="17" t="s">
        <v>157</v>
      </c>
      <c r="I1085" s="17" t="s">
        <v>74</v>
      </c>
      <c r="J1085" s="14" t="s">
        <v>3370</v>
      </c>
      <c r="K1085" s="12"/>
      <c r="L1085" s="12"/>
      <c r="M1085" s="12"/>
      <c r="N1085" s="12"/>
      <c r="O1085" s="30" t="str">
        <f t="shared" ref="O1085:O1086" si="156">HYPERLINK("http://www.gonzaga.edu/Admissions/Undergraduate-Admissions/Scholarships/Scholarship-Opportunities.asp","http://www.gonzaga.edu/Admissions/Undergraduate-Admissions/Scholarships/Scholarship-Opportunities.asp")</f>
        <v>http://www.gonzaga.edu/Admissions/Undergraduate-Admissions/Scholarships/Scholarship-Opportunities.asp</v>
      </c>
      <c r="P1085" s="33">
        <v>39730</v>
      </c>
      <c r="Q1085" s="25">
        <v>0.73</v>
      </c>
      <c r="R1085" s="14" t="s">
        <v>638</v>
      </c>
      <c r="S1085" s="14" t="s">
        <v>3371</v>
      </c>
      <c r="T1085" s="12"/>
      <c r="U1085" s="12">
        <v>3.72</v>
      </c>
      <c r="V1085" s="12"/>
      <c r="W1085" s="12"/>
      <c r="X1085" s="12"/>
      <c r="Y1085" s="12"/>
      <c r="Z1085" s="12"/>
      <c r="AA1085" s="12"/>
    </row>
    <row r="1086" spans="1:27" ht="111" customHeight="1" x14ac:dyDescent="0.2">
      <c r="A1086" s="23" t="s">
        <v>3356</v>
      </c>
      <c r="B1086" s="14" t="s">
        <v>3369</v>
      </c>
      <c r="C1086" s="14" t="s">
        <v>101</v>
      </c>
      <c r="D1086" s="17" t="s">
        <v>3372</v>
      </c>
      <c r="E1086" s="14" t="s">
        <v>243</v>
      </c>
      <c r="F1086" s="14" t="s">
        <v>72</v>
      </c>
      <c r="G1086" s="12"/>
      <c r="H1086" s="17" t="s">
        <v>2724</v>
      </c>
      <c r="I1086" s="17" t="s">
        <v>74</v>
      </c>
      <c r="J1086" s="14" t="s">
        <v>3373</v>
      </c>
      <c r="K1086" s="12"/>
      <c r="L1086" s="12"/>
      <c r="M1086" s="12"/>
      <c r="N1086" s="12"/>
      <c r="O1086" s="30" t="str">
        <f t="shared" si="156"/>
        <v>http://www.gonzaga.edu/Admissions/Undergraduate-Admissions/Scholarships/Scholarship-Opportunities.asp</v>
      </c>
      <c r="P1086" s="33">
        <v>39730</v>
      </c>
      <c r="Q1086" s="25">
        <v>0.73</v>
      </c>
      <c r="R1086" s="14" t="s">
        <v>638</v>
      </c>
      <c r="S1086" s="14" t="s">
        <v>3371</v>
      </c>
      <c r="T1086" s="12"/>
      <c r="U1086" s="12">
        <v>3.72</v>
      </c>
      <c r="V1086" s="12"/>
      <c r="W1086" s="12"/>
      <c r="X1086" s="12"/>
      <c r="Y1086" s="12"/>
      <c r="Z1086" s="12"/>
      <c r="AA1086" s="12"/>
    </row>
    <row r="1087" spans="1:27" ht="111" customHeight="1" x14ac:dyDescent="0.2">
      <c r="A1087" s="23" t="s">
        <v>3356</v>
      </c>
      <c r="B1087" s="14" t="s">
        <v>3374</v>
      </c>
      <c r="C1087" s="14" t="s">
        <v>101</v>
      </c>
      <c r="D1087" s="12"/>
      <c r="E1087" s="16" t="s">
        <v>3375</v>
      </c>
      <c r="F1087" s="16" t="s">
        <v>72</v>
      </c>
      <c r="G1087" s="12"/>
      <c r="H1087" s="17" t="s">
        <v>837</v>
      </c>
      <c r="I1087" s="17">
        <v>3</v>
      </c>
      <c r="J1087" s="16" t="s">
        <v>3376</v>
      </c>
      <c r="K1087" s="17">
        <v>28</v>
      </c>
      <c r="L1087" s="17">
        <v>1300</v>
      </c>
      <c r="M1087" s="17" t="s">
        <v>76</v>
      </c>
      <c r="N1087" s="17">
        <v>3.75</v>
      </c>
      <c r="O1087" s="30" t="str">
        <f t="shared" ref="O1087:O1088" si="157">HYPERLINK("http://www.northwestu.edu/financialaid/institution_scholarships/presidential-provosts-scholarships/","http://www.northwestu.edu/financialaid/institution_scholarships/presidential-provosts-scholarships/")</f>
        <v>http://www.northwestu.edu/financialaid/institution_scholarships/presidential-provosts-scholarships/</v>
      </c>
      <c r="P1087" s="33">
        <v>29200</v>
      </c>
      <c r="Q1087" s="25">
        <v>0.64</v>
      </c>
      <c r="R1087" s="14" t="s">
        <v>385</v>
      </c>
      <c r="S1087" s="14" t="s">
        <v>3377</v>
      </c>
      <c r="T1087" s="12"/>
      <c r="U1087" s="12">
        <v>2.86</v>
      </c>
      <c r="V1087" s="12"/>
      <c r="W1087" s="12"/>
      <c r="X1087" s="12"/>
      <c r="Y1087" s="12"/>
      <c r="Z1087" s="12"/>
      <c r="AA1087" s="12"/>
    </row>
    <row r="1088" spans="1:27" ht="111" customHeight="1" x14ac:dyDescent="0.2">
      <c r="A1088" s="23" t="s">
        <v>3356</v>
      </c>
      <c r="B1088" s="14" t="s">
        <v>3374</v>
      </c>
      <c r="C1088" s="14" t="s">
        <v>101</v>
      </c>
      <c r="D1088" s="12"/>
      <c r="E1088" s="14" t="s">
        <v>60</v>
      </c>
      <c r="F1088" s="14" t="s">
        <v>72</v>
      </c>
      <c r="G1088" s="12"/>
      <c r="H1088" s="17" t="s">
        <v>837</v>
      </c>
      <c r="I1088" s="17">
        <v>3</v>
      </c>
      <c r="J1088" s="16" t="s">
        <v>3378</v>
      </c>
      <c r="K1088" s="17">
        <v>28</v>
      </c>
      <c r="L1088" s="17">
        <v>1300</v>
      </c>
      <c r="M1088" s="17" t="s">
        <v>76</v>
      </c>
      <c r="N1088" s="17">
        <v>3.75</v>
      </c>
      <c r="O1088" s="30" t="str">
        <f t="shared" si="157"/>
        <v>http://www.northwestu.edu/financialaid/institution_scholarships/presidential-provosts-scholarships/</v>
      </c>
      <c r="P1088" s="33">
        <v>29200</v>
      </c>
      <c r="Q1088" s="25">
        <v>0.64</v>
      </c>
      <c r="R1088" s="14" t="s">
        <v>385</v>
      </c>
      <c r="S1088" s="14" t="s">
        <v>3377</v>
      </c>
      <c r="T1088" s="12"/>
      <c r="U1088" s="12">
        <v>2.86</v>
      </c>
      <c r="V1088" s="12"/>
      <c r="W1088" s="12"/>
      <c r="X1088" s="12"/>
      <c r="Y1088" s="12"/>
      <c r="Z1088" s="12"/>
      <c r="AA1088" s="12"/>
    </row>
    <row r="1089" spans="1:27" ht="111" customHeight="1" x14ac:dyDescent="0.2">
      <c r="A1089" s="23" t="s">
        <v>3356</v>
      </c>
      <c r="B1089" s="14" t="s">
        <v>3379</v>
      </c>
      <c r="C1089" s="14" t="s">
        <v>101</v>
      </c>
      <c r="D1089" s="12"/>
      <c r="E1089" s="14" t="s">
        <v>243</v>
      </c>
      <c r="F1089" s="14" t="s">
        <v>145</v>
      </c>
      <c r="G1089" s="12"/>
      <c r="H1089" s="17" t="s">
        <v>157</v>
      </c>
      <c r="I1089" s="17" t="s">
        <v>63</v>
      </c>
      <c r="J1089" s="14" t="s">
        <v>3380</v>
      </c>
      <c r="K1089" s="12"/>
      <c r="L1089" s="12"/>
      <c r="M1089" s="12"/>
      <c r="N1089" s="12"/>
      <c r="O1089" s="30" t="str">
        <f t="shared" ref="O1089:O1092" si="158">HYPERLINK("http://www.plu.edu/admission-first-year/financial-aid/scholarships/","http://www.plu.edu/admission-first-year/financial-aid/scholarships/")</f>
        <v>http://www.plu.edu/admission-first-year/financial-aid/scholarships/</v>
      </c>
      <c r="P1089" s="33">
        <v>39450</v>
      </c>
      <c r="Q1089" s="58">
        <v>0.76</v>
      </c>
      <c r="R1089" s="14" t="s">
        <v>224</v>
      </c>
      <c r="S1089" s="14" t="s">
        <v>3381</v>
      </c>
      <c r="T1089" s="12"/>
      <c r="U1089" s="12">
        <v>3.68</v>
      </c>
      <c r="V1089" s="12"/>
      <c r="W1089" s="12"/>
      <c r="X1089" s="12"/>
      <c r="Y1089" s="12"/>
      <c r="Z1089" s="12"/>
      <c r="AA1089" s="12"/>
    </row>
    <row r="1090" spans="1:27" ht="111" customHeight="1" x14ac:dyDescent="0.2">
      <c r="A1090" s="23" t="s">
        <v>3356</v>
      </c>
      <c r="B1090" s="14" t="s">
        <v>3379</v>
      </c>
      <c r="C1090" s="14" t="s">
        <v>101</v>
      </c>
      <c r="D1090" s="12"/>
      <c r="E1090" s="14" t="s">
        <v>60</v>
      </c>
      <c r="F1090" s="14" t="s">
        <v>61</v>
      </c>
      <c r="G1090" s="12"/>
      <c r="H1090" s="17" t="s">
        <v>3382</v>
      </c>
      <c r="I1090" s="17" t="s">
        <v>63</v>
      </c>
      <c r="J1090" s="14" t="s">
        <v>3383</v>
      </c>
      <c r="K1090" s="12"/>
      <c r="L1090" s="12"/>
      <c r="M1090" s="12"/>
      <c r="N1090" s="12"/>
      <c r="O1090" s="30" t="str">
        <f t="shared" si="158"/>
        <v>http://www.plu.edu/admission-first-year/financial-aid/scholarships/</v>
      </c>
      <c r="P1090" s="33">
        <v>39450</v>
      </c>
      <c r="Q1090" s="58">
        <v>0.76</v>
      </c>
      <c r="R1090" s="14" t="s">
        <v>224</v>
      </c>
      <c r="S1090" s="14" t="s">
        <v>3381</v>
      </c>
      <c r="T1090" s="12"/>
      <c r="U1090" s="12">
        <v>3.68</v>
      </c>
      <c r="V1090" s="12"/>
      <c r="W1090" s="12"/>
      <c r="X1090" s="12"/>
      <c r="Y1090" s="12"/>
      <c r="Z1090" s="12"/>
      <c r="AA1090" s="12"/>
    </row>
    <row r="1091" spans="1:27" ht="157" x14ac:dyDescent="0.2">
      <c r="A1091" s="23" t="s">
        <v>3356</v>
      </c>
      <c r="B1091" s="14" t="s">
        <v>3379</v>
      </c>
      <c r="C1091" s="14" t="s">
        <v>101</v>
      </c>
      <c r="D1091" s="17" t="s">
        <v>3384</v>
      </c>
      <c r="E1091" s="14" t="s">
        <v>88</v>
      </c>
      <c r="F1091" s="14" t="s">
        <v>72</v>
      </c>
      <c r="G1091" s="12"/>
      <c r="H1091" s="17" t="s">
        <v>2724</v>
      </c>
      <c r="I1091" s="17">
        <v>7</v>
      </c>
      <c r="J1091" s="56" t="s">
        <v>3385</v>
      </c>
      <c r="K1091" s="12"/>
      <c r="L1091" s="12"/>
      <c r="M1091" s="12"/>
      <c r="N1091" s="12"/>
      <c r="O1091" s="30" t="str">
        <f t="shared" si="158"/>
        <v>http://www.plu.edu/admission-first-year/financial-aid/scholarships/</v>
      </c>
      <c r="P1091" s="33">
        <v>39450</v>
      </c>
      <c r="Q1091" s="58">
        <v>0.76</v>
      </c>
      <c r="R1091" s="14" t="s">
        <v>224</v>
      </c>
      <c r="S1091" s="14" t="s">
        <v>3381</v>
      </c>
      <c r="T1091" s="12"/>
      <c r="U1091" s="12">
        <v>3.68</v>
      </c>
      <c r="V1091" s="12"/>
      <c r="W1091" s="12"/>
      <c r="X1091" s="12"/>
      <c r="Y1091" s="12"/>
      <c r="Z1091" s="12"/>
      <c r="AA1091" s="12"/>
    </row>
    <row r="1092" spans="1:27" ht="205.5" customHeight="1" x14ac:dyDescent="0.2">
      <c r="A1092" s="23" t="s">
        <v>3356</v>
      </c>
      <c r="B1092" s="14" t="s">
        <v>3379</v>
      </c>
      <c r="C1092" s="14" t="s">
        <v>101</v>
      </c>
      <c r="D1092" s="12"/>
      <c r="E1092" s="14" t="s">
        <v>60</v>
      </c>
      <c r="F1092" s="14" t="s">
        <v>72</v>
      </c>
      <c r="G1092" s="12"/>
      <c r="H1092" s="17" t="s">
        <v>3026</v>
      </c>
      <c r="I1092" s="17">
        <v>5</v>
      </c>
      <c r="J1092" s="14" t="s">
        <v>3386</v>
      </c>
      <c r="K1092" s="17">
        <v>28</v>
      </c>
      <c r="L1092" s="17">
        <v>1310</v>
      </c>
      <c r="M1092" s="17" t="s">
        <v>76</v>
      </c>
      <c r="N1092" s="17">
        <v>3.8</v>
      </c>
      <c r="O1092" s="30" t="str">
        <f t="shared" si="158"/>
        <v>http://www.plu.edu/admission-first-year/financial-aid/scholarships/</v>
      </c>
      <c r="P1092" s="33">
        <v>39450</v>
      </c>
      <c r="Q1092" s="58">
        <v>0.76</v>
      </c>
      <c r="R1092" s="14" t="s">
        <v>224</v>
      </c>
      <c r="S1092" s="14" t="s">
        <v>3381</v>
      </c>
      <c r="T1092" s="12"/>
      <c r="U1092" s="12">
        <v>3.68</v>
      </c>
      <c r="V1092" s="12"/>
      <c r="W1092" s="12"/>
      <c r="X1092" s="12"/>
      <c r="Y1092" s="12"/>
      <c r="Z1092" s="12"/>
      <c r="AA1092" s="12"/>
    </row>
    <row r="1093" spans="1:27" ht="142.5" customHeight="1" x14ac:dyDescent="0.2">
      <c r="A1093" s="23" t="s">
        <v>3356</v>
      </c>
      <c r="B1093" s="14" t="s">
        <v>3387</v>
      </c>
      <c r="C1093" s="14" t="s">
        <v>101</v>
      </c>
      <c r="D1093" s="17" t="s">
        <v>194</v>
      </c>
      <c r="E1093" s="14" t="s">
        <v>60</v>
      </c>
      <c r="F1093" s="14" t="s">
        <v>61</v>
      </c>
      <c r="G1093" s="12"/>
      <c r="H1093" s="17" t="s">
        <v>1227</v>
      </c>
      <c r="I1093" s="17" t="s">
        <v>74</v>
      </c>
      <c r="J1093" s="14" t="s">
        <v>3388</v>
      </c>
      <c r="K1093" s="24">
        <v>25</v>
      </c>
      <c r="L1093" s="24">
        <v>1220</v>
      </c>
      <c r="M1093" s="16" t="s">
        <v>76</v>
      </c>
      <c r="N1093" s="12">
        <v>3</v>
      </c>
      <c r="O1093" s="30" t="str">
        <f t="shared" ref="O1093:O1094" si="159">HYPERLINK("http://spu.edu/undergraduate-admissions/scholarships-financial-aid/scholarships-and-grants/first-year-student-scholarships","http://spu.edu/undergraduate-admissions/scholarships-financial-aid/scholarships-and-grants/first-year-student-scholarships")</f>
        <v>http://spu.edu/undergraduate-admissions/scholarships-financial-aid/scholarships-and-grants/first-year-student-scholarships</v>
      </c>
      <c r="P1093" s="33">
        <v>38940</v>
      </c>
      <c r="Q1093" s="25">
        <v>0.82</v>
      </c>
      <c r="R1093" s="14" t="s">
        <v>142</v>
      </c>
      <c r="S1093" s="14" t="s">
        <v>3389</v>
      </c>
      <c r="T1093" s="12"/>
      <c r="U1093" s="12">
        <v>3.56</v>
      </c>
      <c r="V1093" s="12"/>
      <c r="W1093" s="12"/>
      <c r="X1093" s="12"/>
      <c r="Y1093" s="12"/>
      <c r="Z1093" s="12"/>
      <c r="AA1093" s="12"/>
    </row>
    <row r="1094" spans="1:27" ht="111" customHeight="1" x14ac:dyDescent="0.2">
      <c r="A1094" s="23" t="s">
        <v>3356</v>
      </c>
      <c r="B1094" s="14" t="s">
        <v>3387</v>
      </c>
      <c r="C1094" s="14" t="s">
        <v>101</v>
      </c>
      <c r="D1094" s="12"/>
      <c r="E1094" s="14" t="s">
        <v>60</v>
      </c>
      <c r="F1094" s="14" t="s">
        <v>72</v>
      </c>
      <c r="G1094" s="12"/>
      <c r="H1094" s="17" t="s">
        <v>239</v>
      </c>
      <c r="I1094" s="17">
        <v>5</v>
      </c>
      <c r="J1094" s="14" t="s">
        <v>3390</v>
      </c>
      <c r="K1094" s="12"/>
      <c r="L1094" s="12"/>
      <c r="M1094" s="12"/>
      <c r="N1094" s="12"/>
      <c r="O1094" s="30" t="str">
        <f t="shared" si="159"/>
        <v>http://spu.edu/undergraduate-admissions/scholarships-financial-aid/scholarships-and-grants/first-year-student-scholarships</v>
      </c>
      <c r="P1094" s="33">
        <v>38940</v>
      </c>
      <c r="Q1094" s="25">
        <v>0.82</v>
      </c>
      <c r="R1094" s="14" t="s">
        <v>142</v>
      </c>
      <c r="S1094" s="14" t="s">
        <v>3389</v>
      </c>
      <c r="T1094" s="12"/>
      <c r="U1094" s="12">
        <v>3.56</v>
      </c>
      <c r="V1094" s="12"/>
      <c r="W1094" s="12"/>
      <c r="X1094" s="12"/>
      <c r="Y1094" s="12"/>
      <c r="Z1094" s="12"/>
      <c r="AA1094" s="12"/>
    </row>
    <row r="1095" spans="1:27" ht="111" customHeight="1" x14ac:dyDescent="0.2">
      <c r="A1095" s="23" t="s">
        <v>3356</v>
      </c>
      <c r="B1095" s="14" t="s">
        <v>3391</v>
      </c>
      <c r="C1095" s="14" t="s">
        <v>101</v>
      </c>
      <c r="D1095" s="17" t="s">
        <v>1707</v>
      </c>
      <c r="E1095" s="14" t="s">
        <v>111</v>
      </c>
      <c r="F1095" s="14" t="s">
        <v>72</v>
      </c>
      <c r="G1095" s="12"/>
      <c r="H1095" s="17" t="s">
        <v>3392</v>
      </c>
      <c r="I1095" s="17">
        <v>9</v>
      </c>
      <c r="J1095" s="14" t="s">
        <v>3393</v>
      </c>
      <c r="K1095" s="12"/>
      <c r="L1095" s="12"/>
      <c r="M1095" s="12"/>
      <c r="N1095" s="12"/>
      <c r="O1095" s="30" t="str">
        <f>HYPERLINK("https://www.seattleu.edu/undergraduate-admissions/finances/scholarships/freshmen/","https://www.seattleu.edu/undergraduate-admissions/finances/scholarships/freshmen/")</f>
        <v>https://www.seattleu.edu/undergraduate-admissions/finances/scholarships/freshmen/</v>
      </c>
      <c r="P1095" s="33">
        <v>41265</v>
      </c>
      <c r="Q1095" s="25">
        <v>0.73</v>
      </c>
      <c r="R1095" s="14" t="s">
        <v>687</v>
      </c>
      <c r="S1095" s="14" t="s">
        <v>3394</v>
      </c>
      <c r="T1095" s="12"/>
      <c r="U1095" s="12">
        <v>3.58</v>
      </c>
      <c r="V1095" s="12"/>
      <c r="W1095" s="12"/>
      <c r="X1095" s="12"/>
      <c r="Y1095" s="12"/>
      <c r="Z1095" s="12"/>
      <c r="AA1095" s="12"/>
    </row>
    <row r="1096" spans="1:27" ht="253" x14ac:dyDescent="0.2">
      <c r="A1096" s="23" t="s">
        <v>3356</v>
      </c>
      <c r="B1096" s="14" t="s">
        <v>3395</v>
      </c>
      <c r="C1096" s="14" t="s">
        <v>101</v>
      </c>
      <c r="D1096" s="12"/>
      <c r="E1096" s="14" t="s">
        <v>111</v>
      </c>
      <c r="F1096" s="14" t="s">
        <v>72</v>
      </c>
      <c r="G1096" s="12"/>
      <c r="H1096" s="17" t="s">
        <v>239</v>
      </c>
      <c r="I1096" s="17">
        <v>2</v>
      </c>
      <c r="J1096" s="56" t="s">
        <v>3396</v>
      </c>
      <c r="K1096" s="12"/>
      <c r="L1096" s="12"/>
      <c r="M1096" s="12"/>
      <c r="N1096" s="12"/>
      <c r="O1096" s="30" t="str">
        <f>HYPERLINK("http://www.pugetsound.edu/admission/tuition-aid-scholarships/financial-aid/scholarships/incoming-students/lillis-scholarship/","http://www.pugetsound.edu/admission/tuition-aid-scholarships/financial-aid/scholarships/incoming-students/lillis-scholarship/")</f>
        <v>http://www.pugetsound.edu/admission/tuition-aid-scholarships/financial-aid/scholarships/incoming-students/lillis-scholarship/</v>
      </c>
      <c r="P1096" s="33">
        <v>46552</v>
      </c>
      <c r="Q1096" s="25">
        <v>0.79</v>
      </c>
      <c r="R1096" s="34" t="s">
        <v>426</v>
      </c>
      <c r="S1096" s="34" t="s">
        <v>3397</v>
      </c>
      <c r="T1096" s="12"/>
      <c r="U1096" s="12">
        <v>3.53</v>
      </c>
      <c r="V1096" s="12"/>
      <c r="W1096" s="12"/>
      <c r="X1096" s="12"/>
      <c r="Y1096" s="12"/>
      <c r="Z1096" s="12"/>
      <c r="AA1096" s="12"/>
    </row>
    <row r="1097" spans="1:27" ht="217" x14ac:dyDescent="0.2">
      <c r="A1097" s="23" t="s">
        <v>3356</v>
      </c>
      <c r="B1097" s="14" t="s">
        <v>3395</v>
      </c>
      <c r="C1097" s="14" t="s">
        <v>101</v>
      </c>
      <c r="D1097" s="12"/>
      <c r="E1097" s="14" t="s">
        <v>60</v>
      </c>
      <c r="F1097" s="14" t="s">
        <v>72</v>
      </c>
      <c r="G1097" s="12"/>
      <c r="H1097" s="17" t="s">
        <v>3398</v>
      </c>
      <c r="I1097" s="17">
        <v>2</v>
      </c>
      <c r="J1097" s="56" t="s">
        <v>3399</v>
      </c>
      <c r="K1097" s="12"/>
      <c r="L1097" s="12"/>
      <c r="M1097" s="12"/>
      <c r="N1097" s="12"/>
      <c r="O1097" s="30" t="str">
        <f>HYPERLINK("http://www.pugetsound.edu/admission/tuition-aid-scholarships/financial-aid/scholarships/incoming-students/matelich-scholarship/","http://www.pugetsound.edu/admission/tuition-aid-scholarships/financial-aid/scholarships/incoming-students/matelich-scholarship/")</f>
        <v>http://www.pugetsound.edu/admission/tuition-aid-scholarships/financial-aid/scholarships/incoming-students/matelich-scholarship/</v>
      </c>
      <c r="P1097" s="33">
        <v>46552</v>
      </c>
      <c r="Q1097" s="25">
        <v>0.79</v>
      </c>
      <c r="R1097" s="34" t="s">
        <v>426</v>
      </c>
      <c r="S1097" s="34" t="s">
        <v>3397</v>
      </c>
      <c r="T1097" s="12"/>
      <c r="U1097" s="12">
        <v>3.53</v>
      </c>
      <c r="V1097" s="12"/>
      <c r="W1097" s="12"/>
      <c r="X1097" s="12"/>
      <c r="Y1097" s="12"/>
      <c r="Z1097" s="12"/>
      <c r="AA1097" s="12"/>
    </row>
    <row r="1098" spans="1:27" ht="174" customHeight="1" x14ac:dyDescent="0.2">
      <c r="A1098" s="23" t="s">
        <v>3356</v>
      </c>
      <c r="B1098" s="14" t="s">
        <v>3400</v>
      </c>
      <c r="C1098" s="14" t="s">
        <v>59</v>
      </c>
      <c r="D1098" s="12"/>
      <c r="E1098" s="14" t="s">
        <v>88</v>
      </c>
      <c r="F1098" s="16" t="s">
        <v>145</v>
      </c>
      <c r="G1098" s="12"/>
      <c r="H1098" s="17" t="s">
        <v>157</v>
      </c>
      <c r="I1098" s="17" t="s">
        <v>74</v>
      </c>
      <c r="J1098" s="14" t="s">
        <v>3401</v>
      </c>
      <c r="K1098" s="24">
        <v>21</v>
      </c>
      <c r="L1098" s="24">
        <v>920</v>
      </c>
      <c r="M1098" s="14" t="s">
        <v>197</v>
      </c>
      <c r="N1098" s="24">
        <v>2.5</v>
      </c>
      <c r="O1098" s="30" t="str">
        <f>HYPERLINK("http://armyrotc.uw.edu/","http://armyrotc.uw.edu/")</f>
        <v>http://armyrotc.uw.edu/</v>
      </c>
      <c r="P1098" s="14" t="s">
        <v>3402</v>
      </c>
      <c r="Q1098" s="25">
        <v>0.53</v>
      </c>
      <c r="R1098" s="14" t="s">
        <v>379</v>
      </c>
      <c r="S1098" s="14" t="s">
        <v>3403</v>
      </c>
      <c r="T1098" s="12"/>
      <c r="U1098" s="12">
        <v>3.78</v>
      </c>
      <c r="V1098" s="12"/>
      <c r="W1098" s="12"/>
      <c r="X1098" s="12"/>
      <c r="Y1098" s="12"/>
      <c r="Z1098" s="12"/>
      <c r="AA1098" s="12"/>
    </row>
    <row r="1099" spans="1:27" ht="111" customHeight="1" x14ac:dyDescent="0.2">
      <c r="A1099" s="23" t="s">
        <v>3356</v>
      </c>
      <c r="B1099" s="14" t="s">
        <v>3404</v>
      </c>
      <c r="C1099" s="14" t="s">
        <v>101</v>
      </c>
      <c r="D1099" s="12"/>
      <c r="E1099" s="14" t="s">
        <v>60</v>
      </c>
      <c r="F1099" s="14" t="s">
        <v>92</v>
      </c>
      <c r="G1099" s="12"/>
      <c r="H1099" s="17" t="s">
        <v>93</v>
      </c>
      <c r="I1099" s="17" t="s">
        <v>63</v>
      </c>
      <c r="J1099" s="14" t="s">
        <v>3405</v>
      </c>
      <c r="K1099" s="12"/>
      <c r="L1099" s="12"/>
      <c r="M1099" s="12"/>
      <c r="N1099" s="12"/>
      <c r="O1099" s="30" t="str">
        <f>HYPERLINK("https://wallawalla.edu/admissions/student-financial-services/financial-aid/scholarships/freshmen-scholarship-2017-18/","https://wallawalla.edu/admissions/student-financial-services/financial-aid/scholarships/freshmen-scholarship-2017-18/")</f>
        <v>https://wallawalla.edu/admissions/student-financial-services/financial-aid/scholarships/freshmen-scholarship-2017-18/</v>
      </c>
      <c r="P1099" s="33">
        <v>26982</v>
      </c>
      <c r="Q1099" s="25">
        <v>0.86</v>
      </c>
      <c r="R1099" s="14" t="s">
        <v>182</v>
      </c>
      <c r="S1099" s="14" t="s">
        <v>3406</v>
      </c>
      <c r="T1099" s="12"/>
      <c r="U1099" s="12">
        <v>3.5</v>
      </c>
      <c r="V1099" s="12"/>
      <c r="W1099" s="12"/>
      <c r="X1099" s="12"/>
      <c r="Y1099" s="12"/>
      <c r="Z1099" s="12"/>
      <c r="AA1099" s="12"/>
    </row>
    <row r="1100" spans="1:27" ht="237" customHeight="1" x14ac:dyDescent="0.2">
      <c r="A1100" s="23" t="s">
        <v>3356</v>
      </c>
      <c r="B1100" s="14" t="s">
        <v>3407</v>
      </c>
      <c r="C1100" s="14" t="s">
        <v>59</v>
      </c>
      <c r="D1100" s="17" t="s">
        <v>194</v>
      </c>
      <c r="E1100" s="14" t="s">
        <v>243</v>
      </c>
      <c r="F1100" s="14" t="s">
        <v>72</v>
      </c>
      <c r="G1100" s="12"/>
      <c r="H1100" s="17" t="s">
        <v>239</v>
      </c>
      <c r="I1100" s="17" t="s">
        <v>74</v>
      </c>
      <c r="J1100" s="14" t="s">
        <v>3408</v>
      </c>
      <c r="K1100" s="12"/>
      <c r="L1100" s="12"/>
      <c r="M1100" s="12"/>
      <c r="N1100" s="12"/>
      <c r="O1100" s="30" t="str">
        <f>HYPERLINK("https://admission.wsu.edu/scholarships/washington-residents/regents/","https://admission.wsu.edu/scholarships/washington-residents/regents/")</f>
        <v>https://admission.wsu.edu/scholarships/washington-residents/regents/</v>
      </c>
      <c r="P1100" s="14" t="s">
        <v>3409</v>
      </c>
      <c r="Q1100" s="25">
        <v>0.81</v>
      </c>
      <c r="R1100" s="14" t="s">
        <v>126</v>
      </c>
      <c r="S1100" s="14" t="s">
        <v>3410</v>
      </c>
      <c r="T1100" s="12"/>
      <c r="U1100" s="12">
        <v>3.31</v>
      </c>
      <c r="V1100" s="12"/>
      <c r="W1100" s="12"/>
      <c r="X1100" s="12"/>
      <c r="Y1100" s="12"/>
      <c r="Z1100" s="12"/>
      <c r="AA1100" s="12"/>
    </row>
    <row r="1101" spans="1:27" ht="105.75" customHeight="1" x14ac:dyDescent="0.2">
      <c r="A1101" s="40" t="s">
        <v>3356</v>
      </c>
      <c r="B1101" s="40" t="s">
        <v>3407</v>
      </c>
      <c r="C1101" s="40" t="s">
        <v>59</v>
      </c>
      <c r="D1101" s="40"/>
      <c r="E1101" s="40" t="s">
        <v>60</v>
      </c>
      <c r="F1101" s="40" t="s">
        <v>92</v>
      </c>
      <c r="G1101" s="40"/>
      <c r="H1101" s="69" t="s">
        <v>93</v>
      </c>
      <c r="I1101" s="69" t="s">
        <v>63</v>
      </c>
      <c r="J1101" s="40" t="s">
        <v>3411</v>
      </c>
      <c r="K1101" s="40"/>
      <c r="L1101" s="40"/>
      <c r="M1101" s="40"/>
      <c r="N1101" s="40"/>
      <c r="O1101" s="30" t="str">
        <f>HYPERLINK("https://admission.wsu.edu/scholarships/national-merit/","https://admission.wsu.edu/scholarships/national-merit/")</f>
        <v>https://admission.wsu.edu/scholarships/national-merit/</v>
      </c>
      <c r="P1101" s="40" t="s">
        <v>3409</v>
      </c>
      <c r="Q1101" s="42">
        <v>0.81</v>
      </c>
      <c r="R1101" s="40" t="s">
        <v>126</v>
      </c>
      <c r="S1101" s="40" t="s">
        <v>3410</v>
      </c>
      <c r="T1101" s="40"/>
      <c r="U1101" s="40">
        <v>3.31</v>
      </c>
      <c r="V1101" s="40"/>
      <c r="W1101" s="40"/>
      <c r="X1101" s="40"/>
      <c r="Y1101" s="40"/>
      <c r="Z1101" s="40"/>
      <c r="AA1101" s="40"/>
    </row>
    <row r="1102" spans="1:27" ht="252.75" customHeight="1" x14ac:dyDescent="0.2">
      <c r="A1102" s="23" t="s">
        <v>3356</v>
      </c>
      <c r="B1102" s="14" t="s">
        <v>3412</v>
      </c>
      <c r="C1102" s="14" t="s">
        <v>59</v>
      </c>
      <c r="D1102" s="14" t="s">
        <v>194</v>
      </c>
      <c r="E1102" s="14" t="s">
        <v>60</v>
      </c>
      <c r="F1102" s="14" t="s">
        <v>72</v>
      </c>
      <c r="G1102" s="12"/>
      <c r="H1102" s="17" t="s">
        <v>3413</v>
      </c>
      <c r="I1102" s="17">
        <v>1</v>
      </c>
      <c r="J1102" s="14" t="s">
        <v>3414</v>
      </c>
      <c r="K1102" s="12"/>
      <c r="L1102" s="12"/>
      <c r="M1102" s="12"/>
      <c r="N1102" s="12"/>
      <c r="O1102" s="30" t="str">
        <f>HYPERLINK("http://www.finaid.wwu.edu/scholarships/pages/wwu_scholarships/freshmen_transfer/list_fresh_trans.php?type_ID=1&amp;sub_type_ID=3","http://www.finaid.wwu.edu/scholarships/pages/wwu_scholarships/freshmen_transfer/list_fresh_trans.php?type_ID=1&amp;sub_type_ID=3")</f>
        <v>http://www.finaid.wwu.edu/scholarships/pages/wwu_scholarships/freshmen_transfer/list_fresh_trans.php?type_ID=1&amp;sub_type_ID=3</v>
      </c>
      <c r="P1102" s="14" t="s">
        <v>3415</v>
      </c>
      <c r="Q1102" s="25">
        <v>0.85</v>
      </c>
      <c r="R1102" s="14" t="s">
        <v>142</v>
      </c>
      <c r="S1102" s="14" t="s">
        <v>3416</v>
      </c>
      <c r="T1102" s="12"/>
      <c r="U1102" s="12">
        <v>3.43</v>
      </c>
      <c r="V1102" s="12"/>
      <c r="W1102" s="12"/>
      <c r="X1102" s="12"/>
      <c r="Y1102" s="12"/>
      <c r="Z1102" s="12"/>
      <c r="AA1102" s="12"/>
    </row>
    <row r="1103" spans="1:27" ht="158.25" customHeight="1" x14ac:dyDescent="0.2">
      <c r="A1103" s="23" t="s">
        <v>3356</v>
      </c>
      <c r="B1103" s="14" t="s">
        <v>3417</v>
      </c>
      <c r="C1103" s="14" t="s">
        <v>101</v>
      </c>
      <c r="D1103" s="12"/>
      <c r="E1103" s="14" t="s">
        <v>60</v>
      </c>
      <c r="F1103" s="14" t="s">
        <v>72</v>
      </c>
      <c r="G1103" s="12"/>
      <c r="H1103" s="17" t="s">
        <v>3418</v>
      </c>
      <c r="I1103" s="17">
        <v>1</v>
      </c>
      <c r="J1103" s="14" t="s">
        <v>3419</v>
      </c>
      <c r="K1103" s="12"/>
      <c r="L1103" s="12"/>
      <c r="M1103" s="12"/>
      <c r="N1103" s="12"/>
      <c r="O1103" s="30" t="str">
        <f>HYPERLINK("https://www.whitman.edu/admission-and-aid/financial-aid-and-costs/scholarships-and-grants","https://www.whitman.edu/admission-and-aid/financial-aid-and-costs/scholarships-and-grants")</f>
        <v>https://www.whitman.edu/admission-and-aid/financial-aid-and-costs/scholarships-and-grants</v>
      </c>
      <c r="P1103" s="33">
        <v>47862</v>
      </c>
      <c r="Q1103" s="58">
        <v>0.43</v>
      </c>
      <c r="R1103" s="34" t="s">
        <v>452</v>
      </c>
      <c r="S1103" s="34" t="s">
        <v>3420</v>
      </c>
      <c r="T1103" s="12"/>
      <c r="U1103" s="12">
        <v>3.73</v>
      </c>
      <c r="V1103" s="12"/>
      <c r="W1103" s="12"/>
      <c r="X1103" s="12"/>
      <c r="Y1103" s="12"/>
      <c r="Z1103" s="12"/>
      <c r="AA1103" s="12"/>
    </row>
    <row r="1104" spans="1:27" ht="111" customHeight="1" x14ac:dyDescent="0.2">
      <c r="A1104" s="23" t="s">
        <v>3421</v>
      </c>
      <c r="B1104" s="14" t="s">
        <v>3422</v>
      </c>
      <c r="C1104" s="14" t="s">
        <v>101</v>
      </c>
      <c r="D1104" s="12"/>
      <c r="E1104" s="14" t="s">
        <v>60</v>
      </c>
      <c r="F1104" s="14" t="s">
        <v>72</v>
      </c>
      <c r="G1104" s="12"/>
      <c r="H1104" s="17" t="s">
        <v>1923</v>
      </c>
      <c r="I1104" s="17">
        <v>1</v>
      </c>
      <c r="J1104" s="14" t="s">
        <v>3423</v>
      </c>
      <c r="K1104" s="12"/>
      <c r="L1104" s="12"/>
      <c r="M1104" s="12"/>
      <c r="N1104" s="12"/>
      <c r="O1104" s="30" t="str">
        <f>HYPERLINK("http://www.alverno.edu/scholarship/","http://www.alverno.edu/scholarship/")</f>
        <v>http://www.alverno.edu/scholarship/</v>
      </c>
      <c r="P1104" s="33">
        <v>26932</v>
      </c>
      <c r="Q1104" s="25">
        <v>0.77</v>
      </c>
      <c r="R1104" s="14" t="s">
        <v>420</v>
      </c>
      <c r="S1104" s="14" t="s">
        <v>2889</v>
      </c>
      <c r="T1104" s="12"/>
      <c r="U1104" s="12">
        <v>3.02</v>
      </c>
      <c r="V1104" s="12"/>
      <c r="W1104" s="12"/>
      <c r="X1104" s="12"/>
      <c r="Y1104" s="12"/>
      <c r="Z1104" s="12"/>
      <c r="AA1104" s="12"/>
    </row>
    <row r="1105" spans="1:27" ht="221.25" customHeight="1" x14ac:dyDescent="0.2">
      <c r="A1105" s="23" t="s">
        <v>3421</v>
      </c>
      <c r="B1105" s="14" t="s">
        <v>3424</v>
      </c>
      <c r="C1105" s="14" t="s">
        <v>101</v>
      </c>
      <c r="D1105" s="17" t="s">
        <v>1365</v>
      </c>
      <c r="E1105" s="14" t="s">
        <v>60</v>
      </c>
      <c r="F1105" s="14" t="s">
        <v>72</v>
      </c>
      <c r="G1105" s="14" t="s">
        <v>186</v>
      </c>
      <c r="H1105" s="16" t="s">
        <v>239</v>
      </c>
      <c r="I1105" s="16" t="s">
        <v>74</v>
      </c>
      <c r="J1105" s="16" t="s">
        <v>3425</v>
      </c>
      <c r="K1105" s="12"/>
      <c r="L1105" s="12"/>
      <c r="M1105" s="12"/>
      <c r="N1105" s="12"/>
      <c r="O1105" s="30" t="str">
        <f>HYPERLINK("http://www.beloit.edu/prospective/afford/international/","http://www.beloit.edu/prospective/afford/international/")</f>
        <v>http://www.beloit.edu/prospective/afford/international/</v>
      </c>
      <c r="P1105" s="33">
        <v>47060</v>
      </c>
      <c r="Q1105" s="25">
        <v>0.69299999999999995</v>
      </c>
      <c r="R1105" s="34" t="s">
        <v>96</v>
      </c>
      <c r="S1105" s="34" t="s">
        <v>3426</v>
      </c>
      <c r="T1105" s="12"/>
      <c r="U1105" s="12">
        <v>3.35</v>
      </c>
      <c r="V1105" s="12"/>
      <c r="W1105" s="12"/>
      <c r="X1105" s="12"/>
      <c r="Y1105" s="12"/>
      <c r="Z1105" s="12"/>
      <c r="AA1105" s="12"/>
    </row>
    <row r="1106" spans="1:27" ht="169" x14ac:dyDescent="0.2">
      <c r="A1106" s="23" t="s">
        <v>3421</v>
      </c>
      <c r="B1106" s="14" t="s">
        <v>3427</v>
      </c>
      <c r="C1106" s="14" t="s">
        <v>101</v>
      </c>
      <c r="D1106" s="12"/>
      <c r="E1106" s="14" t="s">
        <v>60</v>
      </c>
      <c r="F1106" s="14" t="s">
        <v>72</v>
      </c>
      <c r="G1106" s="12"/>
      <c r="H1106" s="17" t="s">
        <v>3428</v>
      </c>
      <c r="I1106" s="17">
        <v>1</v>
      </c>
      <c r="J1106" s="56" t="s">
        <v>3429</v>
      </c>
      <c r="K1106" s="12"/>
      <c r="L1106" s="12"/>
      <c r="M1106" s="12"/>
      <c r="N1106" s="12"/>
      <c r="O1106" s="30" t="str">
        <f>HYPERLINK("http://www.carrollu.edu/prospective/scholarships/macallister/","http://www.carrollu.edu/prospective/scholarships/macallister/")</f>
        <v>http://www.carrollu.edu/prospective/scholarships/macallister/</v>
      </c>
      <c r="P1106" s="33">
        <v>30388</v>
      </c>
      <c r="Q1106" s="25">
        <v>0.79</v>
      </c>
      <c r="R1106" s="14" t="s">
        <v>126</v>
      </c>
      <c r="S1106" s="14" t="s">
        <v>2889</v>
      </c>
      <c r="T1106" s="12"/>
      <c r="U1106" s="12">
        <v>3.3</v>
      </c>
      <c r="V1106" s="12"/>
      <c r="W1106" s="12"/>
      <c r="X1106" s="12"/>
      <c r="Y1106" s="12"/>
      <c r="Z1106" s="12"/>
      <c r="AA1106" s="12"/>
    </row>
    <row r="1107" spans="1:27" ht="221.25" customHeight="1" x14ac:dyDescent="0.2">
      <c r="A1107" s="23" t="s">
        <v>3421</v>
      </c>
      <c r="B1107" s="14" t="s">
        <v>3430</v>
      </c>
      <c r="C1107" s="14" t="s">
        <v>101</v>
      </c>
      <c r="D1107" s="12"/>
      <c r="E1107" s="14" t="s">
        <v>3431</v>
      </c>
      <c r="F1107" s="14" t="s">
        <v>72</v>
      </c>
      <c r="G1107" s="12"/>
      <c r="H1107" s="17" t="s">
        <v>1127</v>
      </c>
      <c r="I1107" s="17">
        <v>3</v>
      </c>
      <c r="J1107" s="16" t="s">
        <v>3432</v>
      </c>
      <c r="K1107" s="12"/>
      <c r="L1107" s="12"/>
      <c r="M1107" s="12"/>
      <c r="N1107" s="12"/>
      <c r="O1107" s="30" t="str">
        <f>HYPERLINK("https://www.carthage.edu/admissions/scholarships/competitive-scholarships/","https://www.carthage.edu/admissions/scholarships/competitive-scholarships/")</f>
        <v>https://www.carthage.edu/admissions/scholarships/competitive-scholarships/</v>
      </c>
      <c r="P1107" s="33">
        <v>40265</v>
      </c>
      <c r="Q1107" s="25">
        <v>0.77</v>
      </c>
      <c r="R1107" s="34" t="s">
        <v>565</v>
      </c>
      <c r="S1107" s="34" t="s">
        <v>3433</v>
      </c>
      <c r="T1107" s="12"/>
      <c r="U1107" s="12">
        <v>3.24</v>
      </c>
      <c r="V1107" s="12"/>
      <c r="W1107" s="12"/>
      <c r="X1107" s="12"/>
      <c r="Y1107" s="12"/>
      <c r="Z1107" s="12"/>
      <c r="AA1107" s="12"/>
    </row>
    <row r="1108" spans="1:27" ht="237" customHeight="1" x14ac:dyDescent="0.2">
      <c r="A1108" s="23" t="s">
        <v>3421</v>
      </c>
      <c r="B1108" s="14" t="s">
        <v>3430</v>
      </c>
      <c r="C1108" s="14" t="s">
        <v>101</v>
      </c>
      <c r="D1108" s="17" t="s">
        <v>3434</v>
      </c>
      <c r="E1108" s="14" t="s">
        <v>177</v>
      </c>
      <c r="F1108" s="14" t="s">
        <v>72</v>
      </c>
      <c r="G1108" s="12"/>
      <c r="H1108" s="17" t="s">
        <v>3435</v>
      </c>
      <c r="I1108" s="17">
        <v>1</v>
      </c>
      <c r="J1108" s="14" t="s">
        <v>3436</v>
      </c>
      <c r="K1108" s="24">
        <v>23</v>
      </c>
      <c r="L1108" s="12"/>
      <c r="M1108" s="12"/>
      <c r="N1108" s="24">
        <v>3</v>
      </c>
      <c r="O1108" s="30" t="str">
        <f>HYPERLINK("https://www.carthage.edu/admissions/scholarships/automatic-merit/","https://www.carthage.edu/admissions/scholarships/automatic-merit/")</f>
        <v>https://www.carthage.edu/admissions/scholarships/automatic-merit/</v>
      </c>
      <c r="P1108" s="33">
        <v>40265</v>
      </c>
      <c r="Q1108" s="25">
        <v>0.77</v>
      </c>
      <c r="R1108" s="34" t="s">
        <v>565</v>
      </c>
      <c r="S1108" s="34" t="s">
        <v>3433</v>
      </c>
      <c r="T1108" s="12"/>
      <c r="U1108" s="12">
        <v>3.24</v>
      </c>
      <c r="V1108" s="12"/>
      <c r="W1108" s="12"/>
      <c r="X1108" s="12"/>
      <c r="Y1108" s="12"/>
      <c r="Z1108" s="12"/>
      <c r="AA1108" s="12"/>
    </row>
    <row r="1109" spans="1:27" ht="252.75" customHeight="1" x14ac:dyDescent="0.2">
      <c r="A1109" s="23" t="s">
        <v>3421</v>
      </c>
      <c r="B1109" s="14" t="s">
        <v>3430</v>
      </c>
      <c r="C1109" s="14" t="s">
        <v>101</v>
      </c>
      <c r="D1109" s="17" t="s">
        <v>3437</v>
      </c>
      <c r="E1109" s="14" t="s">
        <v>177</v>
      </c>
      <c r="F1109" s="14" t="s">
        <v>72</v>
      </c>
      <c r="G1109" s="12"/>
      <c r="H1109" s="17" t="s">
        <v>3438</v>
      </c>
      <c r="I1109" s="17">
        <v>1</v>
      </c>
      <c r="J1109" s="14" t="s">
        <v>3439</v>
      </c>
      <c r="K1109" s="12"/>
      <c r="L1109" s="12"/>
      <c r="M1109" s="12"/>
      <c r="N1109" s="12"/>
      <c r="O1109" s="30" t="str">
        <f>HYPERLINK("https://www.carthage.edu/admissions/scholarships/additional-scholarships/","https://www.carthage.edu/admissions/scholarships/additional-scholarships/")</f>
        <v>https://www.carthage.edu/admissions/scholarships/additional-scholarships/</v>
      </c>
      <c r="P1109" s="33">
        <v>40265</v>
      </c>
      <c r="Q1109" s="25">
        <v>0.77</v>
      </c>
      <c r="R1109" s="34" t="s">
        <v>565</v>
      </c>
      <c r="S1109" s="34" t="s">
        <v>3433</v>
      </c>
      <c r="T1109" s="12"/>
      <c r="U1109" s="12">
        <v>3.24</v>
      </c>
      <c r="V1109" s="12"/>
      <c r="W1109" s="12"/>
      <c r="X1109" s="12"/>
      <c r="Y1109" s="12"/>
      <c r="Z1109" s="12"/>
      <c r="AA1109" s="12"/>
    </row>
    <row r="1110" spans="1:27" ht="268.5" customHeight="1" x14ac:dyDescent="0.2">
      <c r="A1110" s="23" t="s">
        <v>3421</v>
      </c>
      <c r="B1110" s="14" t="s">
        <v>3430</v>
      </c>
      <c r="C1110" s="14" t="s">
        <v>101</v>
      </c>
      <c r="D1110" s="17" t="s">
        <v>3437</v>
      </c>
      <c r="E1110" s="14" t="s">
        <v>177</v>
      </c>
      <c r="F1110" s="14" t="s">
        <v>72</v>
      </c>
      <c r="G1110" s="12"/>
      <c r="H1110" s="117" t="s">
        <v>3440</v>
      </c>
      <c r="I1110" s="17">
        <v>8</v>
      </c>
      <c r="J1110" s="14" t="s">
        <v>3441</v>
      </c>
      <c r="K1110" s="12"/>
      <c r="L1110" s="12"/>
      <c r="M1110" s="12"/>
      <c r="N1110" s="12"/>
      <c r="O1110" s="30" t="str">
        <f t="shared" ref="O1110:O1112" si="160">HYPERLINK("https://www.carthage.edu/admissions/scholarships/competitive-scholarships/","https://www.carthage.edu/admissions/scholarships/competitive-scholarships/")</f>
        <v>https://www.carthage.edu/admissions/scholarships/competitive-scholarships/</v>
      </c>
      <c r="P1110" s="33">
        <v>40265</v>
      </c>
      <c r="Q1110" s="25">
        <v>0.77</v>
      </c>
      <c r="R1110" s="34" t="s">
        <v>565</v>
      </c>
      <c r="S1110" s="34" t="s">
        <v>3433</v>
      </c>
      <c r="T1110" s="12"/>
      <c r="U1110" s="12">
        <v>3.24</v>
      </c>
      <c r="V1110" s="12"/>
      <c r="W1110" s="12"/>
      <c r="X1110" s="12"/>
      <c r="Y1110" s="12"/>
      <c r="Z1110" s="12"/>
      <c r="AA1110" s="12"/>
    </row>
    <row r="1111" spans="1:27" ht="205.5" customHeight="1" x14ac:dyDescent="0.2">
      <c r="A1111" s="23" t="s">
        <v>3421</v>
      </c>
      <c r="B1111" s="14" t="s">
        <v>3430</v>
      </c>
      <c r="C1111" s="14" t="s">
        <v>101</v>
      </c>
      <c r="D1111" s="12"/>
      <c r="E1111" s="14" t="s">
        <v>3431</v>
      </c>
      <c r="F1111" s="14" t="s">
        <v>72</v>
      </c>
      <c r="G1111" s="12"/>
      <c r="H1111" s="17" t="s">
        <v>3442</v>
      </c>
      <c r="I1111" s="17">
        <v>3</v>
      </c>
      <c r="J1111" s="16" t="s">
        <v>3443</v>
      </c>
      <c r="K1111" s="12"/>
      <c r="L1111" s="12"/>
      <c r="M1111" s="12"/>
      <c r="N1111" s="12"/>
      <c r="O1111" s="30" t="str">
        <f t="shared" si="160"/>
        <v>https://www.carthage.edu/admissions/scholarships/competitive-scholarships/</v>
      </c>
      <c r="P1111" s="33">
        <v>40265</v>
      </c>
      <c r="Q1111" s="25">
        <v>0.77</v>
      </c>
      <c r="R1111" s="34" t="s">
        <v>565</v>
      </c>
      <c r="S1111" s="34" t="s">
        <v>3433</v>
      </c>
      <c r="T1111" s="12"/>
      <c r="U1111" s="12">
        <v>3.24</v>
      </c>
      <c r="V1111" s="12"/>
      <c r="W1111" s="12"/>
      <c r="X1111" s="12"/>
      <c r="Y1111" s="12"/>
      <c r="Z1111" s="12"/>
      <c r="AA1111" s="12"/>
    </row>
    <row r="1112" spans="1:27" ht="268.5" customHeight="1" x14ac:dyDescent="0.2">
      <c r="A1112" s="109" t="s">
        <v>3421</v>
      </c>
      <c r="B1112" s="110" t="s">
        <v>3430</v>
      </c>
      <c r="C1112" s="110" t="s">
        <v>101</v>
      </c>
      <c r="D1112" s="112"/>
      <c r="E1112" s="110" t="s">
        <v>3444</v>
      </c>
      <c r="F1112" s="110" t="s">
        <v>72</v>
      </c>
      <c r="G1112" s="112"/>
      <c r="H1112" s="117" t="s">
        <v>3440</v>
      </c>
      <c r="I1112" s="117">
        <v>35</v>
      </c>
      <c r="J1112" s="128" t="s">
        <v>3445</v>
      </c>
      <c r="K1112" s="112"/>
      <c r="L1112" s="112"/>
      <c r="M1112" s="112"/>
      <c r="N1112" s="112"/>
      <c r="O1112" s="113" t="str">
        <f t="shared" si="160"/>
        <v>https://www.carthage.edu/admissions/scholarships/competitive-scholarships/</v>
      </c>
      <c r="P1112" s="124">
        <v>40265</v>
      </c>
      <c r="Q1112" s="114">
        <v>0.77</v>
      </c>
      <c r="R1112" s="126" t="s">
        <v>565</v>
      </c>
      <c r="S1112" s="126" t="s">
        <v>3433</v>
      </c>
      <c r="T1112" s="112"/>
      <c r="U1112" s="112">
        <v>3.24</v>
      </c>
      <c r="V1112" s="112"/>
      <c r="W1112" s="112"/>
      <c r="X1112" s="112"/>
      <c r="Y1112" s="112"/>
      <c r="Z1112" s="112"/>
      <c r="AA1112" s="112"/>
    </row>
    <row r="1113" spans="1:27" ht="205.5" customHeight="1" x14ac:dyDescent="0.2">
      <c r="A1113" s="23" t="s">
        <v>3421</v>
      </c>
      <c r="B1113" s="14" t="s">
        <v>3446</v>
      </c>
      <c r="C1113" s="14" t="s">
        <v>101</v>
      </c>
      <c r="D1113" s="12"/>
      <c r="E1113" s="14" t="s">
        <v>60</v>
      </c>
      <c r="F1113" s="14" t="s">
        <v>72</v>
      </c>
      <c r="G1113" s="12"/>
      <c r="H1113" s="17" t="s">
        <v>3447</v>
      </c>
      <c r="I1113" s="17" t="s">
        <v>74</v>
      </c>
      <c r="J1113" s="14" t="s">
        <v>3448</v>
      </c>
      <c r="K1113" s="12"/>
      <c r="L1113" s="12"/>
      <c r="M1113" s="12"/>
      <c r="N1113" s="12"/>
      <c r="O1113" s="30" t="str">
        <f>HYPERLINK("https://www.edgewood.edu/admissions/tuition-and-financial-aid/freshman-scholarships","https://www.edgewood.edu/admissions/tuition-and-financial-aid/freshman-scholarships")</f>
        <v>https://www.edgewood.edu/admissions/tuition-and-financial-aid/freshman-scholarships</v>
      </c>
      <c r="P1113" s="33">
        <v>27530</v>
      </c>
      <c r="Q1113" s="25">
        <v>0.77</v>
      </c>
      <c r="R1113" s="14" t="s">
        <v>124</v>
      </c>
      <c r="S1113" s="14" t="s">
        <v>3449</v>
      </c>
      <c r="T1113" s="12"/>
      <c r="U1113" s="12">
        <v>3.4</v>
      </c>
      <c r="V1113" s="12"/>
      <c r="W1113" s="12"/>
      <c r="X1113" s="12"/>
      <c r="Y1113" s="12"/>
      <c r="Z1113" s="12"/>
      <c r="AA1113" s="12"/>
    </row>
    <row r="1114" spans="1:27" ht="114" customHeight="1" x14ac:dyDescent="0.2">
      <c r="A1114" s="11" t="s">
        <v>3421</v>
      </c>
      <c r="B1114" s="12" t="s">
        <v>3450</v>
      </c>
      <c r="C1114" s="26" t="s">
        <v>101</v>
      </c>
      <c r="D1114" s="12"/>
      <c r="E1114" s="12" t="s">
        <v>60</v>
      </c>
      <c r="F1114" s="12" t="s">
        <v>72</v>
      </c>
      <c r="G1114" s="12"/>
      <c r="H1114" s="17" t="s">
        <v>3071</v>
      </c>
      <c r="I1114" s="17" t="s">
        <v>74</v>
      </c>
      <c r="J1114" s="61" t="s">
        <v>3451</v>
      </c>
      <c r="K1114" s="24">
        <v>24</v>
      </c>
      <c r="L1114" s="24"/>
      <c r="M1114" s="26"/>
      <c r="N1114" s="26">
        <v>3</v>
      </c>
      <c r="O1114" s="30" t="str">
        <f>HYPERLINK("https://lakeland.edu/Financial-Aid/estimated-financial-aid#major-specific-scholarships","https://lakeland.edu/Financial-Aid/estimated-financial-aid#major-specific-scholarships")</f>
        <v>https://lakeland.edu/Financial-Aid/estimated-financial-aid#major-specific-scholarships</v>
      </c>
      <c r="P1114" s="38">
        <v>26560</v>
      </c>
      <c r="Q1114" s="31">
        <v>0.77</v>
      </c>
      <c r="R1114" s="26" t="s">
        <v>550</v>
      </c>
      <c r="S1114" s="26" t="s">
        <v>2889</v>
      </c>
      <c r="T1114" s="12"/>
      <c r="U1114" s="12">
        <v>3</v>
      </c>
      <c r="V1114" s="12"/>
      <c r="W1114" s="12"/>
      <c r="X1114" s="12"/>
      <c r="Y1114" s="12"/>
      <c r="Z1114" s="12"/>
      <c r="AA1114" s="12"/>
    </row>
    <row r="1115" spans="1:27" ht="158.25" customHeight="1" x14ac:dyDescent="0.2">
      <c r="A1115" s="23" t="s">
        <v>3421</v>
      </c>
      <c r="B1115" s="14" t="s">
        <v>3452</v>
      </c>
      <c r="C1115" s="14" t="s">
        <v>101</v>
      </c>
      <c r="D1115" s="12"/>
      <c r="E1115" s="14" t="s">
        <v>238</v>
      </c>
      <c r="F1115" s="14" t="s">
        <v>92</v>
      </c>
      <c r="G1115" s="12"/>
      <c r="H1115" s="17" t="s">
        <v>2519</v>
      </c>
      <c r="I1115" s="17" t="s">
        <v>63</v>
      </c>
      <c r="J1115" s="14" t="s">
        <v>3453</v>
      </c>
      <c r="K1115" s="12"/>
      <c r="L1115" s="12"/>
      <c r="M1115" s="12"/>
      <c r="N1115" s="12"/>
      <c r="O1115" s="30" t="str">
        <f>HYPERLINK("http://www.lawrence.edu/admissions/afford/scholarships/other_scholarships","http://www.lawrence.edu/admissions/afford/scholarships/other_scholarships")</f>
        <v>http://www.lawrence.edu/admissions/afford/scholarships/other_scholarships</v>
      </c>
      <c r="P1115" s="33">
        <v>44844</v>
      </c>
      <c r="Q1115" s="58">
        <v>0.68</v>
      </c>
      <c r="R1115" s="34" t="s">
        <v>2567</v>
      </c>
      <c r="S1115" s="34" t="s">
        <v>3454</v>
      </c>
      <c r="T1115" s="12"/>
      <c r="U1115" s="12">
        <v>3.64</v>
      </c>
      <c r="V1115" s="12"/>
      <c r="W1115" s="12"/>
      <c r="X1115" s="12"/>
      <c r="Y1115" s="12"/>
      <c r="Z1115" s="12"/>
      <c r="AA1115" s="12"/>
    </row>
    <row r="1116" spans="1:27" ht="252.75" customHeight="1" x14ac:dyDescent="0.2">
      <c r="A1116" s="23" t="s">
        <v>3421</v>
      </c>
      <c r="B1116" s="14" t="s">
        <v>3455</v>
      </c>
      <c r="C1116" s="14" t="s">
        <v>101</v>
      </c>
      <c r="D1116" s="17" t="s">
        <v>194</v>
      </c>
      <c r="E1116" s="14" t="s">
        <v>88</v>
      </c>
      <c r="F1116" s="14" t="s">
        <v>72</v>
      </c>
      <c r="G1116" s="12"/>
      <c r="H1116" s="17" t="s">
        <v>3456</v>
      </c>
      <c r="I1116" s="17">
        <v>10</v>
      </c>
      <c r="J1116" s="14" t="s">
        <v>3457</v>
      </c>
      <c r="K1116" s="24">
        <v>25</v>
      </c>
      <c r="L1116" s="24">
        <v>1150</v>
      </c>
      <c r="M1116" s="16" t="s">
        <v>76</v>
      </c>
      <c r="N1116" s="12"/>
      <c r="O1116" s="30" t="str">
        <f>HYPERLINK("http://www.marquette.edu/explore/scholarships-burke.php","http://www.marquette.edu/explore/scholarships-burke.php")</f>
        <v>http://www.marquette.edu/explore/scholarships-burke.php</v>
      </c>
      <c r="P1116" s="33">
        <v>38470</v>
      </c>
      <c r="Q1116" s="25">
        <v>0.74</v>
      </c>
      <c r="R1116" s="14" t="s">
        <v>3458</v>
      </c>
      <c r="S1116" s="14" t="s">
        <v>3459</v>
      </c>
      <c r="T1116" s="12"/>
      <c r="U1116" s="12" t="s">
        <v>81</v>
      </c>
      <c r="V1116" s="12"/>
      <c r="W1116" s="12"/>
      <c r="X1116" s="12"/>
      <c r="Y1116" s="12"/>
      <c r="Z1116" s="12"/>
      <c r="AA1116" s="12"/>
    </row>
    <row r="1117" spans="1:27" ht="126.75" customHeight="1" x14ac:dyDescent="0.2">
      <c r="A1117" s="23" t="s">
        <v>3421</v>
      </c>
      <c r="B1117" s="14" t="s">
        <v>3455</v>
      </c>
      <c r="C1117" s="14" t="s">
        <v>101</v>
      </c>
      <c r="D1117" s="12"/>
      <c r="E1117" s="14" t="s">
        <v>177</v>
      </c>
      <c r="F1117" s="14" t="s">
        <v>72</v>
      </c>
      <c r="G1117" s="12"/>
      <c r="H1117" s="17" t="s">
        <v>3460</v>
      </c>
      <c r="I1117" s="17">
        <v>2</v>
      </c>
      <c r="J1117" s="14" t="s">
        <v>3461</v>
      </c>
      <c r="K1117" s="12"/>
      <c r="L1117" s="12"/>
      <c r="M1117" s="12"/>
      <c r="N1117" s="12"/>
      <c r="O1117" s="30" t="str">
        <f>HYPERLINK("http://www.marquette.edu/explore/scholarships-opus.php","http://www.marquette.edu/explore/scholarships-opus.php")</f>
        <v>http://www.marquette.edu/explore/scholarships-opus.php</v>
      </c>
      <c r="P1117" s="33">
        <v>38470</v>
      </c>
      <c r="Q1117" s="25">
        <v>0.74</v>
      </c>
      <c r="R1117" s="14" t="s">
        <v>3458</v>
      </c>
      <c r="S1117" s="14" t="s">
        <v>3459</v>
      </c>
      <c r="T1117" s="12"/>
      <c r="U1117" s="12" t="s">
        <v>81</v>
      </c>
      <c r="V1117" s="12"/>
      <c r="W1117" s="12"/>
      <c r="X1117" s="12"/>
      <c r="Y1117" s="12"/>
      <c r="Z1117" s="12"/>
      <c r="AA1117" s="12"/>
    </row>
    <row r="1118" spans="1:27" ht="174" customHeight="1" x14ac:dyDescent="0.2">
      <c r="A1118" s="23" t="s">
        <v>3421</v>
      </c>
      <c r="B1118" s="14" t="s">
        <v>3462</v>
      </c>
      <c r="C1118" s="14" t="s">
        <v>101</v>
      </c>
      <c r="D1118" s="12"/>
      <c r="E1118" s="14" t="s">
        <v>789</v>
      </c>
      <c r="F1118" s="14" t="s">
        <v>145</v>
      </c>
      <c r="G1118" s="12"/>
      <c r="H1118" s="17" t="s">
        <v>157</v>
      </c>
      <c r="I1118" s="17" t="s">
        <v>74</v>
      </c>
      <c r="J1118" s="14" t="s">
        <v>3463</v>
      </c>
      <c r="K1118" s="12"/>
      <c r="L1118" s="12"/>
      <c r="M1118" s="12"/>
      <c r="N1118" s="12"/>
      <c r="O1118" s="30" t="str">
        <f>HYPERLINK("https://www.afrotc.com/scholarships","https://www.afrotc.com/scholarships")</f>
        <v>https://www.afrotc.com/scholarships</v>
      </c>
      <c r="P1118" s="33">
        <v>37980</v>
      </c>
      <c r="Q1118" s="25">
        <v>0.65</v>
      </c>
      <c r="R1118" s="14" t="s">
        <v>148</v>
      </c>
      <c r="S1118" s="14" t="s">
        <v>3464</v>
      </c>
      <c r="T1118" s="12"/>
      <c r="U1118" s="12">
        <v>3.59</v>
      </c>
      <c r="V1118" s="12"/>
      <c r="W1118" s="12"/>
      <c r="X1118" s="12"/>
      <c r="Y1118" s="12"/>
      <c r="Z1118" s="12"/>
      <c r="AA1118" s="12"/>
    </row>
    <row r="1119" spans="1:27" ht="394.5" customHeight="1" x14ac:dyDescent="0.2">
      <c r="A1119" s="23" t="s">
        <v>3421</v>
      </c>
      <c r="B1119" s="14" t="s">
        <v>3462</v>
      </c>
      <c r="C1119" s="14" t="s">
        <v>101</v>
      </c>
      <c r="D1119" s="12"/>
      <c r="E1119" s="14" t="s">
        <v>2993</v>
      </c>
      <c r="F1119" s="14" t="s">
        <v>145</v>
      </c>
      <c r="G1119" s="12"/>
      <c r="H1119" s="17" t="s">
        <v>157</v>
      </c>
      <c r="I1119" s="17" t="s">
        <v>74</v>
      </c>
      <c r="J1119" s="56" t="s">
        <v>3465</v>
      </c>
      <c r="K1119" s="12"/>
      <c r="L1119" s="12"/>
      <c r="M1119" s="12"/>
      <c r="N1119" s="12"/>
      <c r="O1119" s="30" t="str">
        <f>HYPERLINK("http://www.msoe.edu/admissions/financial-aid/navy-rotc/","http://www.msoe.edu/admissions/financial-aid/navy-rotc/")</f>
        <v>http://www.msoe.edu/admissions/financial-aid/navy-rotc/</v>
      </c>
      <c r="P1119" s="33">
        <v>37980</v>
      </c>
      <c r="Q1119" s="25">
        <v>0.65</v>
      </c>
      <c r="R1119" s="14" t="s">
        <v>148</v>
      </c>
      <c r="S1119" s="14" t="s">
        <v>3464</v>
      </c>
      <c r="T1119" s="12"/>
      <c r="U1119" s="12">
        <v>3.59</v>
      </c>
      <c r="V1119" s="12"/>
      <c r="W1119" s="12"/>
      <c r="X1119" s="12"/>
      <c r="Y1119" s="12"/>
      <c r="Z1119" s="12"/>
      <c r="AA1119" s="12"/>
    </row>
    <row r="1120" spans="1:27" ht="189.75" customHeight="1" x14ac:dyDescent="0.2">
      <c r="A1120" s="23" t="s">
        <v>3421</v>
      </c>
      <c r="B1120" s="14" t="s">
        <v>3466</v>
      </c>
      <c r="C1120" s="14" t="s">
        <v>101</v>
      </c>
      <c r="D1120" s="12"/>
      <c r="E1120" s="14" t="s">
        <v>111</v>
      </c>
      <c r="F1120" s="14" t="s">
        <v>72</v>
      </c>
      <c r="G1120" s="12"/>
      <c r="H1120" s="17" t="s">
        <v>3467</v>
      </c>
      <c r="I1120" s="17" t="s">
        <v>74</v>
      </c>
      <c r="J1120" s="14" t="s">
        <v>3468</v>
      </c>
      <c r="K1120" s="12"/>
      <c r="L1120" s="12"/>
      <c r="M1120" s="12"/>
      <c r="N1120" s="24">
        <v>3.5</v>
      </c>
      <c r="O1120" s="30" t="str">
        <f>HYPERLINK("http://www.mtmary.edu/costs-aid/scholarships/full-tuition/index.html","http://www.mtmary.edu/costs-aid/scholarships/full-tuition/index.html")</f>
        <v>http://www.mtmary.edu/costs-aid/scholarships/full-tuition/index.html</v>
      </c>
      <c r="P1120" s="33">
        <v>27830</v>
      </c>
      <c r="Q1120" s="25">
        <v>0.53</v>
      </c>
      <c r="R1120" s="14" t="s">
        <v>631</v>
      </c>
      <c r="S1120" s="14" t="s">
        <v>2889</v>
      </c>
      <c r="T1120" s="12"/>
      <c r="U1120" s="12">
        <v>3.12</v>
      </c>
      <c r="V1120" s="12"/>
      <c r="W1120" s="12"/>
      <c r="X1120" s="12"/>
      <c r="Y1120" s="12"/>
      <c r="Z1120" s="12"/>
      <c r="AA1120" s="12"/>
    </row>
    <row r="1121" spans="1:27" ht="252.75" customHeight="1" x14ac:dyDescent="0.2">
      <c r="A1121" s="23" t="s">
        <v>3421</v>
      </c>
      <c r="B1121" s="14" t="s">
        <v>3469</v>
      </c>
      <c r="C1121" s="14" t="s">
        <v>101</v>
      </c>
      <c r="D1121" s="12"/>
      <c r="E1121" s="14" t="s">
        <v>177</v>
      </c>
      <c r="F1121" s="14" t="s">
        <v>72</v>
      </c>
      <c r="G1121" s="12"/>
      <c r="H1121" s="17" t="s">
        <v>3470</v>
      </c>
      <c r="I1121" s="17" t="s">
        <v>74</v>
      </c>
      <c r="J1121" s="16" t="s">
        <v>3471</v>
      </c>
      <c r="K1121" s="12"/>
      <c r="L1121" s="12"/>
      <c r="M1121" s="12"/>
      <c r="N1121" s="12"/>
      <c r="O1121" s="30" t="str">
        <f>HYPERLINK("http://www.ripon.edu/scholarships/#academic","http://www.ripon.edu/scholarships/#academic")</f>
        <v>http://www.ripon.edu/scholarships/#academic</v>
      </c>
      <c r="P1121" s="33">
        <v>39142</v>
      </c>
      <c r="Q1121" s="25">
        <v>0.66</v>
      </c>
      <c r="R1121" s="34" t="s">
        <v>182</v>
      </c>
      <c r="S1121" s="34" t="s">
        <v>3472</v>
      </c>
      <c r="T1121" s="12"/>
      <c r="U1121" s="23">
        <v>3.4</v>
      </c>
      <c r="V1121" s="12"/>
      <c r="W1121" s="12"/>
      <c r="X1121" s="12"/>
      <c r="Y1121" s="12"/>
      <c r="Z1121" s="12"/>
      <c r="AA1121" s="12"/>
    </row>
    <row r="1122" spans="1:27" ht="90.75" customHeight="1" x14ac:dyDescent="0.2">
      <c r="A1122" s="23" t="s">
        <v>3421</v>
      </c>
      <c r="B1122" s="14" t="s">
        <v>3473</v>
      </c>
      <c r="C1122" s="14" t="s">
        <v>101</v>
      </c>
      <c r="D1122" s="12"/>
      <c r="E1122" s="14" t="s">
        <v>177</v>
      </c>
      <c r="F1122" s="14" t="s">
        <v>72</v>
      </c>
      <c r="G1122" s="12"/>
      <c r="H1122" s="17" t="s">
        <v>239</v>
      </c>
      <c r="I1122" s="17" t="s">
        <v>74</v>
      </c>
      <c r="J1122" s="14" t="s">
        <v>3474</v>
      </c>
      <c r="K1122" s="12"/>
      <c r="L1122" s="12"/>
      <c r="M1122" s="12"/>
      <c r="N1122" s="12"/>
      <c r="O1122" s="30" t="str">
        <f>HYPERLINK("http://www.sl.edu/undergraduate-programs/financial-aid/grants-scholarships-and-loans/scholarships-for-traditional-students","http://www.sl.edu/undergraduate-programs/financial-aid/grants-scholarships-and-loans/scholarships-for-traditional-students")</f>
        <v>http://www.sl.edu/undergraduate-programs/financial-aid/grants-scholarships-and-loans/scholarships-for-traditional-students</v>
      </c>
      <c r="P1122" s="33">
        <v>14650</v>
      </c>
      <c r="Q1122" s="57">
        <v>0.83</v>
      </c>
      <c r="R1122" s="12" t="s">
        <v>3475</v>
      </c>
      <c r="S1122" s="12" t="s">
        <v>2889</v>
      </c>
      <c r="T1122" s="23"/>
      <c r="U1122" s="23">
        <v>2.73</v>
      </c>
      <c r="V1122" s="12"/>
      <c r="W1122" s="12"/>
      <c r="X1122" s="12"/>
      <c r="Y1122" s="12"/>
      <c r="Z1122" s="12"/>
      <c r="AA1122" s="12"/>
    </row>
    <row r="1123" spans="1:27" ht="15" customHeight="1" x14ac:dyDescent="0.2">
      <c r="A1123" s="23" t="s">
        <v>3421</v>
      </c>
      <c r="B1123" s="14" t="s">
        <v>3476</v>
      </c>
      <c r="C1123" s="14" t="s">
        <v>101</v>
      </c>
      <c r="D1123" s="12"/>
      <c r="E1123" s="14" t="s">
        <v>3477</v>
      </c>
      <c r="F1123" s="14" t="s">
        <v>145</v>
      </c>
      <c r="G1123" s="12"/>
      <c r="H1123" s="17" t="s">
        <v>157</v>
      </c>
      <c r="I1123" s="17" t="s">
        <v>74</v>
      </c>
      <c r="J1123" s="56" t="s">
        <v>3478</v>
      </c>
      <c r="K1123" s="12"/>
      <c r="L1123" s="12"/>
      <c r="M1123" s="12"/>
      <c r="N1123" s="12"/>
      <c r="O1123" s="30" t="str">
        <f>HYPERLINK("http://www.snc.edu/militaryscience/awards.html","http://www.snc.edu/militaryscience/awards.html")</f>
        <v>http://www.snc.edu/militaryscience/awards.html</v>
      </c>
      <c r="P1123" s="33">
        <v>35381</v>
      </c>
      <c r="Q1123" s="25">
        <v>0.78</v>
      </c>
      <c r="R1123" s="34" t="s">
        <v>142</v>
      </c>
      <c r="S1123" s="34" t="s">
        <v>2889</v>
      </c>
      <c r="T1123" s="23"/>
      <c r="U1123" s="23">
        <v>3.54</v>
      </c>
      <c r="V1123" s="12"/>
      <c r="W1123" s="12"/>
      <c r="X1123" s="12"/>
      <c r="Y1123" s="12"/>
      <c r="Z1123" s="12"/>
      <c r="AA1123" s="12"/>
    </row>
    <row r="1124" spans="1:27" ht="80.25" customHeight="1" x14ac:dyDescent="0.2">
      <c r="A1124" s="11" t="s">
        <v>3421</v>
      </c>
      <c r="B1124" s="12" t="s">
        <v>3479</v>
      </c>
      <c r="C1124" s="26" t="s">
        <v>59</v>
      </c>
      <c r="D1124" s="12"/>
      <c r="E1124" s="12" t="s">
        <v>3007</v>
      </c>
      <c r="F1124" s="12" t="s">
        <v>680</v>
      </c>
      <c r="G1124" s="12"/>
      <c r="H1124" s="17" t="s">
        <v>93</v>
      </c>
      <c r="I1124" s="17" t="s">
        <v>63</v>
      </c>
      <c r="J1124" s="181" t="s">
        <v>3480</v>
      </c>
      <c r="K1124" s="12"/>
      <c r="L1124" s="12"/>
      <c r="M1124" s="12"/>
      <c r="N1124" s="12"/>
      <c r="O1124" s="30" t="str">
        <f>HYPERLINK("http://admissions.uwosh.edu/costs-and-aid/scholarships/","http://admissions.uwosh.edu/costs-and-aid/scholarships/")</f>
        <v>http://admissions.uwosh.edu/costs-and-aid/scholarships/</v>
      </c>
      <c r="P1124" s="26" t="s">
        <v>3481</v>
      </c>
      <c r="Q1124" s="31">
        <v>0.68</v>
      </c>
      <c r="R1124" s="26" t="s">
        <v>120</v>
      </c>
      <c r="S1124" s="26" t="s">
        <v>2889</v>
      </c>
      <c r="T1124" s="23"/>
      <c r="U1124" s="23">
        <v>3.3</v>
      </c>
      <c r="V1124" s="12"/>
      <c r="W1124" s="12"/>
      <c r="X1124" s="12"/>
      <c r="Y1124" s="12"/>
      <c r="Z1124" s="12"/>
      <c r="AA1124" s="12"/>
    </row>
    <row r="1125" spans="1:27" ht="142.5" customHeight="1" x14ac:dyDescent="0.2">
      <c r="A1125" s="23" t="s">
        <v>3421</v>
      </c>
      <c r="B1125" s="14" t="s">
        <v>3482</v>
      </c>
      <c r="C1125" s="14" t="s">
        <v>59</v>
      </c>
      <c r="D1125" s="12"/>
      <c r="E1125" s="14" t="s">
        <v>238</v>
      </c>
      <c r="F1125" s="14" t="s">
        <v>72</v>
      </c>
      <c r="G1125" s="12"/>
      <c r="H1125" s="17" t="s">
        <v>454</v>
      </c>
      <c r="I1125" s="17">
        <v>10</v>
      </c>
      <c r="J1125" s="14" t="s">
        <v>3483</v>
      </c>
      <c r="K1125" s="12"/>
      <c r="L1125" s="12"/>
      <c r="M1125" s="12"/>
      <c r="N1125" s="12"/>
      <c r="O1125" s="19" t="s">
        <v>3484</v>
      </c>
      <c r="P1125" s="14" t="s">
        <v>3485</v>
      </c>
      <c r="Q1125" s="58">
        <v>0.77</v>
      </c>
      <c r="R1125" s="14" t="s">
        <v>565</v>
      </c>
      <c r="S1125" s="14" t="s">
        <v>2889</v>
      </c>
      <c r="T1125" s="23"/>
      <c r="U1125" s="12" t="s">
        <v>81</v>
      </c>
      <c r="V1125" s="12"/>
      <c r="W1125" s="12"/>
      <c r="X1125" s="12"/>
      <c r="Y1125" s="12"/>
      <c r="Z1125" s="12"/>
      <c r="AA1125" s="12"/>
    </row>
    <row r="1126" spans="1:27" ht="284.25" customHeight="1" x14ac:dyDescent="0.2">
      <c r="A1126" s="23" t="s">
        <v>3421</v>
      </c>
      <c r="B1126" s="14" t="s">
        <v>3486</v>
      </c>
      <c r="C1126" s="14" t="s">
        <v>59</v>
      </c>
      <c r="D1126" s="16" t="s">
        <v>3487</v>
      </c>
      <c r="E1126" s="14" t="s">
        <v>88</v>
      </c>
      <c r="F1126" s="14" t="s">
        <v>72</v>
      </c>
      <c r="G1126" s="12"/>
      <c r="H1126" s="17" t="s">
        <v>3488</v>
      </c>
      <c r="I1126" s="17" t="s">
        <v>74</v>
      </c>
      <c r="J1126" s="14" t="s">
        <v>3489</v>
      </c>
      <c r="K1126" s="12"/>
      <c r="L1126" s="12"/>
      <c r="M1126" s="12"/>
      <c r="N1126" s="24">
        <v>3</v>
      </c>
      <c r="O1126" s="30" t="str">
        <f>HYPERLINK("https://scholarships.wisc.edu/Scholarships/org?orgId=127","https://scholarships.wisc.edu/Scholarships/org?orgId=127")</f>
        <v>https://scholarships.wisc.edu/Scholarships/org?orgId=127</v>
      </c>
      <c r="P1126" s="14" t="s">
        <v>3490</v>
      </c>
      <c r="Q1126" s="25">
        <v>0.49</v>
      </c>
      <c r="R1126" s="14" t="s">
        <v>2415</v>
      </c>
      <c r="S1126" s="14" t="s">
        <v>3491</v>
      </c>
      <c r="T1126" s="23"/>
      <c r="U1126" s="23">
        <v>3.85</v>
      </c>
      <c r="V1126" s="12"/>
      <c r="W1126" s="12"/>
      <c r="X1126" s="12"/>
      <c r="Y1126" s="12"/>
      <c r="Z1126" s="12"/>
      <c r="AA1126" s="12"/>
    </row>
    <row r="1127" spans="1:27" ht="95.25" customHeight="1" x14ac:dyDescent="0.2">
      <c r="A1127" s="23" t="s">
        <v>3421</v>
      </c>
      <c r="B1127" s="14" t="s">
        <v>3492</v>
      </c>
      <c r="C1127" s="14" t="s">
        <v>59</v>
      </c>
      <c r="D1127" s="12"/>
      <c r="E1127" s="14" t="s">
        <v>3493</v>
      </c>
      <c r="F1127" s="14" t="s">
        <v>72</v>
      </c>
      <c r="G1127" s="12"/>
      <c r="H1127" s="17" t="s">
        <v>326</v>
      </c>
      <c r="I1127" s="17" t="s">
        <v>74</v>
      </c>
      <c r="J1127" s="14" t="s">
        <v>3494</v>
      </c>
      <c r="K1127" s="24">
        <v>28</v>
      </c>
      <c r="L1127" s="17">
        <v>1310</v>
      </c>
      <c r="M1127" s="17" t="s">
        <v>76</v>
      </c>
      <c r="N1127" s="24">
        <v>3.75</v>
      </c>
      <c r="O1127" s="30" t="str">
        <f>HYPERLINK("https://www.uwrf.edu/Admissions/scholarships.cfm","https://www.uwrf.edu/Admissions/scholarships.cfm")</f>
        <v>https://www.uwrf.edu/Admissions/scholarships.cfm</v>
      </c>
      <c r="P1127" s="14" t="s">
        <v>3495</v>
      </c>
      <c r="Q1127" s="25">
        <v>0.9</v>
      </c>
      <c r="R1127" s="14" t="s">
        <v>124</v>
      </c>
      <c r="S1127" s="14" t="s">
        <v>3496</v>
      </c>
      <c r="T1127" s="23"/>
      <c r="U1127" s="23">
        <v>3.32</v>
      </c>
      <c r="V1127" s="12"/>
      <c r="W1127" s="12"/>
      <c r="X1127" s="12"/>
      <c r="Y1127" s="12"/>
      <c r="Z1127" s="12"/>
      <c r="AA1127" s="12"/>
    </row>
    <row r="1128" spans="1:27" ht="95.25" customHeight="1" x14ac:dyDescent="0.2">
      <c r="A1128" s="82" t="s">
        <v>3421</v>
      </c>
      <c r="B1128" s="86" t="s">
        <v>3497</v>
      </c>
      <c r="C1128" s="86" t="s">
        <v>101</v>
      </c>
      <c r="D1128" s="193"/>
      <c r="E1128" s="86" t="s">
        <v>238</v>
      </c>
      <c r="F1128" s="86" t="s">
        <v>145</v>
      </c>
      <c r="G1128" s="193"/>
      <c r="H1128" s="191" t="s">
        <v>157</v>
      </c>
      <c r="I1128" s="191" t="s">
        <v>74</v>
      </c>
      <c r="J1128" s="86" t="s">
        <v>3498</v>
      </c>
      <c r="K1128" s="193"/>
      <c r="L1128" s="193"/>
      <c r="M1128" s="193"/>
      <c r="N1128" s="193"/>
      <c r="O1128" s="185" t="str">
        <f>HYPERLINK("http://www.viterbo.edu/sites/default/files/admissions/freshmanscholarshipsandawards_1.pdf","http://www.viterbo.edu/sites/default/files/admissions/freshmanscholarshipsandawards_1.pdf")</f>
        <v>http://www.viterbo.edu/sites/default/files/admissions/freshmanscholarshipsandawards_1.pdf</v>
      </c>
      <c r="P1128" s="266">
        <v>26150</v>
      </c>
      <c r="Q1128" s="267">
        <v>0.66</v>
      </c>
      <c r="R1128" s="86" t="s">
        <v>565</v>
      </c>
      <c r="S1128" s="86" t="s">
        <v>2889</v>
      </c>
      <c r="T1128" s="23"/>
      <c r="U1128" s="23" t="s">
        <v>3499</v>
      </c>
      <c r="V1128" s="12"/>
      <c r="W1128" s="12"/>
      <c r="X1128" s="12"/>
      <c r="Y1128" s="12"/>
      <c r="Z1128" s="12"/>
      <c r="AA1128" s="12"/>
    </row>
    <row r="1129" spans="1:27" ht="173.25" customHeight="1" x14ac:dyDescent="0.2">
      <c r="A1129" s="82" t="s">
        <v>3500</v>
      </c>
      <c r="B1129" s="86" t="s">
        <v>3501</v>
      </c>
      <c r="C1129" s="86" t="s">
        <v>101</v>
      </c>
      <c r="D1129" s="193"/>
      <c r="E1129" s="86" t="s">
        <v>60</v>
      </c>
      <c r="F1129" s="86" t="s">
        <v>61</v>
      </c>
      <c r="G1129" s="193"/>
      <c r="H1129" s="191" t="s">
        <v>62</v>
      </c>
      <c r="I1129" s="191" t="s">
        <v>63</v>
      </c>
      <c r="J1129" s="205" t="s">
        <v>3502</v>
      </c>
      <c r="K1129" s="206">
        <v>21</v>
      </c>
      <c r="L1129" s="193"/>
      <c r="M1129" s="193"/>
      <c r="N1129" s="206">
        <v>3</v>
      </c>
      <c r="O1129" s="185" t="str">
        <f>HYPERLINK("https://www.ovu.edu/admissions/financial-aid/scholarships.html","https://www.ovu.edu/admissions/financial-aid/scholarships.html")</f>
        <v>https://www.ovu.edu/admissions/financial-aid/scholarships.html</v>
      </c>
      <c r="P1129" s="266">
        <v>20460</v>
      </c>
      <c r="Q1129" s="267">
        <v>0.47</v>
      </c>
      <c r="R1129" s="86" t="s">
        <v>155</v>
      </c>
      <c r="S1129" s="86" t="s">
        <v>3503</v>
      </c>
      <c r="T1129" s="82"/>
      <c r="U1129" s="82">
        <v>2.85</v>
      </c>
      <c r="V1129" s="193"/>
      <c r="W1129" s="193"/>
      <c r="X1129" s="193"/>
      <c r="Y1129" s="193"/>
      <c r="Z1129" s="193"/>
      <c r="AA1129" s="193"/>
    </row>
    <row r="1130" spans="1:27" ht="110.25" customHeight="1" x14ac:dyDescent="0.2">
      <c r="A1130" s="82" t="s">
        <v>3500</v>
      </c>
      <c r="B1130" s="86" t="s">
        <v>3504</v>
      </c>
      <c r="C1130" s="86" t="s">
        <v>101</v>
      </c>
      <c r="D1130" s="193"/>
      <c r="E1130" s="86" t="s">
        <v>60</v>
      </c>
      <c r="F1130" s="86" t="s">
        <v>72</v>
      </c>
      <c r="G1130" s="193"/>
      <c r="H1130" s="191" t="s">
        <v>1471</v>
      </c>
      <c r="I1130" s="191" t="s">
        <v>74</v>
      </c>
      <c r="J1130" s="205" t="s">
        <v>3505</v>
      </c>
      <c r="K1130" s="206">
        <v>28</v>
      </c>
      <c r="L1130" s="206">
        <v>1250</v>
      </c>
      <c r="M1130" s="191" t="s">
        <v>76</v>
      </c>
      <c r="N1130" s="206">
        <v>3.8</v>
      </c>
      <c r="O1130" s="185" t="str">
        <f>HYPERLINK("http://www.ucwv.edu/Admissions/Undergraduate/UC-Scholarship-Days/","http://www.ucwv.edu/Admissions/Undergraduate/UC-Scholarship-Days/")</f>
        <v>http://www.ucwv.edu/Admissions/Undergraduate/UC-Scholarship-Days/</v>
      </c>
      <c r="P1130" s="266">
        <v>29900</v>
      </c>
      <c r="Q1130" s="267">
        <v>0.52</v>
      </c>
      <c r="R1130" s="86" t="s">
        <v>385</v>
      </c>
      <c r="S1130" s="86" t="s">
        <v>3506</v>
      </c>
      <c r="T1130" s="82"/>
      <c r="U1130" s="82">
        <v>3.37</v>
      </c>
      <c r="V1130" s="193"/>
      <c r="W1130" s="193"/>
      <c r="X1130" s="193"/>
      <c r="Y1130" s="193"/>
      <c r="Z1130" s="193"/>
      <c r="AA1130" s="193"/>
    </row>
    <row r="1131" spans="1:27" ht="110.25" customHeight="1" x14ac:dyDescent="0.2">
      <c r="A1131" s="82" t="s">
        <v>3500</v>
      </c>
      <c r="B1131" s="86" t="s">
        <v>3507</v>
      </c>
      <c r="C1131" s="86" t="s">
        <v>59</v>
      </c>
      <c r="D1131" s="193"/>
      <c r="E1131" s="86" t="s">
        <v>111</v>
      </c>
      <c r="F1131" s="86" t="s">
        <v>61</v>
      </c>
      <c r="G1131" s="193"/>
      <c r="H1131" s="191" t="s">
        <v>250</v>
      </c>
      <c r="I1131" s="191" t="s">
        <v>74</v>
      </c>
      <c r="J1131" s="86" t="s">
        <v>3508</v>
      </c>
      <c r="K1131" s="268">
        <v>30</v>
      </c>
      <c r="L1131" s="268">
        <v>1400</v>
      </c>
      <c r="M1131" s="191" t="s">
        <v>76</v>
      </c>
      <c r="N1131" s="268">
        <v>4</v>
      </c>
      <c r="O1131" s="185" t="str">
        <f>HYPERLINK("http://www.westliberty.edu/financial-aid/scholarships-2/","http://www.westliberty.edu/financial-aid/scholarships-2/")</f>
        <v>http://www.westliberty.edu/financial-aid/scholarships-2/</v>
      </c>
      <c r="P1131" s="86" t="s">
        <v>3509</v>
      </c>
      <c r="Q1131" s="267">
        <v>0.72</v>
      </c>
      <c r="R1131" s="86" t="s">
        <v>259</v>
      </c>
      <c r="S1131" s="86" t="s">
        <v>3510</v>
      </c>
      <c r="T1131" s="82"/>
      <c r="U1131" s="193">
        <v>3.35</v>
      </c>
      <c r="V1131" s="193"/>
      <c r="W1131" s="193"/>
      <c r="X1131" s="193"/>
      <c r="Y1131" s="193"/>
      <c r="Z1131" s="193"/>
      <c r="AA1131" s="193"/>
    </row>
    <row r="1132" spans="1:27" ht="111" customHeight="1" x14ac:dyDescent="0.2">
      <c r="A1132" s="82" t="s">
        <v>3500</v>
      </c>
      <c r="B1132" s="86" t="s">
        <v>3511</v>
      </c>
      <c r="C1132" s="86" t="s">
        <v>59</v>
      </c>
      <c r="D1132" s="86" t="s">
        <v>98</v>
      </c>
      <c r="E1132" s="86" t="s">
        <v>724</v>
      </c>
      <c r="F1132" s="86" t="s">
        <v>72</v>
      </c>
      <c r="G1132" s="193"/>
      <c r="H1132" s="191" t="s">
        <v>250</v>
      </c>
      <c r="I1132" s="191">
        <v>5</v>
      </c>
      <c r="J1132" s="86" t="s">
        <v>3512</v>
      </c>
      <c r="K1132" s="206">
        <v>30</v>
      </c>
      <c r="L1132" s="268">
        <v>1400</v>
      </c>
      <c r="M1132" s="205" t="s">
        <v>76</v>
      </c>
      <c r="N1132" s="206">
        <v>3.8</v>
      </c>
      <c r="O1132" s="207" t="s">
        <v>3513</v>
      </c>
      <c r="P1132" s="86" t="s">
        <v>3514</v>
      </c>
      <c r="Q1132" s="267">
        <v>0.86</v>
      </c>
      <c r="R1132" s="86" t="s">
        <v>182</v>
      </c>
      <c r="S1132" s="86" t="s">
        <v>3515</v>
      </c>
      <c r="T1132" s="82"/>
      <c r="U1132" s="193">
        <v>3.42</v>
      </c>
      <c r="V1132" s="193"/>
      <c r="W1132" s="193"/>
      <c r="X1132" s="193"/>
      <c r="Y1132" s="193"/>
      <c r="Z1132" s="193"/>
      <c r="AA1132" s="193"/>
    </row>
    <row r="1133" spans="1:27" ht="110.25" customHeight="1" x14ac:dyDescent="0.2">
      <c r="A1133" s="269" t="s">
        <v>3500</v>
      </c>
      <c r="B1133" s="270" t="s">
        <v>3511</v>
      </c>
      <c r="C1133" s="270" t="s">
        <v>59</v>
      </c>
      <c r="D1133" s="270" t="s">
        <v>98</v>
      </c>
      <c r="E1133" s="270" t="s">
        <v>88</v>
      </c>
      <c r="F1133" s="270" t="s">
        <v>92</v>
      </c>
      <c r="G1133" s="271"/>
      <c r="H1133" s="272" t="s">
        <v>93</v>
      </c>
      <c r="I1133" s="272" t="s">
        <v>63</v>
      </c>
      <c r="J1133" s="270" t="s">
        <v>3516</v>
      </c>
      <c r="K1133" s="271"/>
      <c r="L1133" s="271"/>
      <c r="M1133" s="271"/>
      <c r="N1133" s="273">
        <v>3.5</v>
      </c>
      <c r="O1133" s="274" t="s">
        <v>3517</v>
      </c>
      <c r="P1133" s="270" t="s">
        <v>3514</v>
      </c>
      <c r="Q1133" s="275">
        <v>0.86</v>
      </c>
      <c r="R1133" s="270" t="s">
        <v>182</v>
      </c>
      <c r="S1133" s="270" t="s">
        <v>3515</v>
      </c>
      <c r="T1133" s="269"/>
      <c r="U1133" s="271">
        <v>3.42</v>
      </c>
      <c r="V1133" s="271"/>
      <c r="W1133" s="271"/>
      <c r="X1133" s="271"/>
      <c r="Y1133" s="271"/>
      <c r="Z1133" s="271"/>
      <c r="AA1133" s="271"/>
    </row>
    <row r="1134" spans="1:27" ht="111" customHeight="1" x14ac:dyDescent="0.2">
      <c r="A1134" s="82" t="s">
        <v>3500</v>
      </c>
      <c r="B1134" s="86" t="s">
        <v>3511</v>
      </c>
      <c r="C1134" s="86" t="s">
        <v>59</v>
      </c>
      <c r="D1134" s="86" t="s">
        <v>334</v>
      </c>
      <c r="E1134" s="86" t="s">
        <v>88</v>
      </c>
      <c r="F1134" s="86" t="s">
        <v>92</v>
      </c>
      <c r="G1134" s="193"/>
      <c r="H1134" s="191" t="s">
        <v>93</v>
      </c>
      <c r="I1134" s="191" t="s">
        <v>63</v>
      </c>
      <c r="J1134" s="86" t="s">
        <v>3516</v>
      </c>
      <c r="K1134" s="193"/>
      <c r="L1134" s="193"/>
      <c r="M1134" s="193"/>
      <c r="N1134" s="206">
        <v>3.5</v>
      </c>
      <c r="O1134" s="276" t="s">
        <v>3518</v>
      </c>
      <c r="P1134" s="86" t="s">
        <v>3514</v>
      </c>
      <c r="Q1134" s="267">
        <v>0.86</v>
      </c>
      <c r="R1134" s="86" t="s">
        <v>182</v>
      </c>
      <c r="S1134" s="86" t="s">
        <v>3515</v>
      </c>
      <c r="T1134" s="82"/>
      <c r="U1134" s="193">
        <v>3.42</v>
      </c>
      <c r="V1134" s="193"/>
      <c r="W1134" s="193"/>
      <c r="X1134" s="193"/>
      <c r="Y1134" s="193"/>
      <c r="Z1134" s="193"/>
      <c r="AA1134" s="193"/>
    </row>
    <row r="1135" spans="1:27" ht="268.5" customHeight="1" x14ac:dyDescent="0.2">
      <c r="A1135" s="82" t="s">
        <v>3500</v>
      </c>
      <c r="B1135" s="14" t="s">
        <v>3519</v>
      </c>
      <c r="C1135" s="14" t="s">
        <v>101</v>
      </c>
      <c r="D1135" s="12"/>
      <c r="E1135" s="14" t="s">
        <v>60</v>
      </c>
      <c r="F1135" s="14" t="s">
        <v>72</v>
      </c>
      <c r="G1135" s="193"/>
      <c r="H1135" s="191" t="s">
        <v>250</v>
      </c>
      <c r="I1135" s="191">
        <v>2</v>
      </c>
      <c r="J1135" s="86" t="s">
        <v>3520</v>
      </c>
      <c r="K1135" s="206">
        <v>24</v>
      </c>
      <c r="L1135" s="206">
        <v>1100</v>
      </c>
      <c r="M1135" s="205" t="s">
        <v>76</v>
      </c>
      <c r="N1135" s="206">
        <v>3.5</v>
      </c>
      <c r="O1135" s="207" t="s">
        <v>3521</v>
      </c>
      <c r="P1135" s="33">
        <v>28110</v>
      </c>
      <c r="Q1135" s="25">
        <v>0.61</v>
      </c>
      <c r="R1135" s="14" t="s">
        <v>124</v>
      </c>
      <c r="S1135" s="14" t="s">
        <v>3522</v>
      </c>
      <c r="T1135" s="12"/>
      <c r="U1135" s="12">
        <v>3.44</v>
      </c>
      <c r="V1135" s="193"/>
      <c r="W1135" s="193"/>
      <c r="X1135" s="193"/>
      <c r="Y1135" s="193"/>
      <c r="Z1135" s="193"/>
      <c r="AA1135" s="193"/>
    </row>
    <row r="1136" spans="1:27" ht="331.5" customHeight="1" x14ac:dyDescent="0.2">
      <c r="A1136" s="82" t="s">
        <v>3523</v>
      </c>
      <c r="B1136" s="14" t="s">
        <v>3524</v>
      </c>
      <c r="C1136" s="14" t="s">
        <v>59</v>
      </c>
      <c r="D1136" s="14" t="s">
        <v>194</v>
      </c>
      <c r="E1136" s="14" t="s">
        <v>111</v>
      </c>
      <c r="F1136" s="14" t="s">
        <v>72</v>
      </c>
      <c r="G1136" s="193"/>
      <c r="H1136" s="191" t="s">
        <v>239</v>
      </c>
      <c r="I1136" s="191" t="s">
        <v>74</v>
      </c>
      <c r="J1136" s="86" t="s">
        <v>3525</v>
      </c>
      <c r="K1136" s="193"/>
      <c r="L1136" s="193"/>
      <c r="M1136" s="193"/>
      <c r="N1136" s="193"/>
      <c r="O1136" s="185" t="str">
        <f>HYPERLINK("http://www.uwyo.edu/admissions/scholarships/residents/trustees.html","http://www.uwyo.edu/admissions/scholarships/residents/trustees.html")</f>
        <v>http://www.uwyo.edu/admissions/scholarships/residents/trustees.html</v>
      </c>
      <c r="P1136" s="14" t="s">
        <v>3526</v>
      </c>
      <c r="Q1136" s="25">
        <v>0.96</v>
      </c>
      <c r="R1136" s="14" t="s">
        <v>142</v>
      </c>
      <c r="S1136" s="14" t="s">
        <v>3527</v>
      </c>
      <c r="T1136" s="12"/>
      <c r="U1136" s="12">
        <v>3.48</v>
      </c>
      <c r="V1136" s="193"/>
      <c r="W1136" s="193"/>
      <c r="X1136" s="193"/>
      <c r="Y1136" s="193"/>
      <c r="Z1136" s="193"/>
      <c r="AA1136" s="193"/>
    </row>
  </sheetData>
  <autoFilter ref="A2:U1136"/>
  <hyperlinks>
    <hyperlink ref="O3" r:id="rId1"/>
    <hyperlink ref="O4" r:id="rId2"/>
    <hyperlink ref="O5" r:id="rId3"/>
    <hyperlink ref="O15" r:id="rId4"/>
    <hyperlink ref="O16" r:id="rId5"/>
    <hyperlink ref="O17" r:id="rId6"/>
    <hyperlink ref="O63" r:id="rId7"/>
    <hyperlink ref="O64" r:id="rId8"/>
    <hyperlink ref="O89" r:id="rId9"/>
    <hyperlink ref="O90" r:id="rId10"/>
    <hyperlink ref="O102" r:id="rId11"/>
    <hyperlink ref="O103" r:id="rId12"/>
    <hyperlink ref="O104" r:id="rId13"/>
    <hyperlink ref="O105" r:id="rId14"/>
    <hyperlink ref="O120" r:id="rId15"/>
    <hyperlink ref="O202" r:id="rId16" location="_Toc303368532"/>
    <hyperlink ref="O225" r:id="rId17"/>
    <hyperlink ref="O226" r:id="rId18"/>
    <hyperlink ref="O230" r:id="rId19"/>
    <hyperlink ref="O234" r:id="rId20"/>
    <hyperlink ref="O246" r:id="rId21"/>
    <hyperlink ref="O265" r:id="rId22"/>
    <hyperlink ref="O269" r:id="rId23" location="Presidential"/>
    <hyperlink ref="O273" r:id="rId24"/>
    <hyperlink ref="O275" r:id="rId25"/>
    <hyperlink ref="O277" r:id="rId26"/>
    <hyperlink ref="O278" r:id="rId27"/>
    <hyperlink ref="O282" r:id="rId28"/>
    <hyperlink ref="O293" r:id="rId29"/>
    <hyperlink ref="O294" r:id="rId30"/>
    <hyperlink ref="O300" r:id="rId31"/>
    <hyperlink ref="O307" r:id="rId32"/>
    <hyperlink ref="O312" r:id="rId33"/>
    <hyperlink ref="O313" r:id="rId34"/>
    <hyperlink ref="O320" r:id="rId35"/>
    <hyperlink ref="O325" r:id="rId36"/>
    <hyperlink ref="O326" r:id="rId37"/>
    <hyperlink ref="O338" r:id="rId38"/>
    <hyperlink ref="O366" r:id="rId39"/>
    <hyperlink ref="O367" r:id="rId40"/>
    <hyperlink ref="O368" r:id="rId41"/>
    <hyperlink ref="O370" r:id="rId42"/>
    <hyperlink ref="O384" r:id="rId43"/>
    <hyperlink ref="O393" r:id="rId44"/>
    <hyperlink ref="O409" r:id="rId45"/>
    <hyperlink ref="O410" r:id="rId46"/>
    <hyperlink ref="O411" r:id="rId47"/>
    <hyperlink ref="O412" r:id="rId48"/>
    <hyperlink ref="O413" r:id="rId49"/>
    <hyperlink ref="O414" r:id="rId50"/>
    <hyperlink ref="O415" r:id="rId51"/>
    <hyperlink ref="O420" r:id="rId52"/>
    <hyperlink ref="O421" r:id="rId53"/>
    <hyperlink ref="O422" r:id="rId54"/>
    <hyperlink ref="O448" r:id="rId55"/>
    <hyperlink ref="O456" r:id="rId56"/>
    <hyperlink ref="O457" r:id="rId57"/>
    <hyperlink ref="O460" r:id="rId58"/>
    <hyperlink ref="O461" r:id="rId59"/>
    <hyperlink ref="O462" r:id="rId60"/>
    <hyperlink ref="O465" r:id="rId61" location="merit"/>
    <hyperlink ref="O475" r:id="rId62"/>
    <hyperlink ref="O476" r:id="rId63"/>
    <hyperlink ref="O479" r:id="rId64"/>
    <hyperlink ref="O512" r:id="rId65"/>
    <hyperlink ref="O514" r:id="rId66"/>
    <hyperlink ref="O542" r:id="rId67"/>
    <hyperlink ref="O543" r:id="rId68"/>
    <hyperlink ref="O546" r:id="rId69"/>
    <hyperlink ref="O547" r:id="rId70"/>
    <hyperlink ref="O553" r:id="rId71"/>
    <hyperlink ref="O556" r:id="rId72" location="8"/>
    <hyperlink ref="O567" r:id="rId73"/>
    <hyperlink ref="O573" r:id="rId74"/>
    <hyperlink ref="O574" r:id="rId75" location="freshman"/>
    <hyperlink ref="O578" r:id="rId76" location="pls"/>
    <hyperlink ref="O605" r:id="rId77"/>
    <hyperlink ref="O606" r:id="rId78"/>
    <hyperlink ref="O607" r:id="rId79"/>
    <hyperlink ref="O619" r:id="rId80"/>
    <hyperlink ref="O620" r:id="rId81"/>
    <hyperlink ref="O621" r:id="rId82"/>
    <hyperlink ref="O631" r:id="rId83"/>
    <hyperlink ref="O651" r:id="rId84" location="regent"/>
    <hyperlink ref="O667" r:id="rId85" location="FirstYear"/>
    <hyperlink ref="O671" r:id="rId86"/>
    <hyperlink ref="O682" r:id="rId87"/>
    <hyperlink ref="O686" r:id="rId88"/>
    <hyperlink ref="O687" r:id="rId89"/>
    <hyperlink ref="O706" r:id="rId90"/>
    <hyperlink ref="O722" r:id="rId91"/>
    <hyperlink ref="O723" r:id="rId92"/>
    <hyperlink ref="O734" r:id="rId93"/>
    <hyperlink ref="O735" r:id="rId94"/>
    <hyperlink ref="O741" r:id="rId95"/>
    <hyperlink ref="O742" r:id="rId96"/>
    <hyperlink ref="O743" r:id="rId97"/>
    <hyperlink ref="O744" r:id="rId98"/>
    <hyperlink ref="O745" r:id="rId99"/>
    <hyperlink ref="O747" r:id="rId100"/>
    <hyperlink ref="O748" r:id="rId101"/>
    <hyperlink ref="O755" r:id="rId102"/>
    <hyperlink ref="O760" r:id="rId103"/>
    <hyperlink ref="O761" r:id="rId104"/>
    <hyperlink ref="O768" r:id="rId105"/>
    <hyperlink ref="O785" r:id="rId106"/>
    <hyperlink ref="O786" r:id="rId107"/>
    <hyperlink ref="O787" r:id="rId108"/>
    <hyperlink ref="O788" r:id="rId109" location="tid-602"/>
    <hyperlink ref="O789" r:id="rId110" location="tid-602"/>
    <hyperlink ref="O790" r:id="rId111" location="tid-602"/>
    <hyperlink ref="O791" r:id="rId112" location="tid-602"/>
    <hyperlink ref="O792" r:id="rId113" location="tid-602"/>
    <hyperlink ref="O793" r:id="rId114" location="tid-602"/>
    <hyperlink ref="O802" r:id="rId115"/>
    <hyperlink ref="O803" r:id="rId116"/>
    <hyperlink ref="O804" r:id="rId117"/>
    <hyperlink ref="O805" r:id="rId118"/>
    <hyperlink ref="O806" r:id="rId119"/>
    <hyperlink ref="O808" r:id="rId120"/>
    <hyperlink ref="O812" r:id="rId121"/>
    <hyperlink ref="O813" r:id="rId122"/>
    <hyperlink ref="O814" r:id="rId123"/>
    <hyperlink ref="O815" r:id="rId124"/>
    <hyperlink ref="O824" r:id="rId125"/>
    <hyperlink ref="O851" r:id="rId126"/>
    <hyperlink ref="O857" r:id="rId127"/>
    <hyperlink ref="O893" r:id="rId128" location="full"/>
    <hyperlink ref="O896" r:id="rId129"/>
    <hyperlink ref="O898" r:id="rId130"/>
    <hyperlink ref="O899" r:id="rId131"/>
    <hyperlink ref="O900" r:id="rId132"/>
    <hyperlink ref="O901" r:id="rId133"/>
    <hyperlink ref="O916" r:id="rId134"/>
    <hyperlink ref="O939" r:id="rId135"/>
    <hyperlink ref="O940" r:id="rId136"/>
    <hyperlink ref="O950" r:id="rId137"/>
    <hyperlink ref="O960" r:id="rId138"/>
    <hyperlink ref="O961" r:id="rId139"/>
    <hyperlink ref="O968" r:id="rId140"/>
    <hyperlink ref="O971" r:id="rId141"/>
    <hyperlink ref="O979" r:id="rId142"/>
    <hyperlink ref="O987" r:id="rId143"/>
    <hyperlink ref="O991" r:id="rId144"/>
    <hyperlink ref="O1001" r:id="rId145"/>
    <hyperlink ref="O1004" r:id="rId146"/>
    <hyperlink ref="O1015" r:id="rId147"/>
    <hyperlink ref="O1022" r:id="rId148"/>
    <hyperlink ref="O1023" r:id="rId149"/>
    <hyperlink ref="O1024" r:id="rId150"/>
    <hyperlink ref="O1025" r:id="rId151"/>
    <hyperlink ref="O1028" r:id="rId152"/>
    <hyperlink ref="O1029" r:id="rId153"/>
    <hyperlink ref="O1034" r:id="rId154"/>
    <hyperlink ref="O1037" r:id="rId155"/>
    <hyperlink ref="O1051" r:id="rId156"/>
    <hyperlink ref="O1052" r:id="rId157"/>
    <hyperlink ref="O1053" r:id="rId158"/>
    <hyperlink ref="O1054" r:id="rId159"/>
    <hyperlink ref="O1064" r:id="rId160"/>
    <hyperlink ref="O1076" r:id="rId161"/>
    <hyperlink ref="O1077" r:id="rId162"/>
    <hyperlink ref="O1083" r:id="rId163"/>
    <hyperlink ref="O1084" r:id="rId164"/>
    <hyperlink ref="O1125" r:id="rId165"/>
    <hyperlink ref="O1132" r:id="rId166" location="Foundation%20Scholarship"/>
    <hyperlink ref="O1133" r:id="rId167" location="University%20Merit%20Scholarship"/>
    <hyperlink ref="O1134" r:id="rId168" location="University%20Merit%20Scholarship%20NR"/>
    <hyperlink ref="O1135" r:id="rId16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06"/>
  <sheetViews>
    <sheetView workbookViewId="0"/>
  </sheetViews>
  <sheetFormatPr baseColWidth="10" defaultColWidth="14.5" defaultRowHeight="15" customHeight="1" x14ac:dyDescent="0.2"/>
  <cols>
    <col min="1" max="1" width="8.6640625" customWidth="1"/>
    <col min="2" max="2" width="82.83203125" customWidth="1"/>
    <col min="3" max="26" width="8.6640625" customWidth="1"/>
  </cols>
  <sheetData>
    <row r="1" spans="1:2" x14ac:dyDescent="0.2">
      <c r="A1" s="2" t="s">
        <v>1</v>
      </c>
      <c r="B1" s="4"/>
    </row>
    <row r="2" spans="1:2" x14ac:dyDescent="0.2">
      <c r="B2" s="4"/>
    </row>
    <row r="3" spans="1:2" x14ac:dyDescent="0.2">
      <c r="A3" s="5">
        <v>42982</v>
      </c>
      <c r="B3" s="6" t="s">
        <v>2</v>
      </c>
    </row>
    <row r="4" spans="1:2" x14ac:dyDescent="0.2">
      <c r="A4" s="5">
        <v>42986</v>
      </c>
      <c r="B4" s="6" t="s">
        <v>3</v>
      </c>
    </row>
    <row r="5" spans="1:2" x14ac:dyDescent="0.2">
      <c r="B5" s="6" t="s">
        <v>4</v>
      </c>
    </row>
    <row r="6" spans="1:2" x14ac:dyDescent="0.2">
      <c r="B6" s="6" t="s">
        <v>5</v>
      </c>
    </row>
    <row r="7" spans="1:2" x14ac:dyDescent="0.2">
      <c r="B7" s="6" t="s">
        <v>6</v>
      </c>
    </row>
    <row r="8" spans="1:2" x14ac:dyDescent="0.2">
      <c r="B8" s="6" t="s">
        <v>7</v>
      </c>
    </row>
    <row r="9" spans="1:2" x14ac:dyDescent="0.2">
      <c r="A9" s="5">
        <v>43003</v>
      </c>
      <c r="B9" s="6" t="s">
        <v>8</v>
      </c>
    </row>
    <row r="10" spans="1:2" x14ac:dyDescent="0.2">
      <c r="B10" s="6" t="s">
        <v>10</v>
      </c>
    </row>
    <row r="11" spans="1:2" x14ac:dyDescent="0.2">
      <c r="B11" s="6" t="s">
        <v>11</v>
      </c>
    </row>
    <row r="12" spans="1:2" x14ac:dyDescent="0.2">
      <c r="A12" s="5">
        <v>43004</v>
      </c>
      <c r="B12" s="10" t="s">
        <v>12</v>
      </c>
    </row>
    <row r="13" spans="1:2" x14ac:dyDescent="0.2">
      <c r="B13" s="6" t="s">
        <v>14</v>
      </c>
    </row>
    <row r="14" spans="1:2" x14ac:dyDescent="0.2">
      <c r="B14" s="6" t="s">
        <v>15</v>
      </c>
    </row>
    <row r="15" spans="1:2" x14ac:dyDescent="0.2">
      <c r="B15" s="10" t="s">
        <v>16</v>
      </c>
    </row>
    <row r="16" spans="1:2" x14ac:dyDescent="0.2">
      <c r="B16" s="6" t="s">
        <v>17</v>
      </c>
    </row>
    <row r="17" spans="1:2" x14ac:dyDescent="0.2">
      <c r="B17" s="6" t="s">
        <v>18</v>
      </c>
    </row>
    <row r="18" spans="1:2" x14ac:dyDescent="0.2">
      <c r="B18" s="6" t="s">
        <v>19</v>
      </c>
    </row>
    <row r="19" spans="1:2" x14ac:dyDescent="0.2">
      <c r="A19" s="5">
        <v>43005</v>
      </c>
      <c r="B19" s="6" t="s">
        <v>20</v>
      </c>
    </row>
    <row r="20" spans="1:2" x14ac:dyDescent="0.2">
      <c r="B20" s="6" t="s">
        <v>21</v>
      </c>
    </row>
    <row r="21" spans="1:2" x14ac:dyDescent="0.2">
      <c r="A21" s="5">
        <v>43007</v>
      </c>
      <c r="B21" s="6" t="s">
        <v>23</v>
      </c>
    </row>
    <row r="22" spans="1:2" x14ac:dyDescent="0.2">
      <c r="A22" s="5">
        <v>43008</v>
      </c>
      <c r="B22" s="10" t="s">
        <v>24</v>
      </c>
    </row>
    <row r="23" spans="1:2" x14ac:dyDescent="0.2">
      <c r="A23" s="5">
        <v>43009</v>
      </c>
      <c r="B23" s="6" t="s">
        <v>25</v>
      </c>
    </row>
    <row r="24" spans="1:2" x14ac:dyDescent="0.2">
      <c r="B24" s="6" t="s">
        <v>26</v>
      </c>
    </row>
    <row r="25" spans="1:2" x14ac:dyDescent="0.2">
      <c r="A25" s="13">
        <v>43039</v>
      </c>
      <c r="B25" s="6" t="s">
        <v>35</v>
      </c>
    </row>
    <row r="26" spans="1:2" x14ac:dyDescent="0.2">
      <c r="B26" s="6" t="s">
        <v>36</v>
      </c>
    </row>
    <row r="27" spans="1:2" x14ac:dyDescent="0.2">
      <c r="B27" s="6" t="s">
        <v>37</v>
      </c>
    </row>
    <row r="28" spans="1:2" x14ac:dyDescent="0.2">
      <c r="B28" s="6" t="s">
        <v>38</v>
      </c>
    </row>
    <row r="29" spans="1:2" x14ac:dyDescent="0.2">
      <c r="B29" s="6" t="s">
        <v>39</v>
      </c>
    </row>
    <row r="30" spans="1:2" x14ac:dyDescent="0.2">
      <c r="B30" s="6" t="s">
        <v>40</v>
      </c>
    </row>
    <row r="31" spans="1:2" x14ac:dyDescent="0.2">
      <c r="B31" s="6" t="s">
        <v>41</v>
      </c>
    </row>
    <row r="32" spans="1:2" x14ac:dyDescent="0.2">
      <c r="B32" s="6" t="s">
        <v>42</v>
      </c>
    </row>
    <row r="33" spans="2:2" x14ac:dyDescent="0.2">
      <c r="B33" s="6" t="s">
        <v>44</v>
      </c>
    </row>
    <row r="34" spans="2:2" x14ac:dyDescent="0.2">
      <c r="B34" s="6" t="s">
        <v>47</v>
      </c>
    </row>
    <row r="35" spans="2:2" x14ac:dyDescent="0.2">
      <c r="B35" s="6" t="s">
        <v>50</v>
      </c>
    </row>
    <row r="36" spans="2:2" x14ac:dyDescent="0.2">
      <c r="B36" s="4"/>
    </row>
    <row r="37" spans="2:2" x14ac:dyDescent="0.2">
      <c r="B37" s="4"/>
    </row>
    <row r="38" spans="2:2" x14ac:dyDescent="0.2">
      <c r="B38" s="4"/>
    </row>
    <row r="39" spans="2:2" x14ac:dyDescent="0.2">
      <c r="B39" s="4"/>
    </row>
    <row r="40" spans="2:2" x14ac:dyDescent="0.2">
      <c r="B40" s="4"/>
    </row>
    <row r="41" spans="2:2" x14ac:dyDescent="0.2">
      <c r="B41" s="4"/>
    </row>
    <row r="42" spans="2:2" x14ac:dyDescent="0.2">
      <c r="B42" s="4"/>
    </row>
    <row r="43" spans="2:2" x14ac:dyDescent="0.2">
      <c r="B43" s="4"/>
    </row>
    <row r="44" spans="2:2" x14ac:dyDescent="0.2">
      <c r="B44" s="4"/>
    </row>
    <row r="45" spans="2:2" x14ac:dyDescent="0.2">
      <c r="B45" s="4"/>
    </row>
    <row r="46" spans="2:2" x14ac:dyDescent="0.2">
      <c r="B46" s="4"/>
    </row>
    <row r="47" spans="2:2" x14ac:dyDescent="0.2">
      <c r="B47" s="4"/>
    </row>
    <row r="48" spans="2:2" x14ac:dyDescent="0.2">
      <c r="B48" s="4"/>
    </row>
    <row r="49" spans="2:2" x14ac:dyDescent="0.2">
      <c r="B49" s="4"/>
    </row>
    <row r="50" spans="2:2" x14ac:dyDescent="0.2">
      <c r="B50" s="4"/>
    </row>
    <row r="51" spans="2:2" x14ac:dyDescent="0.2">
      <c r="B51" s="4"/>
    </row>
    <row r="52" spans="2:2" x14ac:dyDescent="0.2">
      <c r="B52" s="4"/>
    </row>
    <row r="53" spans="2:2" x14ac:dyDescent="0.2">
      <c r="B53" s="4"/>
    </row>
    <row r="54" spans="2:2" x14ac:dyDescent="0.2">
      <c r="B54" s="4"/>
    </row>
    <row r="55" spans="2:2" x14ac:dyDescent="0.2">
      <c r="B55" s="4"/>
    </row>
    <row r="56" spans="2:2" x14ac:dyDescent="0.2">
      <c r="B56" s="4"/>
    </row>
    <row r="57" spans="2:2" x14ac:dyDescent="0.2">
      <c r="B57" s="4"/>
    </row>
    <row r="58" spans="2:2" x14ac:dyDescent="0.2">
      <c r="B58" s="4"/>
    </row>
    <row r="59" spans="2:2" x14ac:dyDescent="0.2">
      <c r="B59" s="4"/>
    </row>
    <row r="60" spans="2:2" x14ac:dyDescent="0.2">
      <c r="B60" s="4"/>
    </row>
    <row r="61" spans="2:2" x14ac:dyDescent="0.2">
      <c r="B61" s="4"/>
    </row>
    <row r="62" spans="2:2" x14ac:dyDescent="0.2">
      <c r="B62" s="4"/>
    </row>
    <row r="63" spans="2:2" x14ac:dyDescent="0.2">
      <c r="B63" s="4"/>
    </row>
    <row r="64" spans="2:2" x14ac:dyDescent="0.2">
      <c r="B64" s="4"/>
    </row>
    <row r="65" spans="2:2" x14ac:dyDescent="0.2">
      <c r="B65" s="4"/>
    </row>
    <row r="66" spans="2:2" x14ac:dyDescent="0.2">
      <c r="B66" s="4"/>
    </row>
    <row r="67" spans="2:2" x14ac:dyDescent="0.2">
      <c r="B67" s="4"/>
    </row>
    <row r="68" spans="2:2" x14ac:dyDescent="0.2">
      <c r="B68" s="4"/>
    </row>
    <row r="69" spans="2:2" x14ac:dyDescent="0.2">
      <c r="B69" s="4"/>
    </row>
    <row r="70" spans="2:2" x14ac:dyDescent="0.2">
      <c r="B70" s="4"/>
    </row>
    <row r="71" spans="2:2" x14ac:dyDescent="0.2">
      <c r="B71" s="4"/>
    </row>
    <row r="72" spans="2:2" x14ac:dyDescent="0.2">
      <c r="B72" s="4"/>
    </row>
    <row r="73" spans="2:2" x14ac:dyDescent="0.2">
      <c r="B73" s="4"/>
    </row>
    <row r="74" spans="2:2" x14ac:dyDescent="0.2">
      <c r="B74" s="4"/>
    </row>
    <row r="75" spans="2:2" x14ac:dyDescent="0.2">
      <c r="B75" s="4"/>
    </row>
    <row r="76" spans="2:2" x14ac:dyDescent="0.2">
      <c r="B76" s="4"/>
    </row>
    <row r="77" spans="2:2" x14ac:dyDescent="0.2">
      <c r="B77" s="4"/>
    </row>
    <row r="78" spans="2:2" x14ac:dyDescent="0.2">
      <c r="B78" s="4"/>
    </row>
    <row r="79" spans="2:2" x14ac:dyDescent="0.2">
      <c r="B79" s="4"/>
    </row>
    <row r="80" spans="2:2" x14ac:dyDescent="0.2">
      <c r="B80" s="4"/>
    </row>
    <row r="81" spans="2:2" x14ac:dyDescent="0.2">
      <c r="B81" s="4"/>
    </row>
    <row r="82" spans="2:2" x14ac:dyDescent="0.2">
      <c r="B82" s="4"/>
    </row>
    <row r="83" spans="2:2" x14ac:dyDescent="0.2">
      <c r="B83" s="4"/>
    </row>
    <row r="84" spans="2:2" x14ac:dyDescent="0.2">
      <c r="B84" s="4"/>
    </row>
    <row r="85" spans="2:2" x14ac:dyDescent="0.2">
      <c r="B85" s="4"/>
    </row>
    <row r="86" spans="2:2" x14ac:dyDescent="0.2">
      <c r="B86" s="4"/>
    </row>
    <row r="87" spans="2:2" x14ac:dyDescent="0.2">
      <c r="B87" s="4"/>
    </row>
    <row r="88" spans="2:2" x14ac:dyDescent="0.2">
      <c r="B88" s="4"/>
    </row>
    <row r="89" spans="2:2" x14ac:dyDescent="0.2">
      <c r="B89" s="4"/>
    </row>
    <row r="90" spans="2:2" x14ac:dyDescent="0.2">
      <c r="B90" s="4"/>
    </row>
    <row r="91" spans="2:2" x14ac:dyDescent="0.2">
      <c r="B91" s="4"/>
    </row>
    <row r="92" spans="2:2" x14ac:dyDescent="0.2">
      <c r="B92" s="4"/>
    </row>
    <row r="93" spans="2:2" x14ac:dyDescent="0.2">
      <c r="B93" s="4"/>
    </row>
    <row r="94" spans="2:2" x14ac:dyDescent="0.2">
      <c r="B94" s="4"/>
    </row>
    <row r="95" spans="2:2" x14ac:dyDescent="0.2">
      <c r="B95" s="4"/>
    </row>
    <row r="96" spans="2:2" x14ac:dyDescent="0.2">
      <c r="B96" s="4"/>
    </row>
    <row r="97" spans="2:2" x14ac:dyDescent="0.2">
      <c r="B97" s="4"/>
    </row>
    <row r="98" spans="2:2" x14ac:dyDescent="0.2">
      <c r="B98" s="4"/>
    </row>
    <row r="99" spans="2:2" x14ac:dyDescent="0.2">
      <c r="B99" s="4"/>
    </row>
    <row r="100" spans="2:2" x14ac:dyDescent="0.2">
      <c r="B100" s="4"/>
    </row>
    <row r="101" spans="2:2" x14ac:dyDescent="0.2">
      <c r="B101" s="4"/>
    </row>
    <row r="102" spans="2:2" x14ac:dyDescent="0.2">
      <c r="B102" s="4"/>
    </row>
    <row r="103" spans="2:2" x14ac:dyDescent="0.2">
      <c r="B103" s="4"/>
    </row>
    <row r="104" spans="2:2" x14ac:dyDescent="0.2">
      <c r="B104" s="4"/>
    </row>
    <row r="105" spans="2:2" x14ac:dyDescent="0.2">
      <c r="B105" s="4"/>
    </row>
    <row r="106" spans="2:2" x14ac:dyDescent="0.2">
      <c r="B106" s="4"/>
    </row>
    <row r="107" spans="2:2" x14ac:dyDescent="0.2">
      <c r="B107" s="4"/>
    </row>
    <row r="108" spans="2:2" x14ac:dyDescent="0.2">
      <c r="B108" s="4"/>
    </row>
    <row r="109" spans="2:2" x14ac:dyDescent="0.2">
      <c r="B109" s="4"/>
    </row>
    <row r="110" spans="2:2" x14ac:dyDescent="0.2">
      <c r="B110" s="4"/>
    </row>
    <row r="111" spans="2:2" x14ac:dyDescent="0.2">
      <c r="B111" s="4"/>
    </row>
    <row r="112" spans="2:2" x14ac:dyDescent="0.2">
      <c r="B112" s="4"/>
    </row>
    <row r="113" spans="2:2" x14ac:dyDescent="0.2">
      <c r="B113" s="4"/>
    </row>
    <row r="114" spans="2:2" x14ac:dyDescent="0.2">
      <c r="B114" s="4"/>
    </row>
    <row r="115" spans="2:2" x14ac:dyDescent="0.2">
      <c r="B115" s="4"/>
    </row>
    <row r="116" spans="2:2" x14ac:dyDescent="0.2">
      <c r="B116" s="4"/>
    </row>
    <row r="117" spans="2:2" x14ac:dyDescent="0.2">
      <c r="B117" s="4"/>
    </row>
    <row r="118" spans="2:2" x14ac:dyDescent="0.2">
      <c r="B118" s="4"/>
    </row>
    <row r="119" spans="2:2" x14ac:dyDescent="0.2">
      <c r="B119" s="4"/>
    </row>
    <row r="120" spans="2:2" x14ac:dyDescent="0.2">
      <c r="B120" s="4"/>
    </row>
    <row r="121" spans="2:2" x14ac:dyDescent="0.2">
      <c r="B121" s="4"/>
    </row>
    <row r="122" spans="2:2" x14ac:dyDescent="0.2">
      <c r="B122" s="4"/>
    </row>
    <row r="123" spans="2:2" x14ac:dyDescent="0.2">
      <c r="B123" s="4"/>
    </row>
    <row r="124" spans="2:2" x14ac:dyDescent="0.2">
      <c r="B124" s="4"/>
    </row>
    <row r="125" spans="2:2" x14ac:dyDescent="0.2">
      <c r="B125" s="4"/>
    </row>
    <row r="126" spans="2:2" x14ac:dyDescent="0.2">
      <c r="B126" s="4"/>
    </row>
    <row r="127" spans="2:2" x14ac:dyDescent="0.2">
      <c r="B127" s="4"/>
    </row>
    <row r="128" spans="2:2" x14ac:dyDescent="0.2">
      <c r="B128" s="4"/>
    </row>
    <row r="129" spans="2:2" x14ac:dyDescent="0.2">
      <c r="B129" s="4"/>
    </row>
    <row r="130" spans="2:2" x14ac:dyDescent="0.2">
      <c r="B130" s="4"/>
    </row>
    <row r="131" spans="2:2" x14ac:dyDescent="0.2">
      <c r="B131" s="4"/>
    </row>
    <row r="132" spans="2:2" x14ac:dyDescent="0.2">
      <c r="B132" s="4"/>
    </row>
    <row r="133" spans="2:2" x14ac:dyDescent="0.2">
      <c r="B133" s="4"/>
    </row>
    <row r="134" spans="2:2" x14ac:dyDescent="0.2">
      <c r="B134" s="4"/>
    </row>
    <row r="135" spans="2:2" x14ac:dyDescent="0.2">
      <c r="B135" s="4"/>
    </row>
    <row r="136" spans="2:2" x14ac:dyDescent="0.2">
      <c r="B136" s="4"/>
    </row>
    <row r="137" spans="2:2" x14ac:dyDescent="0.2">
      <c r="B137" s="4"/>
    </row>
    <row r="138" spans="2:2" x14ac:dyDescent="0.2">
      <c r="B138" s="4"/>
    </row>
    <row r="139" spans="2:2" x14ac:dyDescent="0.2">
      <c r="B139" s="4"/>
    </row>
    <row r="140" spans="2:2" x14ac:dyDescent="0.2">
      <c r="B140" s="4"/>
    </row>
    <row r="141" spans="2:2" x14ac:dyDescent="0.2">
      <c r="B141" s="4"/>
    </row>
    <row r="142" spans="2:2" x14ac:dyDescent="0.2">
      <c r="B142" s="4"/>
    </row>
    <row r="143" spans="2:2" x14ac:dyDescent="0.2">
      <c r="B143" s="4"/>
    </row>
    <row r="144" spans="2:2" x14ac:dyDescent="0.2">
      <c r="B144" s="4"/>
    </row>
    <row r="145" spans="2:2" x14ac:dyDescent="0.2">
      <c r="B145" s="4"/>
    </row>
    <row r="146" spans="2:2" x14ac:dyDescent="0.2">
      <c r="B146" s="4"/>
    </row>
    <row r="147" spans="2:2" x14ac:dyDescent="0.2">
      <c r="B147" s="4"/>
    </row>
    <row r="148" spans="2:2" x14ac:dyDescent="0.2">
      <c r="B148" s="4"/>
    </row>
    <row r="149" spans="2:2" x14ac:dyDescent="0.2">
      <c r="B149" s="4"/>
    </row>
    <row r="150" spans="2:2" x14ac:dyDescent="0.2">
      <c r="B150" s="4"/>
    </row>
    <row r="151" spans="2:2" x14ac:dyDescent="0.2">
      <c r="B151" s="4"/>
    </row>
    <row r="152" spans="2:2" x14ac:dyDescent="0.2">
      <c r="B152" s="4"/>
    </row>
    <row r="153" spans="2:2" x14ac:dyDescent="0.2">
      <c r="B153" s="4"/>
    </row>
    <row r="154" spans="2:2" x14ac:dyDescent="0.2">
      <c r="B154" s="4"/>
    </row>
    <row r="155" spans="2:2" x14ac:dyDescent="0.2">
      <c r="B155" s="4"/>
    </row>
    <row r="156" spans="2:2" x14ac:dyDescent="0.2">
      <c r="B156" s="4"/>
    </row>
    <row r="157" spans="2:2" x14ac:dyDescent="0.2">
      <c r="B157" s="4"/>
    </row>
    <row r="158" spans="2:2" x14ac:dyDescent="0.2">
      <c r="B158" s="4"/>
    </row>
    <row r="159" spans="2:2" x14ac:dyDescent="0.2">
      <c r="B159" s="4"/>
    </row>
    <row r="160" spans="2:2" x14ac:dyDescent="0.2">
      <c r="B160" s="4"/>
    </row>
    <row r="161" spans="2:2" x14ac:dyDescent="0.2">
      <c r="B161" s="4"/>
    </row>
    <row r="162" spans="2:2" x14ac:dyDescent="0.2">
      <c r="B162" s="4"/>
    </row>
    <row r="163" spans="2:2" x14ac:dyDescent="0.2">
      <c r="B163" s="4"/>
    </row>
    <row r="164" spans="2:2" x14ac:dyDescent="0.2">
      <c r="B164" s="4"/>
    </row>
    <row r="165" spans="2:2" x14ac:dyDescent="0.2">
      <c r="B165" s="4"/>
    </row>
    <row r="166" spans="2:2" x14ac:dyDescent="0.2">
      <c r="B166" s="4"/>
    </row>
    <row r="167" spans="2:2" x14ac:dyDescent="0.2">
      <c r="B167" s="4"/>
    </row>
    <row r="168" spans="2:2" x14ac:dyDescent="0.2">
      <c r="B168" s="4"/>
    </row>
    <row r="169" spans="2:2" x14ac:dyDescent="0.2">
      <c r="B169" s="4"/>
    </row>
    <row r="170" spans="2:2" x14ac:dyDescent="0.2">
      <c r="B170" s="4"/>
    </row>
    <row r="171" spans="2:2" x14ac:dyDescent="0.2">
      <c r="B171" s="4"/>
    </row>
    <row r="172" spans="2:2" x14ac:dyDescent="0.2">
      <c r="B172" s="4"/>
    </row>
    <row r="173" spans="2:2" x14ac:dyDescent="0.2">
      <c r="B173" s="4"/>
    </row>
    <row r="174" spans="2:2" x14ac:dyDescent="0.2">
      <c r="B174" s="4"/>
    </row>
    <row r="175" spans="2:2" x14ac:dyDescent="0.2">
      <c r="B175" s="4"/>
    </row>
    <row r="176" spans="2:2" x14ac:dyDescent="0.2">
      <c r="B176" s="4"/>
    </row>
    <row r="177" spans="2:2" x14ac:dyDescent="0.2">
      <c r="B177" s="4"/>
    </row>
    <row r="178" spans="2:2" x14ac:dyDescent="0.2">
      <c r="B178" s="4"/>
    </row>
    <row r="179" spans="2:2" x14ac:dyDescent="0.2">
      <c r="B179" s="4"/>
    </row>
    <row r="180" spans="2:2" x14ac:dyDescent="0.2">
      <c r="B180" s="4"/>
    </row>
    <row r="181" spans="2:2" x14ac:dyDescent="0.2">
      <c r="B181" s="4"/>
    </row>
    <row r="182" spans="2:2" x14ac:dyDescent="0.2">
      <c r="B182" s="4"/>
    </row>
    <row r="183" spans="2:2" x14ac:dyDescent="0.2">
      <c r="B183" s="4"/>
    </row>
    <row r="184" spans="2:2" x14ac:dyDescent="0.2">
      <c r="B184" s="4"/>
    </row>
    <row r="185" spans="2:2" x14ac:dyDescent="0.2">
      <c r="B185" s="4"/>
    </row>
    <row r="186" spans="2:2" x14ac:dyDescent="0.2">
      <c r="B186" s="4"/>
    </row>
    <row r="187" spans="2:2" x14ac:dyDescent="0.2">
      <c r="B187" s="4"/>
    </row>
    <row r="188" spans="2:2" x14ac:dyDescent="0.2">
      <c r="B188" s="4"/>
    </row>
    <row r="189" spans="2:2" x14ac:dyDescent="0.2">
      <c r="B189" s="4"/>
    </row>
    <row r="190" spans="2:2" x14ac:dyDescent="0.2">
      <c r="B190" s="4"/>
    </row>
    <row r="191" spans="2:2" x14ac:dyDescent="0.2">
      <c r="B191" s="4"/>
    </row>
    <row r="192" spans="2:2" x14ac:dyDescent="0.2">
      <c r="B192" s="4"/>
    </row>
    <row r="193" spans="2:2" x14ac:dyDescent="0.2">
      <c r="B193" s="4"/>
    </row>
    <row r="194" spans="2:2" x14ac:dyDescent="0.2">
      <c r="B194" s="4"/>
    </row>
    <row r="195" spans="2:2" x14ac:dyDescent="0.2">
      <c r="B195" s="4"/>
    </row>
    <row r="196" spans="2:2" x14ac:dyDescent="0.2">
      <c r="B196" s="4"/>
    </row>
    <row r="197" spans="2:2" x14ac:dyDescent="0.2">
      <c r="B197" s="4"/>
    </row>
    <row r="198" spans="2:2" x14ac:dyDescent="0.2">
      <c r="B198" s="4"/>
    </row>
    <row r="199" spans="2:2" x14ac:dyDescent="0.2">
      <c r="B199" s="4"/>
    </row>
    <row r="200" spans="2:2" x14ac:dyDescent="0.2">
      <c r="B200" s="4"/>
    </row>
    <row r="201" spans="2:2" x14ac:dyDescent="0.2">
      <c r="B201" s="4"/>
    </row>
    <row r="202" spans="2:2" x14ac:dyDescent="0.2">
      <c r="B202" s="4"/>
    </row>
    <row r="203" spans="2:2" x14ac:dyDescent="0.2">
      <c r="B203" s="4"/>
    </row>
    <row r="204" spans="2:2" x14ac:dyDescent="0.2">
      <c r="B204" s="4"/>
    </row>
    <row r="205" spans="2:2" x14ac:dyDescent="0.2">
      <c r="B205" s="4"/>
    </row>
    <row r="206" spans="2:2" x14ac:dyDescent="0.2">
      <c r="B206" s="4"/>
    </row>
    <row r="207" spans="2:2" x14ac:dyDescent="0.2">
      <c r="B207" s="4"/>
    </row>
    <row r="208" spans="2:2" x14ac:dyDescent="0.2">
      <c r="B208" s="4"/>
    </row>
    <row r="209" spans="2:2" x14ac:dyDescent="0.2">
      <c r="B209" s="4"/>
    </row>
    <row r="210" spans="2:2" x14ac:dyDescent="0.2">
      <c r="B210" s="4"/>
    </row>
    <row r="211" spans="2:2" x14ac:dyDescent="0.2">
      <c r="B211" s="4"/>
    </row>
    <row r="212" spans="2:2" x14ac:dyDescent="0.2">
      <c r="B212" s="4"/>
    </row>
    <row r="213" spans="2:2" x14ac:dyDescent="0.2">
      <c r="B213" s="4"/>
    </row>
    <row r="214" spans="2:2" x14ac:dyDescent="0.2">
      <c r="B214" s="4"/>
    </row>
    <row r="215" spans="2:2" x14ac:dyDescent="0.2">
      <c r="B215" s="4"/>
    </row>
    <row r="216" spans="2:2" x14ac:dyDescent="0.2">
      <c r="B216" s="4"/>
    </row>
    <row r="217" spans="2:2" x14ac:dyDescent="0.2">
      <c r="B217" s="4"/>
    </row>
    <row r="218" spans="2:2" x14ac:dyDescent="0.2">
      <c r="B218" s="4"/>
    </row>
    <row r="219" spans="2:2" x14ac:dyDescent="0.2">
      <c r="B219" s="4"/>
    </row>
    <row r="220" spans="2:2" x14ac:dyDescent="0.2">
      <c r="B220" s="4"/>
    </row>
    <row r="221" spans="2:2" x14ac:dyDescent="0.2">
      <c r="B221" s="4"/>
    </row>
    <row r="222" spans="2:2" x14ac:dyDescent="0.2">
      <c r="B222" s="4"/>
    </row>
    <row r="223" spans="2:2" x14ac:dyDescent="0.2">
      <c r="B223" s="4"/>
    </row>
    <row r="224" spans="2:2" x14ac:dyDescent="0.2">
      <c r="B224" s="4"/>
    </row>
    <row r="225" spans="2:2" x14ac:dyDescent="0.2">
      <c r="B225" s="4"/>
    </row>
    <row r="226" spans="2:2" x14ac:dyDescent="0.2">
      <c r="B226" s="4"/>
    </row>
    <row r="227" spans="2:2" x14ac:dyDescent="0.2">
      <c r="B227" s="4"/>
    </row>
    <row r="228" spans="2:2" x14ac:dyDescent="0.2">
      <c r="B228" s="4"/>
    </row>
    <row r="229" spans="2:2" x14ac:dyDescent="0.2">
      <c r="B229" s="4"/>
    </row>
    <row r="230" spans="2:2" x14ac:dyDescent="0.2">
      <c r="B230" s="4"/>
    </row>
    <row r="231" spans="2:2" x14ac:dyDescent="0.2">
      <c r="B231" s="4"/>
    </row>
    <row r="232" spans="2:2" x14ac:dyDescent="0.2">
      <c r="B232" s="4"/>
    </row>
    <row r="233" spans="2:2" x14ac:dyDescent="0.2">
      <c r="B233" s="4"/>
    </row>
    <row r="234" spans="2:2" x14ac:dyDescent="0.2">
      <c r="B234" s="4"/>
    </row>
    <row r="235" spans="2:2" x14ac:dyDescent="0.2">
      <c r="B235" s="4"/>
    </row>
    <row r="236" spans="2:2" x14ac:dyDescent="0.2">
      <c r="B236" s="4"/>
    </row>
    <row r="237" spans="2:2" x14ac:dyDescent="0.2">
      <c r="B237" s="4"/>
    </row>
    <row r="238" spans="2:2" x14ac:dyDescent="0.2">
      <c r="B238" s="4"/>
    </row>
    <row r="239" spans="2:2" x14ac:dyDescent="0.2">
      <c r="B239" s="4"/>
    </row>
    <row r="240" spans="2:2" x14ac:dyDescent="0.2">
      <c r="B240" s="4"/>
    </row>
    <row r="241" spans="2:2" x14ac:dyDescent="0.2">
      <c r="B241" s="4"/>
    </row>
    <row r="242" spans="2:2" x14ac:dyDescent="0.2">
      <c r="B242" s="4"/>
    </row>
    <row r="243" spans="2:2" x14ac:dyDescent="0.2">
      <c r="B243" s="4"/>
    </row>
    <row r="244" spans="2:2" x14ac:dyDescent="0.2">
      <c r="B244" s="4"/>
    </row>
    <row r="245" spans="2:2" x14ac:dyDescent="0.2">
      <c r="B245" s="4"/>
    </row>
    <row r="246" spans="2:2" x14ac:dyDescent="0.2">
      <c r="B246" s="4"/>
    </row>
    <row r="247" spans="2:2" x14ac:dyDescent="0.2">
      <c r="B247" s="4"/>
    </row>
    <row r="248" spans="2:2" x14ac:dyDescent="0.2">
      <c r="B248" s="4"/>
    </row>
    <row r="249" spans="2:2" x14ac:dyDescent="0.2">
      <c r="B249" s="4"/>
    </row>
    <row r="250" spans="2:2" x14ac:dyDescent="0.2">
      <c r="B250" s="4"/>
    </row>
    <row r="251" spans="2:2" x14ac:dyDescent="0.2">
      <c r="B251" s="4"/>
    </row>
    <row r="252" spans="2:2" x14ac:dyDescent="0.2">
      <c r="B252" s="4"/>
    </row>
    <row r="253" spans="2:2" x14ac:dyDescent="0.2">
      <c r="B253" s="4"/>
    </row>
    <row r="254" spans="2:2" x14ac:dyDescent="0.2">
      <c r="B254" s="4"/>
    </row>
    <row r="255" spans="2:2" x14ac:dyDescent="0.2">
      <c r="B255" s="4"/>
    </row>
    <row r="256" spans="2:2" x14ac:dyDescent="0.2">
      <c r="B256" s="4"/>
    </row>
    <row r="257" spans="2:2" x14ac:dyDescent="0.2">
      <c r="B257" s="4"/>
    </row>
    <row r="258" spans="2:2" x14ac:dyDescent="0.2">
      <c r="B258" s="4"/>
    </row>
    <row r="259" spans="2:2" x14ac:dyDescent="0.2">
      <c r="B259" s="4"/>
    </row>
    <row r="260" spans="2:2" x14ac:dyDescent="0.2">
      <c r="B260" s="4"/>
    </row>
    <row r="261" spans="2:2" x14ac:dyDescent="0.2">
      <c r="B261" s="4"/>
    </row>
    <row r="262" spans="2:2" x14ac:dyDescent="0.2">
      <c r="B262" s="4"/>
    </row>
    <row r="263" spans="2:2" x14ac:dyDescent="0.2">
      <c r="B263" s="4"/>
    </row>
    <row r="264" spans="2:2" x14ac:dyDescent="0.2">
      <c r="B264" s="4"/>
    </row>
    <row r="265" spans="2:2" x14ac:dyDescent="0.2">
      <c r="B265" s="4"/>
    </row>
    <row r="266" spans="2:2" x14ac:dyDescent="0.2">
      <c r="B266" s="4"/>
    </row>
    <row r="267" spans="2:2" x14ac:dyDescent="0.2">
      <c r="B267" s="4"/>
    </row>
    <row r="268" spans="2:2" x14ac:dyDescent="0.2">
      <c r="B268" s="4"/>
    </row>
    <row r="269" spans="2:2" x14ac:dyDescent="0.2">
      <c r="B269" s="4"/>
    </row>
    <row r="270" spans="2:2" x14ac:dyDescent="0.2">
      <c r="B270" s="4"/>
    </row>
    <row r="271" spans="2:2" x14ac:dyDescent="0.2">
      <c r="B271" s="4"/>
    </row>
    <row r="272" spans="2:2" x14ac:dyDescent="0.2">
      <c r="B272" s="4"/>
    </row>
    <row r="273" spans="2:2" x14ac:dyDescent="0.2">
      <c r="B273" s="4"/>
    </row>
    <row r="274" spans="2:2" x14ac:dyDescent="0.2">
      <c r="B274" s="4"/>
    </row>
    <row r="275" spans="2:2" x14ac:dyDescent="0.2">
      <c r="B275" s="4"/>
    </row>
    <row r="276" spans="2:2" x14ac:dyDescent="0.2">
      <c r="B276" s="4"/>
    </row>
    <row r="277" spans="2:2" x14ac:dyDescent="0.2">
      <c r="B277" s="4"/>
    </row>
    <row r="278" spans="2:2" x14ac:dyDescent="0.2">
      <c r="B278" s="4"/>
    </row>
    <row r="279" spans="2:2" x14ac:dyDescent="0.2">
      <c r="B279" s="4"/>
    </row>
    <row r="280" spans="2:2" x14ac:dyDescent="0.2">
      <c r="B280" s="4"/>
    </row>
    <row r="281" spans="2:2" x14ac:dyDescent="0.2">
      <c r="B281" s="4"/>
    </row>
    <row r="282" spans="2:2" x14ac:dyDescent="0.2">
      <c r="B282" s="4"/>
    </row>
    <row r="283" spans="2:2" x14ac:dyDescent="0.2">
      <c r="B283" s="4"/>
    </row>
    <row r="284" spans="2:2" x14ac:dyDescent="0.2">
      <c r="B284" s="4"/>
    </row>
    <row r="285" spans="2:2" x14ac:dyDescent="0.2">
      <c r="B285" s="4"/>
    </row>
    <row r="286" spans="2:2" x14ac:dyDescent="0.2">
      <c r="B286" s="4"/>
    </row>
    <row r="287" spans="2:2" x14ac:dyDescent="0.2">
      <c r="B287" s="4"/>
    </row>
    <row r="288" spans="2:2" x14ac:dyDescent="0.2">
      <c r="B288" s="4"/>
    </row>
    <row r="289" spans="2:2" x14ac:dyDescent="0.2">
      <c r="B289" s="4"/>
    </row>
    <row r="290" spans="2:2" x14ac:dyDescent="0.2">
      <c r="B290" s="4"/>
    </row>
    <row r="291" spans="2:2" x14ac:dyDescent="0.2">
      <c r="B291" s="4"/>
    </row>
    <row r="292" spans="2:2" x14ac:dyDescent="0.2">
      <c r="B292" s="4"/>
    </row>
    <row r="293" spans="2:2" x14ac:dyDescent="0.2">
      <c r="B293" s="4"/>
    </row>
    <row r="294" spans="2:2" x14ac:dyDescent="0.2">
      <c r="B294" s="4"/>
    </row>
    <row r="295" spans="2:2" x14ac:dyDescent="0.2">
      <c r="B295" s="4"/>
    </row>
    <row r="296" spans="2:2" x14ac:dyDescent="0.2">
      <c r="B296" s="4"/>
    </row>
    <row r="297" spans="2:2" x14ac:dyDescent="0.2">
      <c r="B297" s="4"/>
    </row>
    <row r="298" spans="2:2" x14ac:dyDescent="0.2">
      <c r="B298" s="4"/>
    </row>
    <row r="299" spans="2:2" x14ac:dyDescent="0.2">
      <c r="B299" s="4"/>
    </row>
    <row r="300" spans="2:2" x14ac:dyDescent="0.2">
      <c r="B300" s="4"/>
    </row>
    <row r="301" spans="2:2" x14ac:dyDescent="0.2">
      <c r="B301" s="4"/>
    </row>
    <row r="302" spans="2:2" x14ac:dyDescent="0.2">
      <c r="B302" s="4"/>
    </row>
    <row r="303" spans="2:2" x14ac:dyDescent="0.2">
      <c r="B303" s="4"/>
    </row>
    <row r="304" spans="2:2" x14ac:dyDescent="0.2">
      <c r="B304" s="4"/>
    </row>
    <row r="305" spans="2:2" x14ac:dyDescent="0.2">
      <c r="B305" s="4"/>
    </row>
    <row r="306" spans="2:2" x14ac:dyDescent="0.2">
      <c r="B306" s="4"/>
    </row>
    <row r="307" spans="2:2" x14ac:dyDescent="0.2">
      <c r="B307" s="4"/>
    </row>
    <row r="308" spans="2:2" x14ac:dyDescent="0.2">
      <c r="B308" s="4"/>
    </row>
    <row r="309" spans="2:2" x14ac:dyDescent="0.2">
      <c r="B309" s="4"/>
    </row>
    <row r="310" spans="2:2" x14ac:dyDescent="0.2">
      <c r="B310" s="4"/>
    </row>
    <row r="311" spans="2:2" x14ac:dyDescent="0.2">
      <c r="B311" s="4"/>
    </row>
    <row r="312" spans="2:2" x14ac:dyDescent="0.2">
      <c r="B312" s="4"/>
    </row>
    <row r="313" spans="2:2" x14ac:dyDescent="0.2">
      <c r="B313" s="4"/>
    </row>
    <row r="314" spans="2:2" x14ac:dyDescent="0.2">
      <c r="B314" s="4"/>
    </row>
    <row r="315" spans="2:2" x14ac:dyDescent="0.2">
      <c r="B315" s="4"/>
    </row>
    <row r="316" spans="2:2" x14ac:dyDescent="0.2">
      <c r="B316" s="4"/>
    </row>
    <row r="317" spans="2:2" x14ac:dyDescent="0.2">
      <c r="B317" s="4"/>
    </row>
    <row r="318" spans="2:2" x14ac:dyDescent="0.2">
      <c r="B318" s="4"/>
    </row>
    <row r="319" spans="2:2" x14ac:dyDescent="0.2">
      <c r="B319" s="4"/>
    </row>
    <row r="320" spans="2:2" x14ac:dyDescent="0.2">
      <c r="B320" s="4"/>
    </row>
    <row r="321" spans="2:2" x14ac:dyDescent="0.2">
      <c r="B321" s="4"/>
    </row>
    <row r="322" spans="2:2" x14ac:dyDescent="0.2">
      <c r="B322" s="4"/>
    </row>
    <row r="323" spans="2:2" x14ac:dyDescent="0.2">
      <c r="B323" s="4"/>
    </row>
    <row r="324" spans="2:2" x14ac:dyDescent="0.2">
      <c r="B324" s="4"/>
    </row>
    <row r="325" spans="2:2" x14ac:dyDescent="0.2">
      <c r="B325" s="4"/>
    </row>
    <row r="326" spans="2:2" x14ac:dyDescent="0.2">
      <c r="B326" s="4"/>
    </row>
    <row r="327" spans="2:2" x14ac:dyDescent="0.2">
      <c r="B327" s="4"/>
    </row>
    <row r="328" spans="2:2" x14ac:dyDescent="0.2">
      <c r="B328" s="4"/>
    </row>
    <row r="329" spans="2:2" x14ac:dyDescent="0.2">
      <c r="B329" s="4"/>
    </row>
    <row r="330" spans="2:2" x14ac:dyDescent="0.2">
      <c r="B330" s="4"/>
    </row>
    <row r="331" spans="2:2" x14ac:dyDescent="0.2">
      <c r="B331" s="4"/>
    </row>
    <row r="332" spans="2:2" x14ac:dyDescent="0.2">
      <c r="B332" s="4"/>
    </row>
    <row r="333" spans="2:2" x14ac:dyDescent="0.2">
      <c r="B333" s="4"/>
    </row>
    <row r="334" spans="2:2" x14ac:dyDescent="0.2">
      <c r="B334" s="4"/>
    </row>
    <row r="335" spans="2:2" x14ac:dyDescent="0.2">
      <c r="B335" s="4"/>
    </row>
    <row r="336" spans="2:2" x14ac:dyDescent="0.2">
      <c r="B336" s="4"/>
    </row>
    <row r="337" spans="2:2" x14ac:dyDescent="0.2">
      <c r="B337" s="4"/>
    </row>
    <row r="338" spans="2:2" x14ac:dyDescent="0.2">
      <c r="B338" s="4"/>
    </row>
    <row r="339" spans="2:2" x14ac:dyDescent="0.2">
      <c r="B339" s="4"/>
    </row>
    <row r="340" spans="2:2" x14ac:dyDescent="0.2">
      <c r="B340" s="4"/>
    </row>
    <row r="341" spans="2:2" x14ac:dyDescent="0.2">
      <c r="B341" s="4"/>
    </row>
    <row r="342" spans="2:2" x14ac:dyDescent="0.2">
      <c r="B342" s="4"/>
    </row>
    <row r="343" spans="2:2" x14ac:dyDescent="0.2">
      <c r="B343" s="4"/>
    </row>
    <row r="344" spans="2:2" x14ac:dyDescent="0.2">
      <c r="B344" s="4"/>
    </row>
    <row r="345" spans="2:2" x14ac:dyDescent="0.2">
      <c r="B345" s="4"/>
    </row>
    <row r="346" spans="2:2" x14ac:dyDescent="0.2">
      <c r="B346" s="4"/>
    </row>
    <row r="347" spans="2:2" x14ac:dyDescent="0.2">
      <c r="B347" s="4"/>
    </row>
    <row r="348" spans="2:2" x14ac:dyDescent="0.2">
      <c r="B348" s="4"/>
    </row>
    <row r="349" spans="2:2" x14ac:dyDescent="0.2">
      <c r="B349" s="4"/>
    </row>
    <row r="350" spans="2:2" x14ac:dyDescent="0.2">
      <c r="B350" s="4"/>
    </row>
    <row r="351" spans="2:2" x14ac:dyDescent="0.2">
      <c r="B351" s="4"/>
    </row>
    <row r="352" spans="2:2" x14ac:dyDescent="0.2">
      <c r="B352" s="4"/>
    </row>
    <row r="353" spans="2:2" x14ac:dyDescent="0.2">
      <c r="B353" s="4"/>
    </row>
    <row r="354" spans="2:2" x14ac:dyDescent="0.2">
      <c r="B354" s="4"/>
    </row>
    <row r="355" spans="2:2" x14ac:dyDescent="0.2">
      <c r="B355" s="4"/>
    </row>
    <row r="356" spans="2:2" x14ac:dyDescent="0.2">
      <c r="B356" s="4"/>
    </row>
    <row r="357" spans="2:2" x14ac:dyDescent="0.2">
      <c r="B357" s="4"/>
    </row>
    <row r="358" spans="2:2" x14ac:dyDescent="0.2">
      <c r="B358" s="4"/>
    </row>
    <row r="359" spans="2:2" x14ac:dyDescent="0.2">
      <c r="B359" s="4"/>
    </row>
    <row r="360" spans="2:2" x14ac:dyDescent="0.2">
      <c r="B360" s="4"/>
    </row>
    <row r="361" spans="2:2" x14ac:dyDescent="0.2">
      <c r="B361" s="4"/>
    </row>
    <row r="362" spans="2:2" x14ac:dyDescent="0.2">
      <c r="B362" s="4"/>
    </row>
    <row r="363" spans="2:2" x14ac:dyDescent="0.2">
      <c r="B363" s="4"/>
    </row>
    <row r="364" spans="2:2" x14ac:dyDescent="0.2">
      <c r="B364" s="4"/>
    </row>
    <row r="365" spans="2:2" x14ac:dyDescent="0.2">
      <c r="B365" s="4"/>
    </row>
    <row r="366" spans="2:2" x14ac:dyDescent="0.2">
      <c r="B366" s="4"/>
    </row>
    <row r="367" spans="2:2" x14ac:dyDescent="0.2">
      <c r="B367" s="4"/>
    </row>
    <row r="368" spans="2:2" x14ac:dyDescent="0.2">
      <c r="B368" s="4"/>
    </row>
    <row r="369" spans="2:2" x14ac:dyDescent="0.2">
      <c r="B369" s="4"/>
    </row>
    <row r="370" spans="2:2" x14ac:dyDescent="0.2">
      <c r="B370" s="4"/>
    </row>
    <row r="371" spans="2:2" x14ac:dyDescent="0.2">
      <c r="B371" s="4"/>
    </row>
    <row r="372" spans="2:2" x14ac:dyDescent="0.2">
      <c r="B372" s="4"/>
    </row>
    <row r="373" spans="2:2" x14ac:dyDescent="0.2">
      <c r="B373" s="4"/>
    </row>
    <row r="374" spans="2:2" x14ac:dyDescent="0.2">
      <c r="B374" s="4"/>
    </row>
    <row r="375" spans="2:2" x14ac:dyDescent="0.2">
      <c r="B375" s="4"/>
    </row>
    <row r="376" spans="2:2" x14ac:dyDescent="0.2">
      <c r="B376" s="4"/>
    </row>
    <row r="377" spans="2:2" x14ac:dyDescent="0.2">
      <c r="B377" s="4"/>
    </row>
    <row r="378" spans="2:2" x14ac:dyDescent="0.2">
      <c r="B378" s="4"/>
    </row>
    <row r="379" spans="2:2" x14ac:dyDescent="0.2">
      <c r="B379" s="4"/>
    </row>
    <row r="380" spans="2:2" x14ac:dyDescent="0.2">
      <c r="B380" s="4"/>
    </row>
    <row r="381" spans="2:2" x14ac:dyDescent="0.2">
      <c r="B381" s="4"/>
    </row>
    <row r="382" spans="2:2" x14ac:dyDescent="0.2">
      <c r="B382" s="4"/>
    </row>
    <row r="383" spans="2:2" x14ac:dyDescent="0.2">
      <c r="B383" s="4"/>
    </row>
    <row r="384" spans="2:2" x14ac:dyDescent="0.2">
      <c r="B384" s="4"/>
    </row>
    <row r="385" spans="2:2" x14ac:dyDescent="0.2">
      <c r="B385" s="4"/>
    </row>
    <row r="386" spans="2:2" x14ac:dyDescent="0.2">
      <c r="B386" s="4"/>
    </row>
    <row r="387" spans="2:2" x14ac:dyDescent="0.2">
      <c r="B387" s="4"/>
    </row>
    <row r="388" spans="2:2" x14ac:dyDescent="0.2">
      <c r="B388" s="4"/>
    </row>
    <row r="389" spans="2:2" x14ac:dyDescent="0.2">
      <c r="B389" s="4"/>
    </row>
    <row r="390" spans="2:2" x14ac:dyDescent="0.2">
      <c r="B390" s="4"/>
    </row>
    <row r="391" spans="2:2" x14ac:dyDescent="0.2">
      <c r="B391" s="4"/>
    </row>
    <row r="392" spans="2:2" x14ac:dyDescent="0.2">
      <c r="B392" s="4"/>
    </row>
    <row r="393" spans="2:2" x14ac:dyDescent="0.2">
      <c r="B393" s="4"/>
    </row>
    <row r="394" spans="2:2" x14ac:dyDescent="0.2">
      <c r="B394" s="4"/>
    </row>
    <row r="395" spans="2:2" x14ac:dyDescent="0.2">
      <c r="B395" s="4"/>
    </row>
    <row r="396" spans="2:2" x14ac:dyDescent="0.2">
      <c r="B396" s="4"/>
    </row>
    <row r="397" spans="2:2" x14ac:dyDescent="0.2">
      <c r="B397" s="4"/>
    </row>
    <row r="398" spans="2:2" x14ac:dyDescent="0.2">
      <c r="B398" s="4"/>
    </row>
    <row r="399" spans="2:2" x14ac:dyDescent="0.2">
      <c r="B399" s="4"/>
    </row>
    <row r="400" spans="2:2" x14ac:dyDescent="0.2">
      <c r="B400" s="4"/>
    </row>
    <row r="401" spans="2:2" x14ac:dyDescent="0.2">
      <c r="B401" s="4"/>
    </row>
    <row r="402" spans="2:2" x14ac:dyDescent="0.2">
      <c r="B402" s="4"/>
    </row>
    <row r="403" spans="2:2" x14ac:dyDescent="0.2">
      <c r="B403" s="4"/>
    </row>
    <row r="404" spans="2:2" x14ac:dyDescent="0.2">
      <c r="B404" s="4"/>
    </row>
    <row r="405" spans="2:2" x14ac:dyDescent="0.2">
      <c r="B405" s="4"/>
    </row>
    <row r="406" spans="2:2" x14ac:dyDescent="0.2">
      <c r="B406" s="4"/>
    </row>
    <row r="407" spans="2:2" x14ac:dyDescent="0.2">
      <c r="B407" s="4"/>
    </row>
    <row r="408" spans="2:2" x14ac:dyDescent="0.2">
      <c r="B408" s="4"/>
    </row>
    <row r="409" spans="2:2" x14ac:dyDescent="0.2">
      <c r="B409" s="4"/>
    </row>
    <row r="410" spans="2:2" x14ac:dyDescent="0.2">
      <c r="B410" s="4"/>
    </row>
    <row r="411" spans="2:2" x14ac:dyDescent="0.2">
      <c r="B411" s="4"/>
    </row>
    <row r="412" spans="2:2" x14ac:dyDescent="0.2">
      <c r="B412" s="4"/>
    </row>
    <row r="413" spans="2:2" x14ac:dyDescent="0.2">
      <c r="B413" s="4"/>
    </row>
    <row r="414" spans="2:2" x14ac:dyDescent="0.2">
      <c r="B414" s="4"/>
    </row>
    <row r="415" spans="2:2" x14ac:dyDescent="0.2">
      <c r="B415" s="4"/>
    </row>
    <row r="416" spans="2:2" x14ac:dyDescent="0.2">
      <c r="B416" s="4"/>
    </row>
    <row r="417" spans="2:2" x14ac:dyDescent="0.2">
      <c r="B417" s="4"/>
    </row>
    <row r="418" spans="2:2" x14ac:dyDescent="0.2">
      <c r="B418" s="4"/>
    </row>
    <row r="419" spans="2:2" x14ac:dyDescent="0.2">
      <c r="B419" s="4"/>
    </row>
    <row r="420" spans="2:2" x14ac:dyDescent="0.2">
      <c r="B420" s="4"/>
    </row>
    <row r="421" spans="2:2" x14ac:dyDescent="0.2">
      <c r="B421" s="4"/>
    </row>
    <row r="422" spans="2:2" x14ac:dyDescent="0.2">
      <c r="B422" s="4"/>
    </row>
    <row r="423" spans="2:2" x14ac:dyDescent="0.2">
      <c r="B423" s="4"/>
    </row>
    <row r="424" spans="2:2" x14ac:dyDescent="0.2">
      <c r="B424" s="4"/>
    </row>
    <row r="425" spans="2:2" x14ac:dyDescent="0.2">
      <c r="B425" s="4"/>
    </row>
    <row r="426" spans="2:2" x14ac:dyDescent="0.2">
      <c r="B426" s="4"/>
    </row>
    <row r="427" spans="2:2" x14ac:dyDescent="0.2">
      <c r="B427" s="4"/>
    </row>
    <row r="428" spans="2:2" x14ac:dyDescent="0.2">
      <c r="B428" s="4"/>
    </row>
    <row r="429" spans="2:2" x14ac:dyDescent="0.2">
      <c r="B429" s="4"/>
    </row>
    <row r="430" spans="2:2" x14ac:dyDescent="0.2">
      <c r="B430" s="4"/>
    </row>
    <row r="431" spans="2:2" x14ac:dyDescent="0.2">
      <c r="B431" s="4"/>
    </row>
    <row r="432" spans="2:2" x14ac:dyDescent="0.2">
      <c r="B432" s="4"/>
    </row>
    <row r="433" spans="2:2" x14ac:dyDescent="0.2">
      <c r="B433" s="4"/>
    </row>
    <row r="434" spans="2:2" x14ac:dyDescent="0.2">
      <c r="B434" s="4"/>
    </row>
    <row r="435" spans="2:2" x14ac:dyDescent="0.2">
      <c r="B435" s="4"/>
    </row>
    <row r="436" spans="2:2" x14ac:dyDescent="0.2">
      <c r="B436" s="4"/>
    </row>
    <row r="437" spans="2:2" x14ac:dyDescent="0.2">
      <c r="B437" s="4"/>
    </row>
    <row r="438" spans="2:2" x14ac:dyDescent="0.2">
      <c r="B438" s="4"/>
    </row>
    <row r="439" spans="2:2" x14ac:dyDescent="0.2">
      <c r="B439" s="4"/>
    </row>
    <row r="440" spans="2:2" x14ac:dyDescent="0.2">
      <c r="B440" s="4"/>
    </row>
    <row r="441" spans="2:2" x14ac:dyDescent="0.2">
      <c r="B441" s="4"/>
    </row>
    <row r="442" spans="2:2" x14ac:dyDescent="0.2">
      <c r="B442" s="4"/>
    </row>
    <row r="443" spans="2:2" x14ac:dyDescent="0.2">
      <c r="B443" s="4"/>
    </row>
    <row r="444" spans="2:2" x14ac:dyDescent="0.2">
      <c r="B444" s="4"/>
    </row>
    <row r="445" spans="2:2" x14ac:dyDescent="0.2">
      <c r="B445" s="4"/>
    </row>
    <row r="446" spans="2:2" x14ac:dyDescent="0.2">
      <c r="B446" s="4"/>
    </row>
    <row r="447" spans="2:2" x14ac:dyDescent="0.2">
      <c r="B447" s="4"/>
    </row>
    <row r="448" spans="2:2" x14ac:dyDescent="0.2">
      <c r="B448" s="4"/>
    </row>
    <row r="449" spans="2:2" x14ac:dyDescent="0.2">
      <c r="B449" s="4"/>
    </row>
    <row r="450" spans="2:2" x14ac:dyDescent="0.2">
      <c r="B450" s="4"/>
    </row>
    <row r="451" spans="2:2" x14ac:dyDescent="0.2">
      <c r="B451" s="4"/>
    </row>
    <row r="452" spans="2:2" x14ac:dyDescent="0.2">
      <c r="B452" s="4"/>
    </row>
    <row r="453" spans="2:2" x14ac:dyDescent="0.2">
      <c r="B453" s="4"/>
    </row>
    <row r="454" spans="2:2" x14ac:dyDescent="0.2">
      <c r="B454" s="4"/>
    </row>
    <row r="455" spans="2:2" x14ac:dyDescent="0.2">
      <c r="B455" s="4"/>
    </row>
    <row r="456" spans="2:2" x14ac:dyDescent="0.2">
      <c r="B456" s="4"/>
    </row>
    <row r="457" spans="2:2" x14ac:dyDescent="0.2">
      <c r="B457" s="4"/>
    </row>
    <row r="458" spans="2:2" x14ac:dyDescent="0.2">
      <c r="B458" s="4"/>
    </row>
    <row r="459" spans="2:2" x14ac:dyDescent="0.2">
      <c r="B459" s="4"/>
    </row>
    <row r="460" spans="2:2" x14ac:dyDescent="0.2">
      <c r="B460" s="4"/>
    </row>
    <row r="461" spans="2:2" x14ac:dyDescent="0.2">
      <c r="B461" s="4"/>
    </row>
    <row r="462" spans="2:2" x14ac:dyDescent="0.2">
      <c r="B462" s="4"/>
    </row>
    <row r="463" spans="2:2" x14ac:dyDescent="0.2">
      <c r="B463" s="4"/>
    </row>
    <row r="464" spans="2:2" x14ac:dyDescent="0.2">
      <c r="B464" s="4"/>
    </row>
    <row r="465" spans="2:2" x14ac:dyDescent="0.2">
      <c r="B465" s="4"/>
    </row>
    <row r="466" spans="2:2" x14ac:dyDescent="0.2">
      <c r="B466" s="4"/>
    </row>
    <row r="467" spans="2:2" x14ac:dyDescent="0.2">
      <c r="B467" s="4"/>
    </row>
    <row r="468" spans="2:2" x14ac:dyDescent="0.2">
      <c r="B468" s="4"/>
    </row>
    <row r="469" spans="2:2" x14ac:dyDescent="0.2">
      <c r="B469" s="4"/>
    </row>
    <row r="470" spans="2:2" x14ac:dyDescent="0.2">
      <c r="B470" s="4"/>
    </row>
    <row r="471" spans="2:2" x14ac:dyDescent="0.2">
      <c r="B471" s="4"/>
    </row>
    <row r="472" spans="2:2" x14ac:dyDescent="0.2">
      <c r="B472" s="4"/>
    </row>
    <row r="473" spans="2:2" x14ac:dyDescent="0.2">
      <c r="B473" s="4"/>
    </row>
    <row r="474" spans="2:2" x14ac:dyDescent="0.2">
      <c r="B474" s="4"/>
    </row>
    <row r="475" spans="2:2" x14ac:dyDescent="0.2">
      <c r="B475" s="4"/>
    </row>
    <row r="476" spans="2:2" x14ac:dyDescent="0.2">
      <c r="B476" s="4"/>
    </row>
    <row r="477" spans="2:2" x14ac:dyDescent="0.2">
      <c r="B477" s="4"/>
    </row>
    <row r="478" spans="2:2" x14ac:dyDescent="0.2">
      <c r="B478" s="4"/>
    </row>
    <row r="479" spans="2:2" x14ac:dyDescent="0.2">
      <c r="B479" s="4"/>
    </row>
    <row r="480" spans="2:2" x14ac:dyDescent="0.2">
      <c r="B480" s="4"/>
    </row>
    <row r="481" spans="2:2" x14ac:dyDescent="0.2">
      <c r="B481" s="4"/>
    </row>
    <row r="482" spans="2:2" x14ac:dyDescent="0.2">
      <c r="B482" s="4"/>
    </row>
    <row r="483" spans="2:2" x14ac:dyDescent="0.2">
      <c r="B483" s="4"/>
    </row>
    <row r="484" spans="2:2" x14ac:dyDescent="0.2">
      <c r="B484" s="4"/>
    </row>
    <row r="485" spans="2:2" x14ac:dyDescent="0.2">
      <c r="B485" s="4"/>
    </row>
    <row r="486" spans="2:2" x14ac:dyDescent="0.2">
      <c r="B486" s="4"/>
    </row>
    <row r="487" spans="2:2" x14ac:dyDescent="0.2">
      <c r="B487" s="4"/>
    </row>
    <row r="488" spans="2:2" x14ac:dyDescent="0.2">
      <c r="B488" s="4"/>
    </row>
    <row r="489" spans="2:2" x14ac:dyDescent="0.2">
      <c r="B489" s="4"/>
    </row>
    <row r="490" spans="2:2" x14ac:dyDescent="0.2">
      <c r="B490" s="4"/>
    </row>
    <row r="491" spans="2:2" x14ac:dyDescent="0.2">
      <c r="B491" s="4"/>
    </row>
    <row r="492" spans="2:2" x14ac:dyDescent="0.2">
      <c r="B492" s="4"/>
    </row>
    <row r="493" spans="2:2" x14ac:dyDescent="0.2">
      <c r="B493" s="4"/>
    </row>
    <row r="494" spans="2:2" x14ac:dyDescent="0.2">
      <c r="B494" s="4"/>
    </row>
    <row r="495" spans="2:2" x14ac:dyDescent="0.2">
      <c r="B495" s="4"/>
    </row>
    <row r="496" spans="2:2" x14ac:dyDescent="0.2">
      <c r="B496" s="4"/>
    </row>
    <row r="497" spans="2:2" x14ac:dyDescent="0.2">
      <c r="B497" s="4"/>
    </row>
    <row r="498" spans="2:2" x14ac:dyDescent="0.2">
      <c r="B498" s="4"/>
    </row>
    <row r="499" spans="2:2" x14ac:dyDescent="0.2">
      <c r="B499" s="4"/>
    </row>
    <row r="500" spans="2:2" x14ac:dyDescent="0.2">
      <c r="B500" s="4"/>
    </row>
    <row r="501" spans="2:2" x14ac:dyDescent="0.2">
      <c r="B501" s="4"/>
    </row>
    <row r="502" spans="2:2" x14ac:dyDescent="0.2">
      <c r="B502" s="4"/>
    </row>
    <row r="503" spans="2:2" x14ac:dyDescent="0.2">
      <c r="B503" s="4"/>
    </row>
    <row r="504" spans="2:2" x14ac:dyDescent="0.2">
      <c r="B504" s="4"/>
    </row>
    <row r="505" spans="2:2" x14ac:dyDescent="0.2">
      <c r="B505" s="4"/>
    </row>
    <row r="506" spans="2:2" x14ac:dyDescent="0.2">
      <c r="B506" s="4"/>
    </row>
    <row r="507" spans="2:2" x14ac:dyDescent="0.2">
      <c r="B507" s="4"/>
    </row>
    <row r="508" spans="2:2" x14ac:dyDescent="0.2">
      <c r="B508" s="4"/>
    </row>
    <row r="509" spans="2:2" x14ac:dyDescent="0.2">
      <c r="B509" s="4"/>
    </row>
    <row r="510" spans="2:2" x14ac:dyDescent="0.2">
      <c r="B510" s="4"/>
    </row>
    <row r="511" spans="2:2" x14ac:dyDescent="0.2">
      <c r="B511" s="4"/>
    </row>
    <row r="512" spans="2:2" x14ac:dyDescent="0.2">
      <c r="B512" s="4"/>
    </row>
    <row r="513" spans="2:2" x14ac:dyDescent="0.2">
      <c r="B513" s="4"/>
    </row>
    <row r="514" spans="2:2" x14ac:dyDescent="0.2">
      <c r="B514" s="4"/>
    </row>
    <row r="515" spans="2:2" x14ac:dyDescent="0.2">
      <c r="B515" s="4"/>
    </row>
    <row r="516" spans="2:2" x14ac:dyDescent="0.2">
      <c r="B516" s="4"/>
    </row>
    <row r="517" spans="2:2" x14ac:dyDescent="0.2">
      <c r="B517" s="4"/>
    </row>
    <row r="518" spans="2:2" x14ac:dyDescent="0.2">
      <c r="B518" s="4"/>
    </row>
    <row r="519" spans="2:2" x14ac:dyDescent="0.2">
      <c r="B519" s="4"/>
    </row>
    <row r="520" spans="2:2" x14ac:dyDescent="0.2">
      <c r="B520" s="4"/>
    </row>
    <row r="521" spans="2:2" x14ac:dyDescent="0.2">
      <c r="B521" s="4"/>
    </row>
    <row r="522" spans="2:2" x14ac:dyDescent="0.2">
      <c r="B522" s="4"/>
    </row>
    <row r="523" spans="2:2" x14ac:dyDescent="0.2">
      <c r="B523" s="4"/>
    </row>
    <row r="524" spans="2:2" x14ac:dyDescent="0.2">
      <c r="B524" s="4"/>
    </row>
    <row r="525" spans="2:2" x14ac:dyDescent="0.2">
      <c r="B525" s="4"/>
    </row>
    <row r="526" spans="2:2" x14ac:dyDescent="0.2">
      <c r="B526" s="4"/>
    </row>
    <row r="527" spans="2:2" x14ac:dyDescent="0.2">
      <c r="B527" s="4"/>
    </row>
    <row r="528" spans="2:2" x14ac:dyDescent="0.2">
      <c r="B528" s="4"/>
    </row>
    <row r="529" spans="2:2" x14ac:dyDescent="0.2">
      <c r="B529" s="4"/>
    </row>
    <row r="530" spans="2:2" x14ac:dyDescent="0.2">
      <c r="B530" s="4"/>
    </row>
    <row r="531" spans="2:2" x14ac:dyDescent="0.2">
      <c r="B531" s="4"/>
    </row>
    <row r="532" spans="2:2" x14ac:dyDescent="0.2">
      <c r="B532" s="4"/>
    </row>
    <row r="533" spans="2:2" x14ac:dyDescent="0.2">
      <c r="B533" s="4"/>
    </row>
    <row r="534" spans="2:2" x14ac:dyDescent="0.2">
      <c r="B534" s="4"/>
    </row>
    <row r="535" spans="2:2" x14ac:dyDescent="0.2">
      <c r="B535" s="4"/>
    </row>
    <row r="536" spans="2:2" x14ac:dyDescent="0.2">
      <c r="B536" s="4"/>
    </row>
    <row r="537" spans="2:2" x14ac:dyDescent="0.2">
      <c r="B537" s="4"/>
    </row>
    <row r="538" spans="2:2" x14ac:dyDescent="0.2">
      <c r="B538" s="4"/>
    </row>
    <row r="539" spans="2:2" x14ac:dyDescent="0.2">
      <c r="B539" s="4"/>
    </row>
    <row r="540" spans="2:2" x14ac:dyDescent="0.2">
      <c r="B540" s="4"/>
    </row>
    <row r="541" spans="2:2" x14ac:dyDescent="0.2">
      <c r="B541" s="4"/>
    </row>
    <row r="542" spans="2:2" x14ac:dyDescent="0.2">
      <c r="B542" s="4"/>
    </row>
    <row r="543" spans="2:2" x14ac:dyDescent="0.2">
      <c r="B543" s="4"/>
    </row>
    <row r="544" spans="2:2" x14ac:dyDescent="0.2">
      <c r="B544" s="4"/>
    </row>
    <row r="545" spans="2:2" x14ac:dyDescent="0.2">
      <c r="B545" s="4"/>
    </row>
    <row r="546" spans="2:2" x14ac:dyDescent="0.2">
      <c r="B546" s="4"/>
    </row>
    <row r="547" spans="2:2" x14ac:dyDescent="0.2">
      <c r="B547" s="4"/>
    </row>
    <row r="548" spans="2:2" x14ac:dyDescent="0.2">
      <c r="B548" s="4"/>
    </row>
    <row r="549" spans="2:2" x14ac:dyDescent="0.2">
      <c r="B549" s="4"/>
    </row>
    <row r="550" spans="2:2" x14ac:dyDescent="0.2">
      <c r="B550" s="4"/>
    </row>
    <row r="551" spans="2:2" x14ac:dyDescent="0.2">
      <c r="B551" s="4"/>
    </row>
    <row r="552" spans="2:2" x14ac:dyDescent="0.2">
      <c r="B552" s="4"/>
    </row>
    <row r="553" spans="2:2" x14ac:dyDescent="0.2">
      <c r="B553" s="4"/>
    </row>
    <row r="554" spans="2:2" x14ac:dyDescent="0.2">
      <c r="B554" s="4"/>
    </row>
    <row r="555" spans="2:2" x14ac:dyDescent="0.2">
      <c r="B555" s="4"/>
    </row>
    <row r="556" spans="2:2" x14ac:dyDescent="0.2">
      <c r="B556" s="4"/>
    </row>
    <row r="557" spans="2:2" x14ac:dyDescent="0.2">
      <c r="B557" s="4"/>
    </row>
    <row r="558" spans="2:2" x14ac:dyDescent="0.2">
      <c r="B558" s="4"/>
    </row>
    <row r="559" spans="2:2" x14ac:dyDescent="0.2">
      <c r="B559" s="4"/>
    </row>
    <row r="560" spans="2:2" x14ac:dyDescent="0.2">
      <c r="B560" s="4"/>
    </row>
    <row r="561" spans="2:2" x14ac:dyDescent="0.2">
      <c r="B561" s="4"/>
    </row>
    <row r="562" spans="2:2" x14ac:dyDescent="0.2">
      <c r="B562" s="4"/>
    </row>
    <row r="563" spans="2:2" x14ac:dyDescent="0.2">
      <c r="B563" s="4"/>
    </row>
    <row r="564" spans="2:2" x14ac:dyDescent="0.2">
      <c r="B564" s="4"/>
    </row>
    <row r="565" spans="2:2" x14ac:dyDescent="0.2">
      <c r="B565" s="4"/>
    </row>
    <row r="566" spans="2:2" x14ac:dyDescent="0.2">
      <c r="B566" s="4"/>
    </row>
    <row r="567" spans="2:2" x14ac:dyDescent="0.2">
      <c r="B567" s="4"/>
    </row>
    <row r="568" spans="2:2" x14ac:dyDescent="0.2">
      <c r="B568" s="4"/>
    </row>
    <row r="569" spans="2:2" x14ac:dyDescent="0.2">
      <c r="B569" s="4"/>
    </row>
    <row r="570" spans="2:2" x14ac:dyDescent="0.2">
      <c r="B570" s="4"/>
    </row>
    <row r="571" spans="2:2" x14ac:dyDescent="0.2">
      <c r="B571" s="4"/>
    </row>
    <row r="572" spans="2:2" x14ac:dyDescent="0.2">
      <c r="B572" s="4"/>
    </row>
    <row r="573" spans="2:2" x14ac:dyDescent="0.2">
      <c r="B573" s="4"/>
    </row>
    <row r="574" spans="2:2" x14ac:dyDescent="0.2">
      <c r="B574" s="4"/>
    </row>
    <row r="575" spans="2:2" x14ac:dyDescent="0.2">
      <c r="B575" s="4"/>
    </row>
    <row r="576" spans="2:2" x14ac:dyDescent="0.2">
      <c r="B576" s="4"/>
    </row>
    <row r="577" spans="2:2" x14ac:dyDescent="0.2">
      <c r="B577" s="4"/>
    </row>
    <row r="578" spans="2:2" x14ac:dyDescent="0.2">
      <c r="B578" s="4"/>
    </row>
    <row r="579" spans="2:2" x14ac:dyDescent="0.2">
      <c r="B579" s="4"/>
    </row>
    <row r="580" spans="2:2" x14ac:dyDescent="0.2">
      <c r="B580" s="4"/>
    </row>
    <row r="581" spans="2:2" x14ac:dyDescent="0.2">
      <c r="B581" s="4"/>
    </row>
    <row r="582" spans="2:2" x14ac:dyDescent="0.2">
      <c r="B582" s="4"/>
    </row>
    <row r="583" spans="2:2" x14ac:dyDescent="0.2">
      <c r="B583" s="4"/>
    </row>
    <row r="584" spans="2:2" x14ac:dyDescent="0.2">
      <c r="B584" s="4"/>
    </row>
    <row r="585" spans="2:2" x14ac:dyDescent="0.2">
      <c r="B585" s="4"/>
    </row>
    <row r="586" spans="2:2" x14ac:dyDescent="0.2">
      <c r="B586" s="4"/>
    </row>
    <row r="587" spans="2:2" x14ac:dyDescent="0.2">
      <c r="B587" s="4"/>
    </row>
    <row r="588" spans="2:2" x14ac:dyDescent="0.2">
      <c r="B588" s="4"/>
    </row>
    <row r="589" spans="2:2" x14ac:dyDescent="0.2">
      <c r="B589" s="4"/>
    </row>
    <row r="590" spans="2:2" x14ac:dyDescent="0.2">
      <c r="B590" s="4"/>
    </row>
    <row r="591" spans="2:2" x14ac:dyDescent="0.2">
      <c r="B591" s="4"/>
    </row>
    <row r="592" spans="2:2" x14ac:dyDescent="0.2">
      <c r="B592" s="4"/>
    </row>
    <row r="593" spans="2:2" x14ac:dyDescent="0.2">
      <c r="B593" s="4"/>
    </row>
    <row r="594" spans="2:2" x14ac:dyDescent="0.2">
      <c r="B594" s="4"/>
    </row>
    <row r="595" spans="2:2" x14ac:dyDescent="0.2">
      <c r="B595" s="4"/>
    </row>
    <row r="596" spans="2:2" x14ac:dyDescent="0.2">
      <c r="B596" s="4"/>
    </row>
    <row r="597" spans="2:2" x14ac:dyDescent="0.2">
      <c r="B597" s="4"/>
    </row>
    <row r="598" spans="2:2" x14ac:dyDescent="0.2">
      <c r="B598" s="4"/>
    </row>
    <row r="599" spans="2:2" x14ac:dyDescent="0.2">
      <c r="B599" s="4"/>
    </row>
    <row r="600" spans="2:2" x14ac:dyDescent="0.2">
      <c r="B600" s="4"/>
    </row>
    <row r="601" spans="2:2" x14ac:dyDescent="0.2">
      <c r="B601" s="4"/>
    </row>
    <row r="602" spans="2:2" x14ac:dyDescent="0.2">
      <c r="B602" s="4"/>
    </row>
    <row r="603" spans="2:2" x14ac:dyDescent="0.2">
      <c r="B603" s="4"/>
    </row>
    <row r="604" spans="2:2" x14ac:dyDescent="0.2">
      <c r="B604" s="4"/>
    </row>
    <row r="605" spans="2:2" x14ac:dyDescent="0.2">
      <c r="B605" s="4"/>
    </row>
    <row r="606" spans="2:2" x14ac:dyDescent="0.2">
      <c r="B606" s="4"/>
    </row>
    <row r="607" spans="2:2" x14ac:dyDescent="0.2">
      <c r="B607" s="4"/>
    </row>
    <row r="608" spans="2:2" x14ac:dyDescent="0.2">
      <c r="B608" s="4"/>
    </row>
    <row r="609" spans="2:2" x14ac:dyDescent="0.2">
      <c r="B609" s="4"/>
    </row>
    <row r="610" spans="2:2" x14ac:dyDescent="0.2">
      <c r="B610" s="4"/>
    </row>
    <row r="611" spans="2:2" x14ac:dyDescent="0.2">
      <c r="B611" s="4"/>
    </row>
    <row r="612" spans="2:2" x14ac:dyDescent="0.2">
      <c r="B612" s="4"/>
    </row>
    <row r="613" spans="2:2" x14ac:dyDescent="0.2">
      <c r="B613" s="4"/>
    </row>
    <row r="614" spans="2:2" x14ac:dyDescent="0.2">
      <c r="B614" s="4"/>
    </row>
    <row r="615" spans="2:2" x14ac:dyDescent="0.2">
      <c r="B615" s="4"/>
    </row>
    <row r="616" spans="2:2" x14ac:dyDescent="0.2">
      <c r="B616" s="4"/>
    </row>
    <row r="617" spans="2:2" x14ac:dyDescent="0.2">
      <c r="B617" s="4"/>
    </row>
    <row r="618" spans="2:2" x14ac:dyDescent="0.2">
      <c r="B618" s="4"/>
    </row>
    <row r="619" spans="2:2" x14ac:dyDescent="0.2">
      <c r="B619" s="4"/>
    </row>
    <row r="620" spans="2:2" x14ac:dyDescent="0.2">
      <c r="B620" s="4"/>
    </row>
    <row r="621" spans="2:2" x14ac:dyDescent="0.2">
      <c r="B621" s="4"/>
    </row>
    <row r="622" spans="2:2" x14ac:dyDescent="0.2">
      <c r="B622" s="4"/>
    </row>
    <row r="623" spans="2:2" x14ac:dyDescent="0.2">
      <c r="B623" s="4"/>
    </row>
    <row r="624" spans="2:2" x14ac:dyDescent="0.2">
      <c r="B624" s="4"/>
    </row>
    <row r="625" spans="2:2" x14ac:dyDescent="0.2">
      <c r="B625" s="4"/>
    </row>
    <row r="626" spans="2:2" x14ac:dyDescent="0.2">
      <c r="B626" s="4"/>
    </row>
    <row r="627" spans="2:2" x14ac:dyDescent="0.2">
      <c r="B627" s="4"/>
    </row>
    <row r="628" spans="2:2" x14ac:dyDescent="0.2">
      <c r="B628" s="4"/>
    </row>
    <row r="629" spans="2:2" x14ac:dyDescent="0.2">
      <c r="B629" s="4"/>
    </row>
    <row r="630" spans="2:2" x14ac:dyDescent="0.2">
      <c r="B630" s="4"/>
    </row>
    <row r="631" spans="2:2" x14ac:dyDescent="0.2">
      <c r="B631" s="4"/>
    </row>
    <row r="632" spans="2:2" x14ac:dyDescent="0.2">
      <c r="B632" s="4"/>
    </row>
    <row r="633" spans="2:2" x14ac:dyDescent="0.2">
      <c r="B633" s="4"/>
    </row>
    <row r="634" spans="2:2" x14ac:dyDescent="0.2">
      <c r="B634" s="4"/>
    </row>
    <row r="635" spans="2:2" x14ac:dyDescent="0.2">
      <c r="B635" s="4"/>
    </row>
    <row r="636" spans="2:2" x14ac:dyDescent="0.2">
      <c r="B636" s="4"/>
    </row>
    <row r="637" spans="2:2" x14ac:dyDescent="0.2">
      <c r="B637" s="4"/>
    </row>
    <row r="638" spans="2:2" x14ac:dyDescent="0.2">
      <c r="B638" s="4"/>
    </row>
    <row r="639" spans="2:2" x14ac:dyDescent="0.2">
      <c r="B639" s="4"/>
    </row>
    <row r="640" spans="2:2" x14ac:dyDescent="0.2">
      <c r="B640" s="4"/>
    </row>
    <row r="641" spans="2:2" x14ac:dyDescent="0.2">
      <c r="B641" s="4"/>
    </row>
    <row r="642" spans="2:2" x14ac:dyDescent="0.2">
      <c r="B642" s="4"/>
    </row>
    <row r="643" spans="2:2" x14ac:dyDescent="0.2">
      <c r="B643" s="4"/>
    </row>
    <row r="644" spans="2:2" x14ac:dyDescent="0.2">
      <c r="B644" s="4"/>
    </row>
    <row r="645" spans="2:2" x14ac:dyDescent="0.2">
      <c r="B645" s="4"/>
    </row>
    <row r="646" spans="2:2" x14ac:dyDescent="0.2">
      <c r="B646" s="4"/>
    </row>
    <row r="647" spans="2:2" x14ac:dyDescent="0.2">
      <c r="B647" s="4"/>
    </row>
    <row r="648" spans="2:2" x14ac:dyDescent="0.2">
      <c r="B648" s="4"/>
    </row>
    <row r="649" spans="2:2" x14ac:dyDescent="0.2">
      <c r="B649" s="4"/>
    </row>
    <row r="650" spans="2:2" x14ac:dyDescent="0.2">
      <c r="B650" s="4"/>
    </row>
    <row r="651" spans="2:2" x14ac:dyDescent="0.2">
      <c r="B651" s="4"/>
    </row>
    <row r="652" spans="2:2" x14ac:dyDescent="0.2">
      <c r="B652" s="4"/>
    </row>
    <row r="653" spans="2:2" x14ac:dyDescent="0.2">
      <c r="B653" s="4"/>
    </row>
    <row r="654" spans="2:2" x14ac:dyDescent="0.2">
      <c r="B654" s="4"/>
    </row>
    <row r="655" spans="2:2" x14ac:dyDescent="0.2">
      <c r="B655" s="4"/>
    </row>
    <row r="656" spans="2:2" x14ac:dyDescent="0.2">
      <c r="B656" s="4"/>
    </row>
    <row r="657" spans="2:2" x14ac:dyDescent="0.2">
      <c r="B657" s="4"/>
    </row>
    <row r="658" spans="2:2" x14ac:dyDescent="0.2">
      <c r="B658" s="4"/>
    </row>
    <row r="659" spans="2:2" x14ac:dyDescent="0.2">
      <c r="B659" s="4"/>
    </row>
    <row r="660" spans="2:2" x14ac:dyDescent="0.2">
      <c r="B660" s="4"/>
    </row>
    <row r="661" spans="2:2" x14ac:dyDescent="0.2">
      <c r="B661" s="4"/>
    </row>
    <row r="662" spans="2:2" x14ac:dyDescent="0.2">
      <c r="B662" s="4"/>
    </row>
    <row r="663" spans="2:2" x14ac:dyDescent="0.2">
      <c r="B663" s="4"/>
    </row>
    <row r="664" spans="2:2" x14ac:dyDescent="0.2">
      <c r="B664" s="4"/>
    </row>
    <row r="665" spans="2:2" x14ac:dyDescent="0.2">
      <c r="B665" s="4"/>
    </row>
    <row r="666" spans="2:2" x14ac:dyDescent="0.2">
      <c r="B666" s="4"/>
    </row>
    <row r="667" spans="2:2" x14ac:dyDescent="0.2">
      <c r="B667" s="4"/>
    </row>
    <row r="668" spans="2:2" x14ac:dyDescent="0.2">
      <c r="B668" s="4"/>
    </row>
    <row r="669" spans="2:2" x14ac:dyDescent="0.2">
      <c r="B669" s="4"/>
    </row>
    <row r="670" spans="2:2" x14ac:dyDescent="0.2">
      <c r="B670" s="4"/>
    </row>
    <row r="671" spans="2:2" x14ac:dyDescent="0.2">
      <c r="B671" s="4"/>
    </row>
    <row r="672" spans="2:2" x14ac:dyDescent="0.2">
      <c r="B672" s="4"/>
    </row>
    <row r="673" spans="2:2" x14ac:dyDescent="0.2">
      <c r="B673" s="4"/>
    </row>
    <row r="674" spans="2:2" x14ac:dyDescent="0.2">
      <c r="B674" s="4"/>
    </row>
    <row r="675" spans="2:2" x14ac:dyDescent="0.2">
      <c r="B675" s="4"/>
    </row>
    <row r="676" spans="2:2" x14ac:dyDescent="0.2">
      <c r="B676" s="4"/>
    </row>
    <row r="677" spans="2:2" x14ac:dyDescent="0.2">
      <c r="B677" s="4"/>
    </row>
    <row r="678" spans="2:2" x14ac:dyDescent="0.2">
      <c r="B678" s="4"/>
    </row>
    <row r="679" spans="2:2" x14ac:dyDescent="0.2">
      <c r="B679" s="4"/>
    </row>
    <row r="680" spans="2:2" x14ac:dyDescent="0.2">
      <c r="B680" s="4"/>
    </row>
    <row r="681" spans="2:2" x14ac:dyDescent="0.2">
      <c r="B681" s="4"/>
    </row>
    <row r="682" spans="2:2" x14ac:dyDescent="0.2">
      <c r="B682" s="4"/>
    </row>
    <row r="683" spans="2:2" x14ac:dyDescent="0.2">
      <c r="B683" s="4"/>
    </row>
    <row r="684" spans="2:2" x14ac:dyDescent="0.2">
      <c r="B684" s="4"/>
    </row>
    <row r="685" spans="2:2" x14ac:dyDescent="0.2">
      <c r="B685" s="4"/>
    </row>
    <row r="686" spans="2:2" x14ac:dyDescent="0.2">
      <c r="B686" s="4"/>
    </row>
    <row r="687" spans="2:2" x14ac:dyDescent="0.2">
      <c r="B687" s="4"/>
    </row>
    <row r="688" spans="2:2" x14ac:dyDescent="0.2">
      <c r="B688" s="4"/>
    </row>
    <row r="689" spans="2:2" x14ac:dyDescent="0.2">
      <c r="B689" s="4"/>
    </row>
    <row r="690" spans="2:2" x14ac:dyDescent="0.2">
      <c r="B690" s="4"/>
    </row>
    <row r="691" spans="2:2" x14ac:dyDescent="0.2">
      <c r="B691" s="4"/>
    </row>
    <row r="692" spans="2:2" x14ac:dyDescent="0.2">
      <c r="B692" s="4"/>
    </row>
    <row r="693" spans="2:2" x14ac:dyDescent="0.2">
      <c r="B693" s="4"/>
    </row>
    <row r="694" spans="2:2" x14ac:dyDescent="0.2">
      <c r="B694" s="4"/>
    </row>
    <row r="695" spans="2:2" x14ac:dyDescent="0.2">
      <c r="B695" s="4"/>
    </row>
    <row r="696" spans="2:2" x14ac:dyDescent="0.2">
      <c r="B696" s="4"/>
    </row>
    <row r="697" spans="2:2" x14ac:dyDescent="0.2">
      <c r="B697" s="4"/>
    </row>
    <row r="698" spans="2:2" x14ac:dyDescent="0.2">
      <c r="B698" s="4"/>
    </row>
    <row r="699" spans="2:2" x14ac:dyDescent="0.2">
      <c r="B699" s="4"/>
    </row>
    <row r="700" spans="2:2" x14ac:dyDescent="0.2">
      <c r="B700" s="4"/>
    </row>
    <row r="701" spans="2:2" x14ac:dyDescent="0.2">
      <c r="B701" s="4"/>
    </row>
    <row r="702" spans="2:2" x14ac:dyDescent="0.2">
      <c r="B702" s="4"/>
    </row>
    <row r="703" spans="2:2" x14ac:dyDescent="0.2">
      <c r="B703" s="4"/>
    </row>
    <row r="704" spans="2:2" x14ac:dyDescent="0.2">
      <c r="B704" s="4"/>
    </row>
    <row r="705" spans="2:2" x14ac:dyDescent="0.2">
      <c r="B705" s="4"/>
    </row>
    <row r="706" spans="2:2" x14ac:dyDescent="0.2">
      <c r="B706" s="4"/>
    </row>
    <row r="707" spans="2:2" x14ac:dyDescent="0.2">
      <c r="B707" s="4"/>
    </row>
    <row r="708" spans="2:2" x14ac:dyDescent="0.2">
      <c r="B708" s="4"/>
    </row>
    <row r="709" spans="2:2" x14ac:dyDescent="0.2">
      <c r="B709" s="4"/>
    </row>
    <row r="710" spans="2:2" x14ac:dyDescent="0.2">
      <c r="B710" s="4"/>
    </row>
    <row r="711" spans="2:2" x14ac:dyDescent="0.2">
      <c r="B711" s="4"/>
    </row>
    <row r="712" spans="2:2" x14ac:dyDescent="0.2">
      <c r="B712" s="4"/>
    </row>
    <row r="713" spans="2:2" x14ac:dyDescent="0.2">
      <c r="B713" s="4"/>
    </row>
    <row r="714" spans="2:2" x14ac:dyDescent="0.2">
      <c r="B714" s="4"/>
    </row>
    <row r="715" spans="2:2" x14ac:dyDescent="0.2">
      <c r="B715" s="4"/>
    </row>
    <row r="716" spans="2:2" x14ac:dyDescent="0.2">
      <c r="B716" s="4"/>
    </row>
    <row r="717" spans="2:2" x14ac:dyDescent="0.2">
      <c r="B717" s="4"/>
    </row>
    <row r="718" spans="2:2" x14ac:dyDescent="0.2">
      <c r="B718" s="4"/>
    </row>
    <row r="719" spans="2:2" x14ac:dyDescent="0.2">
      <c r="B719" s="4"/>
    </row>
    <row r="720" spans="2:2" x14ac:dyDescent="0.2">
      <c r="B720" s="4"/>
    </row>
    <row r="721" spans="2:2" x14ac:dyDescent="0.2">
      <c r="B721" s="4"/>
    </row>
    <row r="722" spans="2:2" x14ac:dyDescent="0.2">
      <c r="B722" s="4"/>
    </row>
    <row r="723" spans="2:2" x14ac:dyDescent="0.2">
      <c r="B723" s="4"/>
    </row>
    <row r="724" spans="2:2" x14ac:dyDescent="0.2">
      <c r="B724" s="4"/>
    </row>
    <row r="725" spans="2:2" x14ac:dyDescent="0.2">
      <c r="B725" s="4"/>
    </row>
    <row r="726" spans="2:2" x14ac:dyDescent="0.2">
      <c r="B726" s="4"/>
    </row>
    <row r="727" spans="2:2" x14ac:dyDescent="0.2">
      <c r="B727" s="4"/>
    </row>
    <row r="728" spans="2:2" x14ac:dyDescent="0.2">
      <c r="B728" s="4"/>
    </row>
    <row r="729" spans="2:2" x14ac:dyDescent="0.2">
      <c r="B729" s="4"/>
    </row>
    <row r="730" spans="2:2" x14ac:dyDescent="0.2">
      <c r="B730" s="4"/>
    </row>
    <row r="731" spans="2:2" x14ac:dyDescent="0.2">
      <c r="B731" s="4"/>
    </row>
    <row r="732" spans="2:2" x14ac:dyDescent="0.2">
      <c r="B732" s="4"/>
    </row>
    <row r="733" spans="2:2" x14ac:dyDescent="0.2">
      <c r="B733" s="4"/>
    </row>
    <row r="734" spans="2:2" x14ac:dyDescent="0.2">
      <c r="B734" s="4"/>
    </row>
    <row r="735" spans="2:2" x14ac:dyDescent="0.2">
      <c r="B735" s="4"/>
    </row>
    <row r="736" spans="2:2" x14ac:dyDescent="0.2">
      <c r="B736" s="4"/>
    </row>
    <row r="737" spans="2:2" x14ac:dyDescent="0.2">
      <c r="B737" s="4"/>
    </row>
    <row r="738" spans="2:2" x14ac:dyDescent="0.2">
      <c r="B738" s="4"/>
    </row>
    <row r="739" spans="2:2" x14ac:dyDescent="0.2">
      <c r="B739" s="4"/>
    </row>
    <row r="740" spans="2:2" x14ac:dyDescent="0.2">
      <c r="B740" s="4"/>
    </row>
    <row r="741" spans="2:2" x14ac:dyDescent="0.2">
      <c r="B741" s="4"/>
    </row>
    <row r="742" spans="2:2" x14ac:dyDescent="0.2">
      <c r="B742" s="4"/>
    </row>
    <row r="743" spans="2:2" x14ac:dyDescent="0.2">
      <c r="B743" s="4"/>
    </row>
    <row r="744" spans="2:2" x14ac:dyDescent="0.2">
      <c r="B744" s="4"/>
    </row>
    <row r="745" spans="2:2" x14ac:dyDescent="0.2">
      <c r="B745" s="4"/>
    </row>
    <row r="746" spans="2:2" x14ac:dyDescent="0.2">
      <c r="B746" s="4"/>
    </row>
    <row r="747" spans="2:2" x14ac:dyDescent="0.2">
      <c r="B747" s="4"/>
    </row>
    <row r="748" spans="2:2" x14ac:dyDescent="0.2">
      <c r="B748" s="4"/>
    </row>
    <row r="749" spans="2:2" x14ac:dyDescent="0.2">
      <c r="B749" s="4"/>
    </row>
    <row r="750" spans="2:2" x14ac:dyDescent="0.2">
      <c r="B750" s="4"/>
    </row>
    <row r="751" spans="2:2" x14ac:dyDescent="0.2">
      <c r="B751" s="4"/>
    </row>
    <row r="752" spans="2:2" x14ac:dyDescent="0.2">
      <c r="B752" s="4"/>
    </row>
    <row r="753" spans="2:2" x14ac:dyDescent="0.2">
      <c r="B753" s="4"/>
    </row>
    <row r="754" spans="2:2" x14ac:dyDescent="0.2">
      <c r="B754" s="4"/>
    </row>
    <row r="755" spans="2:2" x14ac:dyDescent="0.2">
      <c r="B755" s="4"/>
    </row>
    <row r="756" spans="2:2" x14ac:dyDescent="0.2">
      <c r="B756" s="4"/>
    </row>
    <row r="757" spans="2:2" x14ac:dyDescent="0.2">
      <c r="B757" s="4"/>
    </row>
    <row r="758" spans="2:2" x14ac:dyDescent="0.2">
      <c r="B758" s="4"/>
    </row>
    <row r="759" spans="2:2" x14ac:dyDescent="0.2">
      <c r="B759" s="4"/>
    </row>
    <row r="760" spans="2:2" x14ac:dyDescent="0.2">
      <c r="B760" s="4"/>
    </row>
    <row r="761" spans="2:2" x14ac:dyDescent="0.2">
      <c r="B761" s="4"/>
    </row>
    <row r="762" spans="2:2" x14ac:dyDescent="0.2">
      <c r="B762" s="4"/>
    </row>
    <row r="763" spans="2:2" x14ac:dyDescent="0.2">
      <c r="B763" s="4"/>
    </row>
    <row r="764" spans="2:2" x14ac:dyDescent="0.2">
      <c r="B764" s="4"/>
    </row>
    <row r="765" spans="2:2" x14ac:dyDescent="0.2">
      <c r="B765" s="4"/>
    </row>
    <row r="766" spans="2:2" x14ac:dyDescent="0.2">
      <c r="B766" s="4"/>
    </row>
    <row r="767" spans="2:2" x14ac:dyDescent="0.2">
      <c r="B767" s="4"/>
    </row>
    <row r="768" spans="2:2" x14ac:dyDescent="0.2">
      <c r="B768" s="4"/>
    </row>
    <row r="769" spans="2:2" x14ac:dyDescent="0.2">
      <c r="B769" s="4"/>
    </row>
    <row r="770" spans="2:2" x14ac:dyDescent="0.2">
      <c r="B770" s="4"/>
    </row>
    <row r="771" spans="2:2" x14ac:dyDescent="0.2">
      <c r="B771" s="4"/>
    </row>
    <row r="772" spans="2:2" x14ac:dyDescent="0.2">
      <c r="B772" s="4"/>
    </row>
    <row r="773" spans="2:2" x14ac:dyDescent="0.2">
      <c r="B773" s="4"/>
    </row>
    <row r="774" spans="2:2" x14ac:dyDescent="0.2">
      <c r="B774" s="4"/>
    </row>
    <row r="775" spans="2:2" x14ac:dyDescent="0.2">
      <c r="B775" s="4"/>
    </row>
    <row r="776" spans="2:2" x14ac:dyDescent="0.2">
      <c r="B776" s="4"/>
    </row>
    <row r="777" spans="2:2" x14ac:dyDescent="0.2">
      <c r="B777" s="4"/>
    </row>
    <row r="778" spans="2:2" x14ac:dyDescent="0.2">
      <c r="B778" s="4"/>
    </row>
    <row r="779" spans="2:2" x14ac:dyDescent="0.2">
      <c r="B779" s="4"/>
    </row>
    <row r="780" spans="2:2" x14ac:dyDescent="0.2">
      <c r="B780" s="4"/>
    </row>
    <row r="781" spans="2:2" x14ac:dyDescent="0.2">
      <c r="B781" s="4"/>
    </row>
    <row r="782" spans="2:2" x14ac:dyDescent="0.2">
      <c r="B782" s="4"/>
    </row>
    <row r="783" spans="2:2" x14ac:dyDescent="0.2">
      <c r="B783" s="4"/>
    </row>
    <row r="784" spans="2:2" x14ac:dyDescent="0.2">
      <c r="B784" s="4"/>
    </row>
    <row r="785" spans="2:2" x14ac:dyDescent="0.2">
      <c r="B785" s="4"/>
    </row>
    <row r="786" spans="2:2" x14ac:dyDescent="0.2">
      <c r="B786" s="4"/>
    </row>
    <row r="787" spans="2:2" x14ac:dyDescent="0.2">
      <c r="B787" s="4"/>
    </row>
    <row r="788" spans="2:2" x14ac:dyDescent="0.2">
      <c r="B788" s="4"/>
    </row>
    <row r="789" spans="2:2" x14ac:dyDescent="0.2">
      <c r="B789" s="4"/>
    </row>
    <row r="790" spans="2:2" x14ac:dyDescent="0.2">
      <c r="B790" s="4"/>
    </row>
    <row r="791" spans="2:2" x14ac:dyDescent="0.2">
      <c r="B791" s="4"/>
    </row>
    <row r="792" spans="2:2" x14ac:dyDescent="0.2">
      <c r="B792" s="4"/>
    </row>
    <row r="793" spans="2:2" x14ac:dyDescent="0.2">
      <c r="B793" s="4"/>
    </row>
    <row r="794" spans="2:2" x14ac:dyDescent="0.2">
      <c r="B794" s="4"/>
    </row>
    <row r="795" spans="2:2" x14ac:dyDescent="0.2">
      <c r="B795" s="4"/>
    </row>
    <row r="796" spans="2:2" x14ac:dyDescent="0.2">
      <c r="B796" s="4"/>
    </row>
    <row r="797" spans="2:2" x14ac:dyDescent="0.2">
      <c r="B797" s="4"/>
    </row>
    <row r="798" spans="2:2" x14ac:dyDescent="0.2">
      <c r="B798" s="4"/>
    </row>
    <row r="799" spans="2:2" x14ac:dyDescent="0.2">
      <c r="B799" s="4"/>
    </row>
    <row r="800" spans="2:2" x14ac:dyDescent="0.2">
      <c r="B800" s="4"/>
    </row>
    <row r="801" spans="2:2" x14ac:dyDescent="0.2">
      <c r="B801" s="4"/>
    </row>
    <row r="802" spans="2:2" x14ac:dyDescent="0.2">
      <c r="B802" s="4"/>
    </row>
    <row r="803" spans="2:2" x14ac:dyDescent="0.2">
      <c r="B803" s="4"/>
    </row>
    <row r="804" spans="2:2" x14ac:dyDescent="0.2">
      <c r="B804" s="4"/>
    </row>
    <row r="805" spans="2:2" x14ac:dyDescent="0.2">
      <c r="B805" s="4"/>
    </row>
    <row r="806" spans="2:2" x14ac:dyDescent="0.2">
      <c r="B806" s="4"/>
    </row>
    <row r="807" spans="2:2" x14ac:dyDescent="0.2">
      <c r="B807" s="4"/>
    </row>
    <row r="808" spans="2:2" x14ac:dyDescent="0.2">
      <c r="B808" s="4"/>
    </row>
    <row r="809" spans="2:2" x14ac:dyDescent="0.2">
      <c r="B809" s="4"/>
    </row>
    <row r="810" spans="2:2" x14ac:dyDescent="0.2">
      <c r="B810" s="4"/>
    </row>
    <row r="811" spans="2:2" x14ac:dyDescent="0.2">
      <c r="B811" s="4"/>
    </row>
    <row r="812" spans="2:2" x14ac:dyDescent="0.2">
      <c r="B812" s="4"/>
    </row>
    <row r="813" spans="2:2" x14ac:dyDescent="0.2">
      <c r="B813" s="4"/>
    </row>
    <row r="814" spans="2:2" x14ac:dyDescent="0.2">
      <c r="B814" s="4"/>
    </row>
    <row r="815" spans="2:2" x14ac:dyDescent="0.2">
      <c r="B815" s="4"/>
    </row>
    <row r="816" spans="2:2" x14ac:dyDescent="0.2">
      <c r="B816" s="4"/>
    </row>
    <row r="817" spans="2:2" x14ac:dyDescent="0.2">
      <c r="B817" s="4"/>
    </row>
    <row r="818" spans="2:2" x14ac:dyDescent="0.2">
      <c r="B818" s="4"/>
    </row>
    <row r="819" spans="2:2" x14ac:dyDescent="0.2">
      <c r="B819" s="4"/>
    </row>
    <row r="820" spans="2:2" x14ac:dyDescent="0.2">
      <c r="B820" s="4"/>
    </row>
    <row r="821" spans="2:2" x14ac:dyDescent="0.2">
      <c r="B821" s="4"/>
    </row>
    <row r="822" spans="2:2" x14ac:dyDescent="0.2">
      <c r="B822" s="4"/>
    </row>
    <row r="823" spans="2:2" x14ac:dyDescent="0.2">
      <c r="B823" s="4"/>
    </row>
    <row r="824" spans="2:2" x14ac:dyDescent="0.2">
      <c r="B824" s="4"/>
    </row>
    <row r="825" spans="2:2" x14ac:dyDescent="0.2">
      <c r="B825" s="4"/>
    </row>
    <row r="826" spans="2:2" x14ac:dyDescent="0.2">
      <c r="B826" s="4"/>
    </row>
    <row r="827" spans="2:2" x14ac:dyDescent="0.2">
      <c r="B827" s="4"/>
    </row>
    <row r="828" spans="2:2" x14ac:dyDescent="0.2">
      <c r="B828" s="4"/>
    </row>
    <row r="829" spans="2:2" x14ac:dyDescent="0.2">
      <c r="B829" s="4"/>
    </row>
    <row r="830" spans="2:2" x14ac:dyDescent="0.2">
      <c r="B830" s="4"/>
    </row>
    <row r="831" spans="2:2" x14ac:dyDescent="0.2">
      <c r="B831" s="4"/>
    </row>
    <row r="832" spans="2:2" x14ac:dyDescent="0.2">
      <c r="B832" s="4"/>
    </row>
    <row r="833" spans="2:2" x14ac:dyDescent="0.2">
      <c r="B833" s="4"/>
    </row>
    <row r="834" spans="2:2" x14ac:dyDescent="0.2">
      <c r="B834" s="4"/>
    </row>
    <row r="835" spans="2:2" x14ac:dyDescent="0.2">
      <c r="B835" s="4"/>
    </row>
    <row r="836" spans="2:2" x14ac:dyDescent="0.2">
      <c r="B836" s="4"/>
    </row>
    <row r="837" spans="2:2" x14ac:dyDescent="0.2">
      <c r="B837" s="4"/>
    </row>
    <row r="838" spans="2:2" x14ac:dyDescent="0.2">
      <c r="B838" s="4"/>
    </row>
    <row r="839" spans="2:2" x14ac:dyDescent="0.2">
      <c r="B839" s="4"/>
    </row>
    <row r="840" spans="2:2" x14ac:dyDescent="0.2">
      <c r="B840" s="4"/>
    </row>
    <row r="841" spans="2:2" x14ac:dyDescent="0.2">
      <c r="B841" s="4"/>
    </row>
    <row r="842" spans="2:2" x14ac:dyDescent="0.2">
      <c r="B842" s="4"/>
    </row>
    <row r="843" spans="2:2" x14ac:dyDescent="0.2">
      <c r="B843" s="4"/>
    </row>
    <row r="844" spans="2:2" x14ac:dyDescent="0.2">
      <c r="B844" s="4"/>
    </row>
    <row r="845" spans="2:2" x14ac:dyDescent="0.2">
      <c r="B845" s="4"/>
    </row>
    <row r="846" spans="2:2" x14ac:dyDescent="0.2">
      <c r="B846" s="4"/>
    </row>
    <row r="847" spans="2:2" x14ac:dyDescent="0.2">
      <c r="B847" s="4"/>
    </row>
    <row r="848" spans="2:2" x14ac:dyDescent="0.2">
      <c r="B848" s="4"/>
    </row>
    <row r="849" spans="2:2" x14ac:dyDescent="0.2">
      <c r="B849" s="4"/>
    </row>
    <row r="850" spans="2:2" x14ac:dyDescent="0.2">
      <c r="B850" s="4"/>
    </row>
    <row r="851" spans="2:2" x14ac:dyDescent="0.2">
      <c r="B851" s="4"/>
    </row>
    <row r="852" spans="2:2" x14ac:dyDescent="0.2">
      <c r="B852" s="4"/>
    </row>
    <row r="853" spans="2:2" x14ac:dyDescent="0.2">
      <c r="B853" s="4"/>
    </row>
    <row r="854" spans="2:2" x14ac:dyDescent="0.2">
      <c r="B854" s="4"/>
    </row>
    <row r="855" spans="2:2" x14ac:dyDescent="0.2">
      <c r="B855" s="4"/>
    </row>
    <row r="856" spans="2:2" x14ac:dyDescent="0.2">
      <c r="B856" s="4"/>
    </row>
    <row r="857" spans="2:2" x14ac:dyDescent="0.2">
      <c r="B857" s="4"/>
    </row>
    <row r="858" spans="2:2" x14ac:dyDescent="0.2">
      <c r="B858" s="4"/>
    </row>
    <row r="859" spans="2:2" x14ac:dyDescent="0.2">
      <c r="B859" s="4"/>
    </row>
    <row r="860" spans="2:2" x14ac:dyDescent="0.2">
      <c r="B860" s="4"/>
    </row>
    <row r="861" spans="2:2" x14ac:dyDescent="0.2">
      <c r="B861" s="4"/>
    </row>
    <row r="862" spans="2:2" x14ac:dyDescent="0.2">
      <c r="B862" s="4"/>
    </row>
    <row r="863" spans="2:2" x14ac:dyDescent="0.2">
      <c r="B863" s="4"/>
    </row>
    <row r="864" spans="2:2" x14ac:dyDescent="0.2">
      <c r="B864" s="4"/>
    </row>
    <row r="865" spans="2:2" x14ac:dyDescent="0.2">
      <c r="B865" s="4"/>
    </row>
    <row r="866" spans="2:2" x14ac:dyDescent="0.2">
      <c r="B866" s="4"/>
    </row>
    <row r="867" spans="2:2" x14ac:dyDescent="0.2">
      <c r="B867" s="4"/>
    </row>
    <row r="868" spans="2:2" x14ac:dyDescent="0.2">
      <c r="B868" s="4"/>
    </row>
    <row r="869" spans="2:2" x14ac:dyDescent="0.2">
      <c r="B869" s="4"/>
    </row>
    <row r="870" spans="2:2" x14ac:dyDescent="0.2">
      <c r="B870" s="4"/>
    </row>
    <row r="871" spans="2:2" x14ac:dyDescent="0.2">
      <c r="B871" s="4"/>
    </row>
    <row r="872" spans="2:2" x14ac:dyDescent="0.2">
      <c r="B872" s="4"/>
    </row>
    <row r="873" spans="2:2" x14ac:dyDescent="0.2">
      <c r="B873" s="4"/>
    </row>
    <row r="874" spans="2:2" x14ac:dyDescent="0.2">
      <c r="B874" s="4"/>
    </row>
    <row r="875" spans="2:2" x14ac:dyDescent="0.2">
      <c r="B875" s="4"/>
    </row>
    <row r="876" spans="2:2" x14ac:dyDescent="0.2">
      <c r="B876" s="4"/>
    </row>
    <row r="877" spans="2:2" x14ac:dyDescent="0.2">
      <c r="B877" s="4"/>
    </row>
    <row r="878" spans="2:2" x14ac:dyDescent="0.2">
      <c r="B878" s="4"/>
    </row>
    <row r="879" spans="2:2" x14ac:dyDescent="0.2">
      <c r="B879" s="4"/>
    </row>
    <row r="880" spans="2:2" x14ac:dyDescent="0.2">
      <c r="B880" s="4"/>
    </row>
    <row r="881" spans="2:2" x14ac:dyDescent="0.2">
      <c r="B881" s="4"/>
    </row>
    <row r="882" spans="2:2" x14ac:dyDescent="0.2">
      <c r="B882" s="4"/>
    </row>
    <row r="883" spans="2:2" x14ac:dyDescent="0.2">
      <c r="B883" s="4"/>
    </row>
    <row r="884" spans="2:2" x14ac:dyDescent="0.2">
      <c r="B884" s="4"/>
    </row>
    <row r="885" spans="2:2" x14ac:dyDescent="0.2">
      <c r="B885" s="4"/>
    </row>
    <row r="886" spans="2:2" x14ac:dyDescent="0.2">
      <c r="B886" s="4"/>
    </row>
    <row r="887" spans="2:2" x14ac:dyDescent="0.2">
      <c r="B887" s="4"/>
    </row>
    <row r="888" spans="2:2" x14ac:dyDescent="0.2">
      <c r="B888" s="4"/>
    </row>
    <row r="889" spans="2:2" x14ac:dyDescent="0.2">
      <c r="B889" s="4"/>
    </row>
    <row r="890" spans="2:2" x14ac:dyDescent="0.2">
      <c r="B890" s="4"/>
    </row>
    <row r="891" spans="2:2" x14ac:dyDescent="0.2">
      <c r="B891" s="4"/>
    </row>
    <row r="892" spans="2:2" x14ac:dyDescent="0.2">
      <c r="B892" s="4"/>
    </row>
    <row r="893" spans="2:2" x14ac:dyDescent="0.2">
      <c r="B893" s="4"/>
    </row>
    <row r="894" spans="2:2" x14ac:dyDescent="0.2">
      <c r="B894" s="4"/>
    </row>
    <row r="895" spans="2:2" x14ac:dyDescent="0.2">
      <c r="B895" s="4"/>
    </row>
    <row r="896" spans="2:2" x14ac:dyDescent="0.2">
      <c r="B896" s="4"/>
    </row>
    <row r="897" spans="2:2" x14ac:dyDescent="0.2">
      <c r="B897" s="4"/>
    </row>
    <row r="898" spans="2:2" x14ac:dyDescent="0.2">
      <c r="B898" s="4"/>
    </row>
    <row r="899" spans="2:2" x14ac:dyDescent="0.2">
      <c r="B899" s="4"/>
    </row>
    <row r="900" spans="2:2" x14ac:dyDescent="0.2">
      <c r="B900" s="4"/>
    </row>
    <row r="901" spans="2:2" x14ac:dyDescent="0.2">
      <c r="B901" s="4"/>
    </row>
    <row r="902" spans="2:2" x14ac:dyDescent="0.2">
      <c r="B902" s="4"/>
    </row>
    <row r="903" spans="2:2" x14ac:dyDescent="0.2">
      <c r="B903" s="4"/>
    </row>
    <row r="904" spans="2:2" x14ac:dyDescent="0.2">
      <c r="B904" s="4"/>
    </row>
    <row r="905" spans="2:2" x14ac:dyDescent="0.2">
      <c r="B905" s="4"/>
    </row>
    <row r="906" spans="2:2" x14ac:dyDescent="0.2">
      <c r="B90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Full Scholarship List</vt:lpstr>
      <vt:lpstr>Update Log</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Debbie Schwartz</cp:lastModifiedBy>
  <dcterms:created xsi:type="dcterms:W3CDTF">2017-11-07T15:08:45Z</dcterms:created>
  <dcterms:modified xsi:type="dcterms:W3CDTF">2017-11-07T15:08:45Z</dcterms:modified>
</cp:coreProperties>
</file>